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li" sheetId="1" r:id="rId4"/>
    <sheet state="visible" name="Piano Finanziario" sheetId="2" r:id="rId5"/>
    <sheet state="visible" name="Salari e Stipendi" sheetId="3" r:id="rId6"/>
    <sheet state="visible" name="Utenze" sheetId="4" r:id="rId7"/>
    <sheet state="visible" name="Materie Prime-Consumo " sheetId="5" r:id="rId8"/>
    <sheet state="visible" name="Tasse e Imposte" sheetId="6" r:id="rId9"/>
    <sheet state="visible" name="Commisisoni Portali" sheetId="7" r:id="rId10"/>
    <sheet state="visible" name="Mutui e Finaziamenti" sheetId="8" r:id="rId11"/>
    <sheet state="visible" name="Consulenze" sheetId="9" r:id="rId12"/>
    <sheet state="visible" name="Godimento Beni di Terzi" sheetId="10" r:id="rId13"/>
    <sheet state="visible" name="Canoni e servizi" sheetId="11" r:id="rId14"/>
    <sheet state="visible" name=" Varie ed Eventuali" sheetId="12" r:id="rId15"/>
  </sheets>
  <definedNames/>
  <calcPr/>
  <extLst>
    <ext uri="GoogleSheetsCustomDataVersion2">
      <go:sheetsCustomData xmlns:go="http://customooxmlschemas.google.com/" r:id="rId16" roundtripDataChecksum="aTDOYhdyXX526pW+cjtbfeEmNCHNwUEM3a5y4XU925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">
      <text>
        <t xml:space="preserve">======
ID#AAAB9HL4Y54
Economato Panorama Group    (2025-01-24 11:45:42)
Ripartato consuntivo da conto economico menisle 2024 secondo accordi con fornitori</t>
      </text>
    </comment>
    <comment authorId="0" ref="A14">
      <text>
        <t xml:space="preserve">======
ID#AAAB9HL4Y6E
Antonio Russo    (2024-09-20 08:25:32)
Stima</t>
      </text>
    </comment>
  </commentList>
  <extLst>
    <ext uri="GoogleSheetsCustomDataVersion2">
      <go:sheetsCustomData xmlns:go="http://customooxmlschemas.google.com/" r:id="rId1" roundtripDataSignature="AMtx7mhwpacAOrKMko/ApkA95JuzhpJ7M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======
ID#AAAB9HL4Y6M
Amministrazione    (2025-01-28 16:04:53)
ACCONTO IVA 2025 - SCAD PAG 27/12/2025</t>
      </text>
    </comment>
    <comment authorId="0" ref="F14">
      <text>
        <t xml:space="preserve">======
ID#AAAB9HL4Y6I
Antonio Russo    (2025-11-11 09:45:57)
STIMA DI DINO SU UTILE DI 800K</t>
      </text>
    </comment>
    <comment authorId="0" ref="B10">
      <text>
        <t xml:space="preserve">======
ID#AAAB9HL4Y5w
Amministrazione    (2025-01-27 13:30:23)
33,33% del complessivo versato</t>
      </text>
    </comment>
  </commentList>
  <extLst>
    <ext uri="GoogleSheetsCustomDataVersion2">
      <go:sheetsCustomData xmlns:go="http://customooxmlschemas.google.com/" r:id="rId1" roundtripDataSignature="AMtx7mjaVSicuNxOAiCr98+zxqDl5LDy5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ID#AAAB9HL4Y58
Economato Panorama Group    (2025-01-24 11:30:25)
Valore stimato su fatturato 2024</t>
      </text>
    </comment>
    <comment authorId="0" ref="B4">
      <text>
        <t xml:space="preserve">======
ID#AAAB9HL4Y6Q
Economato Panorama Group    (2025-01-24 11:30:18)
Valore stimato su fatturato 2024</t>
      </text>
    </comment>
  </commentList>
  <extLst>
    <ext uri="GoogleSheetsCustomDataVersion2">
      <go:sheetsCustomData xmlns:go="http://customooxmlschemas.google.com/" r:id="rId1" roundtripDataSignature="AMtx7mjypFucHpV0xfSK+Nca1xIPa2HNH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======
ID#AAAB9HL4Y6A
Economato Panorama Group    (2025-01-24 11:21:30)
Valore indicativo di € 8000,00 divisi per trimestri</t>
      </text>
    </comment>
    <comment authorId="0" ref="C5">
      <text>
        <t xml:space="preserve">======
ID#AAAB9HL4Y50
Amministrazione    (2025-10-22 08:36:07)
Avuto il dettaglio il 22/10/2025</t>
      </text>
    </comment>
  </commentList>
  <extLst>
    <ext uri="GoogleSheetsCustomDataVersion2">
      <go:sheetsCustomData xmlns:go="http://customooxmlschemas.google.com/" r:id="rId1" roundtripDataSignature="AMtx7mgB/80iVm1X34qvMaPTNHaFGyz1ag=="/>
    </ext>
  </extLst>
</comments>
</file>

<file path=xl/sharedStrings.xml><?xml version="1.0" encoding="utf-8"?>
<sst xmlns="http://schemas.openxmlformats.org/spreadsheetml/2006/main" count="363" uniqueCount="255">
  <si>
    <t>CONTROLLI PIANO FINANZIARIO — ORTI</t>
  </si>
  <si>
    <t>1. SALDO PARTENZA</t>
  </si>
  <si>
    <t>C4 = Saldo iniziale hardcoded?</t>
  </si>
  <si>
    <t>D4 = C37 (catena saldo mese prec)?</t>
  </si>
  <si>
    <t>Catena D4:K4 = mese prec riga 37?</t>
  </si>
  <si>
    <t>(non applicabile — mesi passati rimossi)</t>
  </si>
  <si>
    <t>OK</t>
  </si>
  <si>
    <t>2. TOTALE ENTRATE (riga 12)</t>
  </si>
  <si>
    <t>Riga 12 = SUM(6:11) per mesi C:K?</t>
  </si>
  <si>
    <t>3. TOTALE USCITE (riga 27)</t>
  </si>
  <si>
    <t>Riga 27 = SUM(14:26) per mesi C:K?</t>
  </si>
  <si>
    <t>4. CASH FLOW (riga 29)</t>
  </si>
  <si>
    <t>Riga 29 = Entrate - Uscite per mesi C:K?</t>
  </si>
  <si>
    <t>6. RIFERIMENTI USCITE — FOGLI DETTAGLIO (mesi I:R)</t>
  </si>
  <si>
    <t>Riga 14 — Salari e Stipendi</t>
  </si>
  <si>
    <t>Riga 15 — Utenze</t>
  </si>
  <si>
    <t>Riga 16 — Materie Prime/Consumo</t>
  </si>
  <si>
    <t>Riga 17 — Tasse e Imposte</t>
  </si>
  <si>
    <t>Riga 18 — Commissioni Portali</t>
  </si>
  <si>
    <t>Riga 19 — Mutui e Finanziamenti</t>
  </si>
  <si>
    <t>Riga 20 — Consulenze</t>
  </si>
  <si>
    <t>Riga 21 — Godimento Beni di Terzi</t>
  </si>
  <si>
    <t>Riga 22 — Varie ed Eventuali</t>
  </si>
  <si>
    <t>Riga 23 — Canoni e servizi</t>
  </si>
  <si>
    <t>7. SALDO PROIETTATO (riga 37)</t>
  </si>
  <si>
    <t>Riga 37 = riga 4 + riga 29 per mesi attivi I:R?</t>
  </si>
  <si>
    <t>8. CASH FLOW CON AFFIDAMENTI (riga 45)</t>
  </si>
  <si>
    <t>Riga 45 = riga 37 + riga 43 per mesi attivi I:R?</t>
  </si>
  <si>
    <t>9. COLONNA TOTALI (T)</t>
  </si>
  <si>
    <t>L12 Totale Entrate = SUM(C12:K12)?</t>
  </si>
  <si>
    <t>L27 Totale Uscite = SUM(C27:K27)?</t>
  </si>
  <si>
    <t>L29 Cash Flow = L12 - L27?</t>
  </si>
  <si>
    <t>ORTI S.R.L.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</si>
  <si>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</si>
  <si>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</si>
  <si>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</si>
  <si>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</si>
  <si>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</si>
  <si>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</si>
  <si>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</si>
  <si>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</si>
  <si>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</si>
  <si>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TOTALI</t>
  </si>
  <si>
    <t>SALDO MESE PRECED</t>
  </si>
  <si>
    <t xml:space="preserve">Entrate Hotel </t>
  </si>
  <si>
    <t>Entrate Residence</t>
  </si>
  <si>
    <t>Entrate CVM</t>
  </si>
  <si>
    <t>Entrate Supermercato</t>
  </si>
  <si>
    <t>Rientro Sospesi</t>
  </si>
  <si>
    <t>Caparre Intur</t>
  </si>
  <si>
    <t>TOTALE ENTRATE</t>
  </si>
  <si>
    <t>Salari e Stipendi</t>
  </si>
  <si>
    <t>Utenze</t>
  </si>
  <si>
    <t>Materie Prime/Consumo</t>
  </si>
  <si>
    <t>Tasse e Imposte</t>
  </si>
  <si>
    <t>Commissioni Portali</t>
  </si>
  <si>
    <t>Mutui e Finaziamenti</t>
  </si>
  <si>
    <t>Consulenze</t>
  </si>
  <si>
    <t>Godimento Beni di Terzi</t>
  </si>
  <si>
    <t>Varie ed Eventuali</t>
  </si>
  <si>
    <t>Canoni e servizi</t>
  </si>
  <si>
    <t>Deposito Fitto</t>
  </si>
  <si>
    <t xml:space="preserve">TOTALE USCITE </t>
  </si>
  <si>
    <t>Cash Flow</t>
  </si>
  <si>
    <t>30/04/2026</t>
  </si>
  <si>
    <t>Saldo MPS</t>
  </si>
  <si>
    <t>Saldo Intesa</t>
  </si>
  <si>
    <t xml:space="preserve">TOTALE BANCHE </t>
  </si>
  <si>
    <t xml:space="preserve">Saldo di Periodo/Proiettato </t>
  </si>
  <si>
    <t xml:space="preserve">Fin. MPS 60 mesi </t>
  </si>
  <si>
    <t xml:space="preserve">TOTALE AFFIDAMENTI  </t>
  </si>
  <si>
    <t>CASH FLOW CON AFFID.</t>
  </si>
  <si>
    <t>CODICE</t>
  </si>
  <si>
    <t xml:space="preserve">SALARI </t>
  </si>
  <si>
    <t xml:space="preserve">F24 </t>
  </si>
  <si>
    <t>Energia elettrica</t>
  </si>
  <si>
    <t>Gas</t>
  </si>
  <si>
    <t>Acqua - Ausino</t>
  </si>
  <si>
    <t>Vodafone (intur)</t>
  </si>
  <si>
    <t xml:space="preserve">Connectivia  </t>
  </si>
  <si>
    <t>PREVISIONALE</t>
  </si>
  <si>
    <t xml:space="preserve">Materie Prime e Consumo </t>
  </si>
  <si>
    <t>A. Migliore srl</t>
  </si>
  <si>
    <t>Abiti da lavoro Cavaliere srls</t>
  </si>
  <si>
    <t>Adra srl</t>
  </si>
  <si>
    <t>Alberto D'Urso</t>
  </si>
  <si>
    <t>Alnumar di Garofalo Massimiliano</t>
  </si>
  <si>
    <t>Amalfi sei esse</t>
  </si>
  <si>
    <t>Amalfi ghiaccio</t>
  </si>
  <si>
    <t>Amalfi Web</t>
  </si>
  <si>
    <t>Amato Filippo</t>
  </si>
  <si>
    <t>Alfera srl</t>
  </si>
  <si>
    <t>Allestimenti Di Palo</t>
  </si>
  <si>
    <t>Amato Prisco pane</t>
  </si>
  <si>
    <t>Aniello Bisogno &amp; Figli</t>
  </si>
  <si>
    <t>Attianese Frutta e Verdura</t>
  </si>
  <si>
    <t>Apicella Lorenzo</t>
  </si>
  <si>
    <t>B&amp;G Di Palo Commercio</t>
  </si>
  <si>
    <t>Bellagaia</t>
  </si>
  <si>
    <t>Campitiello Fabio</t>
  </si>
  <si>
    <t>Capuano Raffaele</t>
  </si>
  <si>
    <t>Casa Vinicola Sammarco</t>
  </si>
  <si>
    <t>Coccorullo Falegnamenria</t>
  </si>
  <si>
    <t>Centro Distribuzione Maglio</t>
  </si>
  <si>
    <t>Centro service Snc</t>
  </si>
  <si>
    <t>Cica</t>
  </si>
  <si>
    <t>Cimmini Filomena</t>
  </si>
  <si>
    <t>Creative Idea</t>
  </si>
  <si>
    <t>Ditta Pansa</t>
  </si>
  <si>
    <t>De Luca</t>
  </si>
  <si>
    <t>DG Network</t>
  </si>
  <si>
    <t>Di Sarno Coffee</t>
  </si>
  <si>
    <t>Ditta Apicella</t>
  </si>
  <si>
    <t>Fabbrocino Michele</t>
  </si>
  <si>
    <t>Barela Farmacia</t>
  </si>
  <si>
    <t>Feio Srl</t>
  </si>
  <si>
    <t>Ferrigno Maria</t>
  </si>
  <si>
    <t>Gallo Giovanni</t>
  </si>
  <si>
    <t>Giacinto Di Palma</t>
  </si>
  <si>
    <t>Granato Vincenzo</t>
  </si>
  <si>
    <t>Granato Nino</t>
  </si>
  <si>
    <t>Hospitality Project</t>
  </si>
  <si>
    <t>Hotel Service</t>
  </si>
  <si>
    <t>I.C.P srl</t>
  </si>
  <si>
    <t>Il centro CSC</t>
  </si>
  <si>
    <t>Il piacere della tavola</t>
  </si>
  <si>
    <t>Ingrosso frutta di Michele e Vincenzo</t>
  </si>
  <si>
    <t>IPEI SRL</t>
  </si>
  <si>
    <t>La Contadina Srl</t>
  </si>
  <si>
    <t>La Floreale</t>
  </si>
  <si>
    <t xml:space="preserve">La Nuova Autocarrozzaria </t>
  </si>
  <si>
    <t>Le Croissant srl</t>
  </si>
  <si>
    <t>Lovali d'autore</t>
  </si>
  <si>
    <t>L'Europea</t>
  </si>
  <si>
    <t>Napolamp</t>
  </si>
  <si>
    <t>Ninni</t>
  </si>
  <si>
    <t>Oceano Distribuzione</t>
  </si>
  <si>
    <t>Paolillo Aldo</t>
  </si>
  <si>
    <t>Paravia Srl</t>
  </si>
  <si>
    <t>Primavera Servizi</t>
  </si>
  <si>
    <t>Pisacane Raffaele</t>
  </si>
  <si>
    <t>Pregis</t>
  </si>
  <si>
    <t>Prodotti tipici di CarloTagliafierro</t>
  </si>
  <si>
    <t>Pepe Mastro dolciario</t>
  </si>
  <si>
    <t>Prisa</t>
  </si>
  <si>
    <t>Reidos srl</t>
  </si>
  <si>
    <t>Salzano Tiziano</t>
  </si>
  <si>
    <t>Santelia Antonio</t>
  </si>
  <si>
    <t>Serverplan srl</t>
  </si>
  <si>
    <t>Studio quattro</t>
  </si>
  <si>
    <t>Tecno Piscine</t>
  </si>
  <si>
    <t>Tur.Com</t>
  </si>
  <si>
    <t>Valgarda Srl</t>
  </si>
  <si>
    <t>Vicart</t>
  </si>
  <si>
    <t>Vitagliano</t>
  </si>
  <si>
    <t>Pietra di luna</t>
  </si>
  <si>
    <t>Bianco Bufala</t>
  </si>
  <si>
    <t>Croce Rossa Italiana (trasporto sujith)</t>
  </si>
  <si>
    <t>Costieraagrumi</t>
  </si>
  <si>
    <t>Finsal</t>
  </si>
  <si>
    <t>Gambardella</t>
  </si>
  <si>
    <t>Mammato Anna</t>
  </si>
  <si>
    <t>Fioraio Santelia</t>
  </si>
  <si>
    <t>Arch. Marigliano Savio</t>
  </si>
  <si>
    <t>Mint Architettura</t>
  </si>
  <si>
    <t>Musica totale</t>
  </si>
  <si>
    <t>Romano Ciro</t>
  </si>
  <si>
    <t>Sal de Riso</t>
  </si>
  <si>
    <t>Samar</t>
  </si>
  <si>
    <t>Sistemi ESolver</t>
  </si>
  <si>
    <t>Tappezzeria Cent'anni</t>
  </si>
  <si>
    <t>AFFINITO SRL</t>
  </si>
  <si>
    <t>ALBERGO SANTA CHIARA</t>
  </si>
  <si>
    <t>AMAZON EU S.A R.L.</t>
  </si>
  <si>
    <t>AP COMMERCIALE S.R.L.</t>
  </si>
  <si>
    <t>C&amp;C S.p.A.</t>
  </si>
  <si>
    <t>Dr. Vranjes Firenze S.p.A.</t>
  </si>
  <si>
    <t>EXORH DI CHIESA PAOLA</t>
  </si>
  <si>
    <t>Gest. D.M.F. Srl</t>
  </si>
  <si>
    <t>HAPPY CASA STORE S.R.L.</t>
  </si>
  <si>
    <t>IDRO-TOP S.R.L.</t>
  </si>
  <si>
    <t>KING CATERING S.R.L.</t>
  </si>
  <si>
    <t>LE SETTE SORELLE SOCIETA' A</t>
  </si>
  <si>
    <t>MIELE GIUSEPPE E FIGLI SPA</t>
  </si>
  <si>
    <t>PEPPINO RISTORAZIONE S.R.L.</t>
  </si>
  <si>
    <t>RISALITI SRL</t>
  </si>
  <si>
    <t>SOCIETA' INGROSSO TELEVISORI ELETTRODOMESTICI AFFINI S.R.L.</t>
  </si>
  <si>
    <t>ACQUAVERDE SRL</t>
  </si>
  <si>
    <t>GENERAL BEVERAGE S.R.L.</t>
  </si>
  <si>
    <t>MARR SPA</t>
  </si>
  <si>
    <t>IMU</t>
  </si>
  <si>
    <t>IMPOSTE</t>
  </si>
  <si>
    <t xml:space="preserve">TARI HOTEL </t>
  </si>
  <si>
    <t>IVA</t>
  </si>
  <si>
    <t>RITENUTE PROFESSIONISTI (1040)</t>
  </si>
  <si>
    <t>IMPOSTA DI SOGGIORNO HP</t>
  </si>
  <si>
    <t>IMPOSTA DI SOGGIORNO AR</t>
  </si>
  <si>
    <t>IMPOSTA DI SOGGIORNO CVM</t>
  </si>
  <si>
    <t>TARI RESIDENCE</t>
  </si>
  <si>
    <t>TARI CVM</t>
  </si>
  <si>
    <t>IRES/IRAP</t>
  </si>
  <si>
    <t>Commisisoni Portali</t>
  </si>
  <si>
    <t xml:space="preserve">Commissioni Booking </t>
  </si>
  <si>
    <t xml:space="preserve">Commissioni Expedia </t>
  </si>
  <si>
    <t>NEXI PAYMENTS S.p.A.</t>
  </si>
  <si>
    <t>Mutui e Finanaziamenti</t>
  </si>
  <si>
    <t xml:space="preserve">Mutuo MPS </t>
  </si>
  <si>
    <t>EX Muto Intesa (mps)</t>
  </si>
  <si>
    <t>Finanziamento MPS 75k</t>
  </si>
  <si>
    <t>Consulenza del lavoro</t>
  </si>
  <si>
    <t>Consulenza fiscale</t>
  </si>
  <si>
    <t>Consulenza legale</t>
  </si>
  <si>
    <t>Consulenza notarile</t>
  </si>
  <si>
    <t>Team Work</t>
  </si>
  <si>
    <t>Polizza Generali</t>
  </si>
  <si>
    <t>JoAnne Dunn Photographers</t>
  </si>
  <si>
    <t>Gofimento Beni di Terzi</t>
  </si>
  <si>
    <t>Fitto Ramo d' Azienda</t>
  </si>
  <si>
    <t>Fitto AR</t>
  </si>
  <si>
    <t>Fitto CVM</t>
  </si>
  <si>
    <t>Proxima Service</t>
  </si>
  <si>
    <t>Hoxell</t>
  </si>
  <si>
    <t>Sistemi (E_solver)</t>
  </si>
  <si>
    <t xml:space="preserve">Zucchetti </t>
  </si>
  <si>
    <t>BESTRANK SOCIETA' A</t>
  </si>
  <si>
    <t>PLAN ITALIA S.R.L.</t>
  </si>
  <si>
    <t>Altamira</t>
  </si>
  <si>
    <t>Commissioni Transato Pos</t>
  </si>
  <si>
    <t>Soft tecnology</t>
  </si>
  <si>
    <t>Commissioni e spese Bancarie Varie(Imposta di bollo/tenuta conto/bonifici/etc )</t>
  </si>
  <si>
    <t>Noleggio Tesla</t>
  </si>
  <si>
    <t>Alba Leasing S.P.A.</t>
  </si>
  <si>
    <t>Primavera Servizi Srl</t>
  </si>
  <si>
    <t>Variee ed Eventuali</t>
  </si>
  <si>
    <t>A. MIGLIORE S.R.L.</t>
  </si>
  <si>
    <t>Spese Condominiali</t>
  </si>
  <si>
    <t>AUTOSTRADE PER L'ITALIA S.P.A.</t>
  </si>
  <si>
    <t>DEL RISPARMIO</t>
  </si>
  <si>
    <t>EDILIZIA ED</t>
  </si>
  <si>
    <t>FEIO S.R.L.</t>
  </si>
  <si>
    <t>H &amp; M HENNES &amp; MAURITZ S.R.L.</t>
  </si>
  <si>
    <t>Mana  srls</t>
  </si>
  <si>
    <t>ROSANTO S.R.L.</t>
  </si>
  <si>
    <t>CENTRO MODA S.R.L.</t>
  </si>
  <si>
    <t>DIECI S.R.L.S.</t>
  </si>
  <si>
    <t>HAIR GALLERY EUROPE SRL</t>
  </si>
  <si>
    <t>FERRIGNO MARIA C S N C</t>
  </si>
  <si>
    <t>Nola Ferramenta Srl</t>
  </si>
  <si>
    <t>Re Denari di Marco Oliva &amp; C. Sas</t>
  </si>
  <si>
    <t>MAGALDI LIFE SRL SOC. UNIP.</t>
  </si>
  <si>
    <t>READYPRINT DI PIPITONE BRUNO</t>
  </si>
  <si>
    <t>Leroy Merlin Italia srl</t>
  </si>
  <si>
    <t>MEDIAMARKET S.P.A. CON SOCIO UNICO</t>
  </si>
  <si>
    <t>PREGIS S.P.A.</t>
  </si>
  <si>
    <t>ADRA S.R.L.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</si>
</sst>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€-2]\ * #,##0.00_-;\-[$€-2]\ * #,##0.00_-;_-[$€-2]\ * &quot;-&quot;??_-;_-@"/>
    <numFmt numFmtId="165" formatCode="dd/mm/yyyy"/>
    <numFmt numFmtId="166" formatCode="_([$€-2]\ * #,##0.00_);_([$€-2]\ * \(#,##0.00\);_([$€-2]\ * &quot;-&quot;??_);_(@_)"/>
    <numFmt numFmtId="167" formatCode="_-[$€-2]* #,##0.00_-;_-[$€-2]* \-#,##0.00_-;_-[$€-2]* &quot;-&quot;??_-;_-@"/>
  </numFmts>
  <fonts count="53">
    <font>
      <sz val="12.0"/>
      <color theme="1"/>
      <name val="Aptos Narrow"/>
      <scheme val="minor"/>
    </font>
    <font>
      <b/>
      <sz val="16.0"/>
      <color rgb="FF1F3864"/>
      <name val="Arial"/>
    </font>
    <font>
      <sz val="11.0"/>
      <color theme="1"/>
      <name val="Arial"/>
    </font>
    <font>
      <sz val="12.0"/>
      <color theme="1"/>
      <name val="Aptos Narrow"/>
    </font>
    <font>
      <b/>
      <sz val="11.0"/>
      <color rgb="FF1F3864"/>
      <name val="Arial"/>
    </font>
    <font>
      <sz val="11.0"/>
      <color rgb="FF333333"/>
      <name val="Arial"/>
    </font>
    <font>
      <b/>
      <sz val="11.0"/>
      <color rgb="FF006100"/>
      <name val="Arial"/>
    </font>
    <font>
      <i/>
      <sz val="11.0"/>
      <color rgb="FF808080"/>
      <name val="Arial"/>
    </font>
    <font>
      <sz val="11.0"/>
      <color rgb="FF006100"/>
      <name val="Arial"/>
    </font>
    <font>
      <b/>
      <sz val="14.0"/>
      <color rgb="FF006100"/>
      <name val="Arial"/>
    </font>
    <font>
      <b/>
      <sz val="20.0"/>
      <color rgb="FF1F3864"/>
      <name val="Calibri"/>
    </font>
    <font>
      <sz val="12.0"/>
      <color theme="1"/>
      <name val="Calibri"/>
    </font>
    <font>
      <b/>
      <sz val="14.0"/>
      <color rgb="FF1F3864"/>
      <name val="Calibri"/>
    </font>
    <font/>
    <font>
      <b/>
      <sz val="14.0"/>
      <color rgb="FF4472C4"/>
      <name val="Calibri"/>
    </font>
    <font>
      <b/>
      <sz val="12.0"/>
      <color rgb="FFFFFFFF"/>
      <name val="Calibri"/>
    </font>
    <font>
      <sz val="12.0"/>
      <color rgb="FFFFFFFF"/>
      <name val="Calibri"/>
    </font>
    <font>
      <b/>
      <sz val="12.0"/>
      <color rgb="FFC00000"/>
      <name val="Calibri"/>
    </font>
    <font>
      <b/>
      <sz val="12.0"/>
      <color rgb="FF1F3864"/>
      <name val="Calibri"/>
    </font>
    <font>
      <sz val="12.0"/>
      <color rgb="FF000000"/>
      <name val="Calibri"/>
    </font>
    <font>
      <b/>
      <u/>
      <sz val="12.0"/>
      <color rgb="FF006100"/>
      <name val="Calibri"/>
    </font>
    <font>
      <b/>
      <u/>
      <sz val="12.0"/>
      <color rgb="FF006100"/>
      <name val="Calibri"/>
    </font>
    <font>
      <b/>
      <u/>
      <sz val="12.0"/>
      <color rgb="FF006100"/>
      <name val="Calibri"/>
    </font>
    <font>
      <b/>
      <u/>
      <sz val="12.0"/>
      <color rgb="FF006100"/>
      <name val="Calibri"/>
    </font>
    <font>
      <b/>
      <u/>
      <sz val="12.0"/>
      <color rgb="FF006100"/>
      <name val="Calibri"/>
    </font>
    <font>
      <b/>
      <u/>
      <sz val="12.0"/>
      <color rgb="FF006100"/>
      <name val="Calibri"/>
    </font>
    <font>
      <b/>
      <u/>
      <sz val="12.0"/>
      <color theme="1"/>
      <name val="Aptos Narrow"/>
    </font>
    <font>
      <b/>
      <sz val="12.0"/>
      <color rgb="FF000000"/>
      <name val="Calibri"/>
    </font>
    <font>
      <b/>
      <sz val="12.0"/>
      <color theme="1"/>
      <name val="Calibri"/>
    </font>
    <font>
      <b/>
      <sz val="12.0"/>
      <color theme="1"/>
      <name val="Aptos Narrow"/>
    </font>
    <font>
      <b/>
      <u/>
      <sz val="12.0"/>
      <color rgb="FFC00000"/>
      <name val="Calibri"/>
    </font>
    <font>
      <b/>
      <u/>
      <sz val="12.0"/>
      <color rgb="FF1F3864"/>
      <name val="Calibri"/>
    </font>
    <font>
      <b/>
      <i/>
      <sz val="12.0"/>
      <color rgb="FF0070C0"/>
      <name val="Calibri"/>
    </font>
    <font>
      <sz val="12.0"/>
      <color rgb="FF0000FF"/>
      <name val="Calibri"/>
    </font>
    <font>
      <b/>
      <u/>
      <sz val="12.0"/>
      <color rgb="FF006100"/>
      <name val="Calibri"/>
    </font>
    <font>
      <b/>
      <sz val="12.0"/>
      <color rgb="FF006100"/>
      <name val="Calibri"/>
    </font>
    <font>
      <b/>
      <sz val="13.0"/>
      <color rgb="FF1F3864"/>
      <name val="Calibri"/>
    </font>
    <font>
      <b/>
      <u/>
      <sz val="13.0"/>
      <color theme="1"/>
      <name val="Calibri"/>
    </font>
    <font>
      <b/>
      <sz val="13.0"/>
      <color theme="1"/>
      <name val="Calibri"/>
    </font>
    <font>
      <sz val="12.0"/>
      <color rgb="FFFF0000"/>
      <name val="Calibri"/>
    </font>
    <font>
      <b/>
      <u/>
      <sz val="12.0"/>
      <color rgb="FF7030A0"/>
      <name val="Calibri"/>
    </font>
    <font>
      <b/>
      <sz val="12.0"/>
      <color rgb="FF7030A0"/>
      <name val="Calibri"/>
    </font>
    <font>
      <b/>
      <sz val="11.0"/>
      <color theme="1"/>
      <name val="Arial"/>
    </font>
    <font>
      <b/>
      <sz val="14.0"/>
      <color rgb="FF1F3864"/>
      <name val="Arial"/>
    </font>
    <font>
      <sz val="11.0"/>
      <color rgb="FF000000"/>
      <name val="Arial"/>
    </font>
    <font>
      <b/>
      <sz val="11.0"/>
      <color rgb="FFFFFFFF"/>
      <name val="Arial"/>
    </font>
    <font>
      <b/>
      <sz val="11.0"/>
      <color rgb="FF000000"/>
      <name val="Arial"/>
    </font>
    <font>
      <sz val="12.0"/>
      <color theme="1"/>
      <name val="Arial"/>
    </font>
    <font>
      <b/>
      <sz val="11.0"/>
      <color rgb="FF7F6000"/>
      <name val="Arial"/>
    </font>
    <font>
      <b/>
      <i/>
      <sz val="11.0"/>
      <color rgb="FF7F6000"/>
      <name val="Arial"/>
    </font>
    <font>
      <u/>
      <sz val="11.0"/>
      <color rgb="FF0000FF"/>
      <name val="Arial"/>
    </font>
    <font>
      <b/>
      <sz val="11.0"/>
      <color rgb="FFFF0000"/>
      <name val="Arial"/>
    </font>
    <font>
      <b/>
      <sz val="12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D9F2D0"/>
        <bgColor rgb="FFD9F2D0"/>
      </patternFill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1CEEE"/>
        <bgColor rgb="FFF1CEEE"/>
      </patternFill>
    </fill>
    <fill>
      <patternFill patternType="solid">
        <fgColor rgb="FFD6E4F0"/>
        <bgColor rgb="FFD6E4F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63">
    <border/>
    <border>
      <left/>
      <right/>
      <top/>
      <bottom/>
    </border>
    <border>
      <left/>
      <right/>
      <top style="thin">
        <color rgb="FFB4C6E7"/>
      </top>
      <bottom style="thin">
        <color rgb="FFB4C6E7"/>
      </bottom>
    </border>
    <border>
      <left/>
      <right/>
      <top style="double">
        <color rgb="FF006100"/>
      </top>
      <bottom style="double">
        <color rgb="FF0061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</border>
    <border>
      <left style="thin">
        <color rgb="FF000000"/>
      </left>
      <right style="thin">
        <color rgb="FF000000"/>
      </right>
      <top/>
      <bottom style="medium">
        <color rgb="FF1F3864"/>
      </bottom>
    </border>
    <border>
      <left style="thin">
        <color rgb="FF000000"/>
      </left>
      <right/>
      <top/>
      <bottom style="medium">
        <color rgb="FF1F3864"/>
      </bottom>
    </border>
    <border>
      <left style="double">
        <color rgb="FF000000"/>
      </left>
      <right/>
      <top/>
      <bottom style="medium">
        <color rgb="FF1F3864"/>
      </bottom>
    </border>
    <border>
      <left/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double">
        <color rgb="FF000000"/>
      </left>
      <right/>
      <top/>
      <bottom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 style="dotted">
        <color rgb="FFB4C6E7"/>
      </left>
      <right/>
      <top style="thin">
        <color rgb="FF000000"/>
      </top>
      <bottom style="dotted">
        <color rgb="FFB4C6E7"/>
      </bottom>
    </border>
    <border>
      <left style="double">
        <color rgb="FF1F3864"/>
      </left>
      <right/>
      <top/>
      <bottom/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B4C6E7"/>
      </left>
      <right/>
      <top style="dotted">
        <color rgb="FFB4C6E7"/>
      </top>
      <bottom style="dotted">
        <color rgb="FFB4C6E7"/>
      </bottom>
    </border>
    <border>
      <left style="double">
        <color rgb="FF1F3864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B4C6E7"/>
      </left>
      <top style="dotted">
        <color rgb="FFB4C6E7"/>
      </top>
      <bottom style="dotted">
        <color rgb="FFB4C6E7"/>
      </bottom>
    </border>
    <border>
      <left style="double">
        <color rgb="FF1F3864"/>
      </left>
      <right style="dotted">
        <color rgb="FF000000"/>
      </right>
      <top style="dotted">
        <color rgb="FF000000"/>
      </top>
      <bottom/>
    </border>
    <border>
      <left/>
      <right/>
      <top/>
      <bottom style="double">
        <color rgb="FF006100"/>
      </bottom>
    </border>
    <border>
      <left/>
      <right style="dotted">
        <color rgb="FFB4C6E7"/>
      </right>
      <top style="dotted">
        <color rgb="FFB4C6E7"/>
      </top>
      <bottom style="dotted">
        <color rgb="FFB4C6E7"/>
      </bottom>
    </border>
    <border>
      <left style="double">
        <color rgb="FF1F3864"/>
      </left>
      <right/>
      <top/>
      <bottom style="double">
        <color rgb="FF006100"/>
      </bottom>
    </border>
    <border>
      <left/>
      <right/>
      <top style="thin">
        <color rgb="FF000000"/>
      </top>
      <bottom style="double">
        <color rgb="FFC00000"/>
      </bottom>
    </border>
    <border>
      <left style="double">
        <color rgb="FF1F3864"/>
      </left>
      <right/>
      <top style="thin">
        <color rgb="FF000000"/>
      </top>
      <bottom style="double">
        <color rgb="FFC00000"/>
      </bottom>
    </border>
    <border>
      <left/>
      <right/>
      <top style="thin">
        <color rgb="FF1F3864"/>
      </top>
      <bottom style="double">
        <color rgb="FF1F3864"/>
      </bottom>
    </border>
    <border>
      <left style="double">
        <color rgb="FF1F3864"/>
      </left>
      <right/>
      <top style="thin">
        <color rgb="FF1F3864"/>
      </top>
      <bottom style="double">
        <color rgb="FF1F3864"/>
      </bottom>
    </border>
    <border>
      <right style="dotted">
        <color rgb="FFB4C6E7"/>
      </right>
      <top style="dotted">
        <color rgb="FFB4C6E7"/>
      </top>
      <bottom style="dotted">
        <color rgb="FFB4C6E7"/>
      </bottom>
    </border>
    <border>
      <left/>
      <right/>
      <top style="thin">
        <color rgb="FF000000"/>
      </top>
      <bottom style="double">
        <color rgb="FF006100"/>
      </bottom>
    </border>
    <border>
      <left style="double">
        <color rgb="FF1F3864"/>
      </left>
      <right/>
      <top style="thin">
        <color rgb="FF000000"/>
      </top>
      <bottom style="double">
        <color rgb="FF006100"/>
      </bottom>
    </border>
    <border>
      <top style="thin">
        <color rgb="FF000000"/>
      </top>
      <bottom style="double">
        <color rgb="FF000000"/>
      </bottom>
    </border>
    <border>
      <left style="double">
        <color rgb="FF1F3864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7030A0"/>
      </bottom>
    </border>
    <border>
      <left style="double">
        <color rgb="FF1F3864"/>
      </left>
      <right/>
      <top style="thin">
        <color rgb="FF000000"/>
      </top>
      <bottom style="double">
        <color rgb="FF7030A0"/>
      </bottom>
    </border>
    <border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top style="dotted">
        <color rgb="FFB4C6E7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6100"/>
      </top>
      <bottom style="double">
        <color rgb="FF0061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dotted">
        <color rgb="FF000000"/>
      </right>
      <bottom style="dotted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1" fillId="2" fontId="2" numFmtId="0" xfId="0" applyBorder="1" applyFont="1"/>
    <xf borderId="2" fillId="3" fontId="4" numFmtId="0" xfId="0" applyBorder="1" applyFill="1" applyFont="1"/>
    <xf borderId="1" fillId="2" fontId="5" numFmtId="0" xfId="0" applyBorder="1" applyFont="1"/>
    <xf borderId="1" fillId="4" fontId="6" numFmtId="0" xfId="0" applyAlignment="1" applyBorder="1" applyFill="1" applyFont="1">
      <alignment horizontal="center"/>
    </xf>
    <xf borderId="1" fillId="2" fontId="7" numFmtId="0" xfId="0" applyBorder="1" applyFont="1"/>
    <xf borderId="1" fillId="2" fontId="8" numFmtId="0" xfId="0" applyBorder="1" applyFont="1"/>
    <xf borderId="3" fillId="4" fontId="9" numFmtId="0" xfId="0" applyBorder="1" applyFont="1"/>
    <xf borderId="1" fillId="5" fontId="10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center"/>
    </xf>
    <xf borderId="4" fillId="2" fontId="12" numFmtId="0" xfId="0" applyAlignment="1" applyBorder="1" applyFont="1">
      <alignment horizontal="center"/>
    </xf>
    <xf borderId="5" fillId="0" fontId="13" numFmtId="0" xfId="0" applyBorder="1" applyFont="1"/>
    <xf borderId="6" fillId="0" fontId="13" numFmtId="0" xfId="0" applyBorder="1" applyFont="1"/>
    <xf borderId="1" fillId="2" fontId="1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7" fillId="5" fontId="14" numFmtId="0" xfId="0" applyAlignment="1" applyBorder="1" applyFont="1">
      <alignment horizontal="left" vertical="center"/>
    </xf>
    <xf borderId="8" fillId="6" fontId="15" numFmtId="0" xfId="0" applyAlignment="1" applyBorder="1" applyFill="1" applyFont="1">
      <alignment horizontal="center"/>
    </xf>
    <xf borderId="9" fillId="6" fontId="15" numFmtId="0" xfId="0" applyAlignment="1" applyBorder="1" applyFont="1">
      <alignment horizontal="center"/>
    </xf>
    <xf borderId="10" fillId="6" fontId="15" numFmtId="0" xfId="0" applyAlignment="1" applyBorder="1" applyFont="1">
      <alignment horizontal="center"/>
    </xf>
    <xf borderId="11" fillId="7" fontId="15" numFmtId="0" xfId="0" applyAlignment="1" applyBorder="1" applyFill="1" applyFont="1">
      <alignment horizontal="center"/>
    </xf>
    <xf borderId="12" fillId="0" fontId="13" numFmtId="0" xfId="0" applyBorder="1" applyFont="1"/>
    <xf borderId="1" fillId="2" fontId="16" numFmtId="0" xfId="0" applyAlignment="1" applyBorder="1" applyFont="1">
      <alignment horizontal="center"/>
    </xf>
    <xf borderId="13" fillId="2" fontId="15" numFmtId="0" xfId="0" applyAlignment="1" applyBorder="1" applyFont="1">
      <alignment horizontal="center"/>
    </xf>
    <xf borderId="14" fillId="2" fontId="15" numFmtId="0" xfId="0" applyAlignment="1" applyBorder="1" applyFont="1">
      <alignment horizontal="center"/>
    </xf>
    <xf borderId="15" fillId="2" fontId="16" numFmtId="0" xfId="0" applyAlignment="1" applyBorder="1" applyFont="1">
      <alignment horizontal="center"/>
    </xf>
    <xf borderId="1" fillId="3" fontId="17" numFmtId="0" xfId="0" applyAlignment="1" applyBorder="1" applyFont="1">
      <alignment horizontal="left"/>
    </xf>
    <xf borderId="1" fillId="3" fontId="18" numFmtId="0" xfId="0" applyBorder="1" applyFont="1"/>
    <xf borderId="16" fillId="3" fontId="18" numFmtId="164" xfId="0" applyAlignment="1" applyBorder="1" applyFont="1" applyNumberFormat="1">
      <alignment horizontal="right"/>
    </xf>
    <xf borderId="17" fillId="3" fontId="18" numFmtId="164" xfId="0" applyAlignment="1" applyBorder="1" applyFont="1" applyNumberFormat="1">
      <alignment horizontal="right"/>
    </xf>
    <xf borderId="18" fillId="3" fontId="18" numFmtId="164" xfId="0" applyAlignment="1" applyBorder="1" applyFont="1" applyNumberFormat="1">
      <alignment horizontal="right"/>
    </xf>
    <xf borderId="19" fillId="8" fontId="18" numFmtId="0" xfId="0" applyAlignment="1" applyBorder="1" applyFill="1" applyFont="1">
      <alignment horizontal="right"/>
    </xf>
    <xf borderId="1" fillId="8" fontId="11" numFmtId="0" xfId="0" applyAlignment="1" applyBorder="1" applyFont="1">
      <alignment horizontal="left"/>
    </xf>
    <xf borderId="1" fillId="8" fontId="11" numFmtId="0" xfId="0" applyBorder="1" applyFont="1"/>
    <xf borderId="20" fillId="8" fontId="11" numFmtId="164" xfId="0" applyAlignment="1" applyBorder="1" applyFont="1" applyNumberFormat="1">
      <alignment horizontal="right"/>
    </xf>
    <xf borderId="21" fillId="8" fontId="11" numFmtId="164" xfId="0" applyAlignment="1" applyBorder="1" applyFont="1" applyNumberFormat="1">
      <alignment horizontal="right"/>
    </xf>
    <xf borderId="22" fillId="8" fontId="11" numFmtId="164" xfId="0" applyAlignment="1" applyBorder="1" applyFont="1" applyNumberFormat="1">
      <alignment horizontal="right"/>
    </xf>
    <xf borderId="23" fillId="8" fontId="11" numFmtId="164" xfId="0" applyAlignment="1" applyBorder="1" applyFont="1" applyNumberFormat="1">
      <alignment horizontal="right"/>
    </xf>
    <xf borderId="1" fillId="9" fontId="3" numFmtId="0" xfId="0" applyBorder="1" applyFill="1" applyFont="1"/>
    <xf borderId="1" fillId="2" fontId="19" numFmtId="0" xfId="0" applyAlignment="1" applyBorder="1" applyFont="1">
      <alignment horizontal="left"/>
    </xf>
    <xf borderId="0" fillId="0" fontId="11" numFmtId="0" xfId="0" applyFont="1"/>
    <xf borderId="20" fillId="0" fontId="11" numFmtId="164" xfId="0" applyAlignment="1" applyBorder="1" applyFont="1" applyNumberFormat="1">
      <alignment horizontal="right"/>
    </xf>
    <xf borderId="21" fillId="0" fontId="11" numFmtId="164" xfId="0" applyAlignment="1" applyBorder="1" applyFont="1" applyNumberFormat="1">
      <alignment horizontal="right"/>
    </xf>
    <xf borderId="24" fillId="0" fontId="11" numFmtId="164" xfId="0" applyAlignment="1" applyBorder="1" applyFont="1" applyNumberFormat="1">
      <alignment horizontal="right"/>
    </xf>
    <xf borderId="25" fillId="8" fontId="11" numFmtId="164" xfId="0" applyAlignment="1" applyBorder="1" applyFont="1" applyNumberFormat="1">
      <alignment horizontal="right"/>
    </xf>
    <xf borderId="26" fillId="4" fontId="20" numFmtId="164" xfId="0" applyAlignment="1" applyBorder="1" applyFont="1" applyNumberFormat="1">
      <alignment horizontal="left"/>
    </xf>
    <xf borderId="26" fillId="4" fontId="21" numFmtId="164" xfId="0" applyBorder="1" applyFont="1" applyNumberFormat="1"/>
    <xf borderId="27" fillId="4" fontId="22" numFmtId="164" xfId="0" applyAlignment="1" applyBorder="1" applyFont="1" applyNumberFormat="1">
      <alignment horizontal="right"/>
    </xf>
    <xf borderId="21" fillId="4" fontId="23" numFmtId="164" xfId="0" applyAlignment="1" applyBorder="1" applyFont="1" applyNumberFormat="1">
      <alignment horizontal="right"/>
    </xf>
    <xf borderId="22" fillId="4" fontId="24" numFmtId="164" xfId="0" applyAlignment="1" applyBorder="1" applyFont="1" applyNumberFormat="1">
      <alignment horizontal="right"/>
    </xf>
    <xf borderId="28" fillId="8" fontId="25" numFmtId="164" xfId="0" applyAlignment="1" applyBorder="1" applyFont="1" applyNumberFormat="1">
      <alignment horizontal="right"/>
    </xf>
    <xf borderId="0" fillId="0" fontId="26" numFmtId="0" xfId="0" applyFont="1"/>
    <xf borderId="27" fillId="8" fontId="11" numFmtId="164" xfId="0" applyAlignment="1" applyBorder="1" applyFont="1" applyNumberFormat="1">
      <alignment horizontal="right"/>
    </xf>
    <xf borderId="19" fillId="8" fontId="11" numFmtId="164" xfId="0" applyAlignment="1" applyBorder="1" applyFont="1" applyNumberFormat="1">
      <alignment horizontal="right"/>
    </xf>
    <xf borderId="24" fillId="0" fontId="11" numFmtId="0" xfId="0" applyAlignment="1" applyBorder="1" applyFont="1">
      <alignment horizontal="right"/>
    </xf>
    <xf borderId="1" fillId="2" fontId="27" numFmtId="0" xfId="0" applyAlignment="1" applyBorder="1" applyFont="1">
      <alignment horizontal="left"/>
    </xf>
    <xf borderId="0" fillId="0" fontId="28" numFmtId="0" xfId="0" applyFont="1"/>
    <xf borderId="20" fillId="0" fontId="28" numFmtId="164" xfId="0" applyAlignment="1" applyBorder="1" applyFont="1" applyNumberFormat="1">
      <alignment horizontal="right"/>
    </xf>
    <xf borderId="21" fillId="0" fontId="28" numFmtId="164" xfId="0" applyAlignment="1" applyBorder="1" applyFont="1" applyNumberFormat="1">
      <alignment horizontal="right"/>
    </xf>
    <xf borderId="24" fillId="0" fontId="28" numFmtId="164" xfId="0" applyAlignment="1" applyBorder="1" applyFont="1" applyNumberFormat="1">
      <alignment horizontal="right"/>
    </xf>
    <xf borderId="25" fillId="8" fontId="28" numFmtId="164" xfId="0" applyAlignment="1" applyBorder="1" applyFont="1" applyNumberFormat="1">
      <alignment horizontal="right"/>
    </xf>
    <xf borderId="0" fillId="0" fontId="29" numFmtId="0" xfId="0" applyFont="1"/>
    <xf borderId="29" fillId="10" fontId="30" numFmtId="164" xfId="0" applyAlignment="1" applyBorder="1" applyFill="1" applyFont="1" applyNumberFormat="1">
      <alignment horizontal="left"/>
    </xf>
    <xf borderId="29" fillId="10" fontId="17" numFmtId="164" xfId="0" applyBorder="1" applyFont="1" applyNumberFormat="1"/>
    <xf borderId="27" fillId="10" fontId="17" numFmtId="164" xfId="0" applyAlignment="1" applyBorder="1" applyFont="1" applyNumberFormat="1">
      <alignment horizontal="right"/>
    </xf>
    <xf borderId="21" fillId="10" fontId="17" numFmtId="164" xfId="0" applyAlignment="1" applyBorder="1" applyFont="1" applyNumberFormat="1">
      <alignment horizontal="right"/>
    </xf>
    <xf borderId="22" fillId="10" fontId="17" numFmtId="164" xfId="0" applyAlignment="1" applyBorder="1" applyFont="1" applyNumberFormat="1">
      <alignment horizontal="right"/>
    </xf>
    <xf borderId="30" fillId="8" fontId="17" numFmtId="164" xfId="0" applyAlignment="1" applyBorder="1" applyFont="1" applyNumberFormat="1">
      <alignment horizontal="right"/>
    </xf>
    <xf borderId="31" fillId="3" fontId="31" numFmtId="164" xfId="0" applyAlignment="1" applyBorder="1" applyFont="1" applyNumberFormat="1">
      <alignment horizontal="left"/>
    </xf>
    <xf borderId="31" fillId="3" fontId="18" numFmtId="164" xfId="0" applyBorder="1" applyFont="1" applyNumberFormat="1"/>
    <xf borderId="27" fillId="3" fontId="18" numFmtId="164" xfId="0" applyAlignment="1" applyBorder="1" applyFont="1" applyNumberFormat="1">
      <alignment horizontal="right"/>
    </xf>
    <xf borderId="21" fillId="3" fontId="18" numFmtId="164" xfId="0" applyAlignment="1" applyBorder="1" applyFont="1" applyNumberFormat="1">
      <alignment horizontal="right"/>
    </xf>
    <xf borderId="22" fillId="3" fontId="18" numFmtId="164" xfId="0" applyAlignment="1" applyBorder="1" applyFont="1" applyNumberFormat="1">
      <alignment horizontal="right"/>
    </xf>
    <xf borderId="32" fillId="8" fontId="18" numFmtId="164" xfId="0" applyAlignment="1" applyBorder="1" applyFont="1" applyNumberFormat="1">
      <alignment horizontal="right"/>
    </xf>
    <xf borderId="0" fillId="0" fontId="32" numFmtId="165" xfId="0" applyAlignment="1" applyFont="1" applyNumberFormat="1">
      <alignment horizontal="left"/>
    </xf>
    <xf borderId="0" fillId="0" fontId="11" numFmtId="0" xfId="0" applyAlignment="1" applyFont="1">
      <alignment horizontal="left"/>
    </xf>
    <xf borderId="0" fillId="0" fontId="33" numFmtId="165" xfId="0" applyAlignment="1" applyFont="1" applyNumberFormat="1">
      <alignment horizontal="right"/>
    </xf>
    <xf borderId="33" fillId="0" fontId="11" numFmtId="166" xfId="0" applyAlignment="1" applyBorder="1" applyFont="1" applyNumberFormat="1">
      <alignment horizontal="right"/>
    </xf>
    <xf borderId="21" fillId="0" fontId="11" numFmtId="167" xfId="0" applyAlignment="1" applyBorder="1" applyFont="1" applyNumberFormat="1">
      <alignment horizontal="right"/>
    </xf>
    <xf borderId="0" fillId="0" fontId="11" numFmtId="165" xfId="0" applyAlignment="1" applyFont="1" applyNumberFormat="1">
      <alignment horizontal="right"/>
    </xf>
    <xf borderId="34" fillId="5" fontId="34" numFmtId="164" xfId="0" applyAlignment="1" applyBorder="1" applyFont="1" applyNumberFormat="1">
      <alignment horizontal="left"/>
    </xf>
    <xf borderId="34" fillId="5" fontId="35" numFmtId="164" xfId="0" applyBorder="1" applyFont="1" applyNumberFormat="1"/>
    <xf borderId="27" fillId="5" fontId="35" numFmtId="164" xfId="0" applyAlignment="1" applyBorder="1" applyFont="1" applyNumberFormat="1">
      <alignment horizontal="right"/>
    </xf>
    <xf borderId="21" fillId="5" fontId="35" numFmtId="164" xfId="0" applyAlignment="1" applyBorder="1" applyFont="1" applyNumberFormat="1">
      <alignment horizontal="right"/>
    </xf>
    <xf borderId="22" fillId="5" fontId="35" numFmtId="164" xfId="0" applyAlignment="1" applyBorder="1" applyFont="1" applyNumberFormat="1">
      <alignment horizontal="right"/>
    </xf>
    <xf borderId="35" fillId="8" fontId="35" numFmtId="164" xfId="0" applyAlignment="1" applyBorder="1" applyFont="1" applyNumberFormat="1">
      <alignment horizontal="right"/>
    </xf>
    <xf borderId="36" fillId="0" fontId="36" numFmtId="164" xfId="0" applyAlignment="1" applyBorder="1" applyFont="1" applyNumberFormat="1">
      <alignment horizontal="left"/>
    </xf>
    <xf borderId="36" fillId="0" fontId="37" numFmtId="164" xfId="0" applyBorder="1" applyFont="1" applyNumberFormat="1"/>
    <xf borderId="33" fillId="0" fontId="38" numFmtId="164" xfId="0" applyAlignment="1" applyBorder="1" applyFont="1" applyNumberFormat="1">
      <alignment horizontal="right"/>
    </xf>
    <xf borderId="21" fillId="0" fontId="38" numFmtId="164" xfId="0" applyAlignment="1" applyBorder="1" applyFont="1" applyNumberFormat="1">
      <alignment horizontal="right"/>
    </xf>
    <xf borderId="24" fillId="0" fontId="38" numFmtId="164" xfId="0" applyAlignment="1" applyBorder="1" applyFont="1" applyNumberFormat="1">
      <alignment horizontal="right"/>
    </xf>
    <xf borderId="37" fillId="8" fontId="38" numFmtId="164" xfId="0" applyAlignment="1" applyBorder="1" applyFont="1" applyNumberFormat="1">
      <alignment horizontal="right"/>
    </xf>
    <xf borderId="1" fillId="8" fontId="39" numFmtId="0" xfId="0" applyAlignment="1" applyBorder="1" applyFont="1">
      <alignment horizontal="left"/>
    </xf>
    <xf borderId="38" fillId="11" fontId="40" numFmtId="164" xfId="0" applyAlignment="1" applyBorder="1" applyFill="1" applyFont="1" applyNumberFormat="1">
      <alignment horizontal="left"/>
    </xf>
    <xf borderId="38" fillId="11" fontId="41" numFmtId="164" xfId="0" applyBorder="1" applyFont="1" applyNumberFormat="1"/>
    <xf borderId="27" fillId="11" fontId="41" numFmtId="164" xfId="0" applyAlignment="1" applyBorder="1" applyFont="1" applyNumberFormat="1">
      <alignment horizontal="right"/>
    </xf>
    <xf borderId="21" fillId="11" fontId="41" numFmtId="164" xfId="0" applyAlignment="1" applyBorder="1" applyFont="1" applyNumberFormat="1">
      <alignment horizontal="right"/>
    </xf>
    <xf borderId="22" fillId="11" fontId="41" numFmtId="164" xfId="0" applyAlignment="1" applyBorder="1" applyFont="1" applyNumberFormat="1">
      <alignment horizontal="right"/>
    </xf>
    <xf borderId="39" fillId="8" fontId="41" numFmtId="164" xfId="0" applyAlignment="1" applyBorder="1" applyFont="1" applyNumberFormat="1">
      <alignment horizontal="right"/>
    </xf>
    <xf borderId="40" fillId="0" fontId="38" numFmtId="164" xfId="0" applyAlignment="1" applyBorder="1" applyFont="1" applyNumberFormat="1">
      <alignment horizontal="right"/>
    </xf>
    <xf borderId="41" fillId="0" fontId="38" numFmtId="164" xfId="0" applyAlignment="1" applyBorder="1" applyFont="1" applyNumberFormat="1">
      <alignment horizontal="right"/>
    </xf>
    <xf borderId="42" fillId="0" fontId="38" numFmtId="164" xfId="0" applyAlignment="1" applyBorder="1" applyFont="1" applyNumberFormat="1">
      <alignment horizontal="right"/>
    </xf>
    <xf borderId="0" fillId="0" fontId="3" numFmtId="164" xfId="0" applyFont="1" applyNumberFormat="1"/>
    <xf borderId="1" fillId="2" fontId="2" numFmtId="0" xfId="0" applyAlignment="1" applyBorder="1" applyFont="1">
      <alignment horizontal="center"/>
    </xf>
    <xf borderId="1" fillId="2" fontId="42" numFmtId="0" xfId="0" applyAlignment="1" applyBorder="1" applyFont="1">
      <alignment horizontal="center"/>
    </xf>
    <xf borderId="43" fillId="2" fontId="43" numFmtId="0" xfId="0" applyAlignment="1" applyBorder="1" applyFont="1">
      <alignment horizontal="center"/>
    </xf>
    <xf borderId="44" fillId="0" fontId="13" numFmtId="0" xfId="0" applyBorder="1" applyFont="1"/>
    <xf borderId="45" fillId="0" fontId="13" numFmtId="0" xfId="0" applyBorder="1" applyFont="1"/>
    <xf borderId="1" fillId="2" fontId="7" numFmtId="0" xfId="0" applyAlignment="1" applyBorder="1" applyFont="1">
      <alignment horizontal="center"/>
    </xf>
    <xf borderId="1" fillId="2" fontId="44" numFmtId="0" xfId="0" applyAlignment="1" applyBorder="1" applyFont="1">
      <alignment horizontal="center"/>
    </xf>
    <xf borderId="46" fillId="6" fontId="45" numFmtId="0" xfId="0" applyAlignment="1" applyBorder="1" applyFont="1">
      <alignment horizontal="center"/>
    </xf>
    <xf borderId="47" fillId="0" fontId="42" numFmtId="0" xfId="0" applyAlignment="1" applyBorder="1" applyFont="1">
      <alignment horizontal="center"/>
    </xf>
    <xf borderId="48" fillId="4" fontId="6" numFmtId="0" xfId="0" applyBorder="1" applyFont="1"/>
    <xf borderId="48" fillId="4" fontId="6" numFmtId="164" xfId="0" applyBorder="1" applyFont="1" applyNumberFormat="1"/>
    <xf borderId="48" fillId="4" fontId="6" numFmtId="164" xfId="0" applyAlignment="1" applyBorder="1" applyFont="1" applyNumberFormat="1">
      <alignment horizontal="right"/>
    </xf>
    <xf borderId="1" fillId="2" fontId="44" numFmtId="0" xfId="0" applyAlignment="1" applyBorder="1" applyFont="1">
      <alignment horizontal="left"/>
    </xf>
    <xf borderId="49" fillId="0" fontId="46" numFmtId="164" xfId="0" applyAlignment="1" applyBorder="1" applyFont="1" applyNumberFormat="1">
      <alignment horizontal="left"/>
    </xf>
    <xf borderId="50" fillId="12" fontId="4" numFmtId="164" xfId="0" applyAlignment="1" applyBorder="1" applyFill="1" applyFont="1" applyNumberFormat="1">
      <alignment horizontal="right"/>
    </xf>
    <xf borderId="50" fillId="13" fontId="2" numFmtId="164" xfId="0" applyAlignment="1" applyBorder="1" applyFill="1" applyFont="1" applyNumberFormat="1">
      <alignment horizontal="right"/>
    </xf>
    <xf borderId="49" fillId="0" fontId="2" numFmtId="164" xfId="0" applyAlignment="1" applyBorder="1" applyFont="1" applyNumberFormat="1">
      <alignment horizontal="right" readingOrder="0"/>
    </xf>
    <xf borderId="49" fillId="0" fontId="44" numFmtId="164" xfId="0" applyAlignment="1" applyBorder="1" applyFont="1" applyNumberFormat="1">
      <alignment horizontal="right" readingOrder="0"/>
    </xf>
    <xf borderId="49" fillId="0" fontId="2" numFmtId="164" xfId="0" applyAlignment="1" applyBorder="1" applyFont="1" applyNumberFormat="1">
      <alignment horizontal="right"/>
    </xf>
    <xf borderId="51" fillId="0" fontId="46" numFmtId="164" xfId="0" applyAlignment="1" applyBorder="1" applyFont="1" applyNumberFormat="1">
      <alignment horizontal="left"/>
    </xf>
    <xf borderId="51" fillId="12" fontId="4" numFmtId="164" xfId="0" applyAlignment="1" applyBorder="1" applyFont="1" applyNumberFormat="1">
      <alignment horizontal="right"/>
    </xf>
    <xf borderId="51" fillId="13" fontId="2" numFmtId="164" xfId="0" applyAlignment="1" applyBorder="1" applyFont="1" applyNumberFormat="1">
      <alignment horizontal="right"/>
    </xf>
    <xf borderId="51" fillId="0" fontId="2" numFmtId="164" xfId="0" applyAlignment="1" applyBorder="1" applyFont="1" applyNumberFormat="1">
      <alignment horizontal="right" readingOrder="0"/>
    </xf>
    <xf borderId="51" fillId="0" fontId="2" numFmtId="164" xfId="0" applyAlignment="1" applyBorder="1" applyFont="1" applyNumberFormat="1">
      <alignment horizontal="right"/>
    </xf>
    <xf borderId="51" fillId="0" fontId="44" numFmtId="164" xfId="0" applyAlignment="1" applyBorder="1" applyFont="1" applyNumberFormat="1">
      <alignment horizontal="left"/>
    </xf>
    <xf borderId="0" fillId="0" fontId="44" numFmtId="164" xfId="0" applyAlignment="1" applyFont="1" applyNumberFormat="1">
      <alignment horizontal="left"/>
    </xf>
    <xf borderId="26" fillId="4" fontId="6" numFmtId="164" xfId="0" applyAlignment="1" applyBorder="1" applyFont="1" applyNumberFormat="1">
      <alignment horizontal="right"/>
    </xf>
    <xf borderId="0" fillId="0" fontId="2" numFmtId="0" xfId="0" applyAlignment="1" applyFont="1">
      <alignment horizontal="left"/>
    </xf>
    <xf borderId="49" fillId="0" fontId="42" numFmtId="164" xfId="0" applyBorder="1" applyFont="1" applyNumberFormat="1"/>
    <xf borderId="51" fillId="0" fontId="42" numFmtId="164" xfId="0" applyBorder="1" applyFont="1" applyNumberFormat="1"/>
    <xf borderId="49" fillId="0" fontId="47" numFmtId="164" xfId="0" applyBorder="1" applyFont="1" applyNumberFormat="1"/>
    <xf borderId="0" fillId="0" fontId="2" numFmtId="0" xfId="0" applyAlignment="1" applyFont="1">
      <alignment horizontal="right"/>
    </xf>
    <xf borderId="51" fillId="0" fontId="2" numFmtId="164" xfId="0" applyBorder="1" applyFont="1" applyNumberFormat="1"/>
    <xf borderId="0" fillId="0" fontId="2" numFmtId="164" xfId="0" applyFont="1" applyNumberFormat="1"/>
    <xf borderId="52" fillId="6" fontId="45" numFmtId="0" xfId="0" applyAlignment="1" applyBorder="1" applyFont="1">
      <alignment horizontal="center"/>
    </xf>
    <xf borderId="1" fillId="14" fontId="48" numFmtId="0" xfId="0" applyAlignment="1" applyBorder="1" applyFill="1" applyFont="1">
      <alignment horizontal="center"/>
    </xf>
    <xf borderId="1" fillId="14" fontId="49" numFmtId="0" xfId="0" applyAlignment="1" applyBorder="1" applyFont="1">
      <alignment horizontal="center"/>
    </xf>
    <xf borderId="1" fillId="14" fontId="48" numFmtId="166" xfId="0" applyAlignment="1" applyBorder="1" applyFont="1" applyNumberFormat="1">
      <alignment horizontal="center"/>
    </xf>
    <xf borderId="53" fillId="14" fontId="48" numFmtId="166" xfId="0" applyAlignment="1" applyBorder="1" applyFont="1" applyNumberFormat="1">
      <alignment horizontal="right"/>
    </xf>
    <xf borderId="54" fillId="0" fontId="44" numFmtId="164" xfId="0" applyAlignment="1" applyBorder="1" applyFont="1" applyNumberFormat="1">
      <alignment horizontal="right"/>
    </xf>
    <xf borderId="54" fillId="0" fontId="44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50" numFmtId="164" xfId="0" applyFont="1" applyNumberFormat="1"/>
    <xf borderId="1" fillId="12" fontId="4" numFmtId="0" xfId="0" applyBorder="1" applyFont="1"/>
    <xf borderId="51" fillId="2" fontId="2" numFmtId="164" xfId="0" applyAlignment="1" applyBorder="1" applyFont="1" applyNumberFormat="1">
      <alignment horizontal="right"/>
    </xf>
    <xf borderId="1" fillId="2" fontId="3" numFmtId="0" xfId="0" applyBorder="1" applyFont="1"/>
    <xf borderId="7" fillId="2" fontId="51" numFmtId="0" xfId="0" applyAlignment="1" applyBorder="1" applyFont="1">
      <alignment horizontal="left"/>
    </xf>
    <xf borderId="55" fillId="0" fontId="13" numFmtId="0" xfId="0" applyBorder="1" applyFont="1"/>
    <xf borderId="51" fillId="2" fontId="2" numFmtId="164" xfId="0" applyAlignment="1" applyBorder="1" applyFont="1" applyNumberFormat="1">
      <alignment horizontal="right" readingOrder="0"/>
    </xf>
    <xf borderId="50" fillId="2" fontId="2" numFmtId="164" xfId="0" applyAlignment="1" applyBorder="1" applyFont="1" applyNumberFormat="1">
      <alignment horizontal="right"/>
    </xf>
    <xf borderId="56" fillId="0" fontId="42" numFmtId="0" xfId="0" applyAlignment="1" applyBorder="1" applyFont="1">
      <alignment horizontal="center"/>
    </xf>
    <xf borderId="0" fillId="0" fontId="42" numFmtId="0" xfId="0" applyFont="1"/>
    <xf borderId="0" fillId="0" fontId="2" numFmtId="164" xfId="0" applyAlignment="1" applyFont="1" applyNumberFormat="1">
      <alignment horizontal="right"/>
    </xf>
    <xf borderId="57" fillId="0" fontId="13" numFmtId="0" xfId="0" applyBorder="1" applyFont="1"/>
    <xf borderId="58" fillId="2" fontId="42" numFmtId="0" xfId="0" applyAlignment="1" applyBorder="1" applyFont="1">
      <alignment horizontal="center"/>
    </xf>
    <xf borderId="59" fillId="0" fontId="13" numFmtId="0" xfId="0" applyBorder="1" applyFont="1"/>
    <xf borderId="60" fillId="0" fontId="13" numFmtId="0" xfId="0" applyBorder="1" applyFont="1"/>
    <xf borderId="61" fillId="0" fontId="52" numFmtId="0" xfId="0" applyAlignment="1" applyBorder="1" applyFont="1">
      <alignment horizontal="center"/>
    </xf>
    <xf borderId="62" fillId="0" fontId="29" numFmtId="0" xfId="0" applyAlignment="1" applyBorder="1" applyFont="1">
      <alignment horizontal="center"/>
    </xf>
    <xf borderId="36" fillId="0" fontId="29" numFmtId="164" xfId="0" applyBorder="1" applyFont="1" applyNumberFormat="1"/>
    <xf borderId="49" fillId="0" fontId="2" numFmtId="164" xfId="0" applyBorder="1" applyFont="1" applyNumberFormat="1"/>
    <xf borderId="51" fillId="0" fontId="47" numFmtId="164" xfId="0" applyBorder="1" applyFont="1" applyNumberFormat="1"/>
    <xf borderId="51" fillId="0" fontId="3" numFmtId="164" xfId="0" applyBorder="1" applyFont="1" applyNumberFormat="1"/>
  </cellXfs>
  <cellStyles count="1">
    <cellStyle xfId="0" name="Normal" builtinId="0"/>
  </cellStyles>
  <dxfs count="4">
    <dxf>
      <font>
        <color rgb="FF006100"/>
      </font>
      <fill>
        <patternFill patternType="none"/>
      </fill>
      <border/>
    </dxf>
    <dxf>
      <font>
        <color rgb="FFC00000"/>
      </font>
      <fill>
        <patternFill patternType="none"/>
      </fill>
      <border/>
    </dxf>
    <dxf>
      <font>
        <color rgb="FFFFFFFF"/>
      </font>
      <fill>
        <patternFill patternType="solid">
          <fgColor rgb="FF548235"/>
          <bgColor rgb="FF548235"/>
        </patternFill>
      </fill>
      <border/>
    </dxf>
    <dxf>
      <font>
        <color rgb="FFFFFFFF"/>
      </font>
      <fill>
        <patternFill patternType="solid">
          <fgColor rgb="FFC00000"/>
          <bgColor rgb="FFC0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ur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8.33"/>
    <col customWidth="1" min="2" max="2" width="41.67"/>
    <col customWidth="1" min="3" max="6" width="10.44"/>
    <col customWidth="1" min="7" max="26" width="11.11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" t="s">
        <v>1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6" t="s">
        <v>2</v>
      </c>
      <c r="B4" s="7" t="str">
        <f>IF(_xlfn.ISFORMULA('Piano Finanziario'!C4),"ERRORE","OK")</f>
        <v>OK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3</v>
      </c>
      <c r="B5" s="7" t="str">
        <f>IF('Piano Finanziario'!D4='Piano Finanziario'!C37,"OK","ERRORE")</f>
        <v>OK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" t="s">
        <v>4</v>
      </c>
      <c r="B6" s="7" t="str">
        <f>IF(AND('Piano Finanziario'!D4='Piano Finanziario'!C37,'Piano Finanziario'!E4='Piano Finanziario'!D37,'Piano Finanziario'!F4='Piano Finanziario'!E37,'Piano Finanziario'!G4='Piano Finanziario'!F37,'Piano Finanziario'!H4='Piano Finanziario'!G37,'Piano Finanziario'!I4='Piano Finanziario'!H37,'Piano Finanziario'!J4='Piano Finanziario'!I37,'Piano Finanziario'!K4='Piano Finanziario'!J37),"OK","ERRORE")</f>
        <v>OK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8" t="s">
        <v>5</v>
      </c>
      <c r="B7" s="7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5" t="s">
        <v>7</v>
      </c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6" t="s">
        <v>8</v>
      </c>
      <c r="B10" s="7" t="str">
        <f>IF(AND('Piano Finanziario'!C12=SUM('Piano Finanziario'!C6:'Piano Finanziario'!C11),'Piano Finanziario'!D12=SUM('Piano Finanziario'!D6:'Piano Finanziario'!D11),'Piano Finanziario'!E12=SUM('Piano Finanziario'!E6:'Piano Finanziario'!E11),'Piano Finanziario'!F12=SUM('Piano Finanziario'!F6:'Piano Finanziario'!F11),'Piano Finanziario'!G12=SUM('Piano Finanziario'!G6:'Piano Finanziario'!G11),'Piano Finanziario'!H12=SUM('Piano Finanziario'!H6:'Piano Finanziario'!H11),'Piano Finanziario'!I12=SUM('Piano Finanziario'!I6:'Piano Finanziario'!I11),'Piano Finanziario'!J12=SUM('Piano Finanziario'!J6:'Piano Finanziario'!J11),'Piano Finanziario'!K12=SUM('Piano Finanziario'!K6:'Piano Finanziario'!K11)),"OK","ERRORE")</f>
        <v>OK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5" t="s">
        <v>9</v>
      </c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6" t="s">
        <v>10</v>
      </c>
      <c r="B13" s="7" t="str">
        <f>IF(AND('Piano Finanziario'!C27=SUM('Piano Finanziario'!C14:'Piano Finanziario'!C26),'Piano Finanziario'!D27=SUM('Piano Finanziario'!D14:'Piano Finanziario'!D26),'Piano Finanziario'!E27=SUM('Piano Finanziario'!E14:'Piano Finanziario'!E26),'Piano Finanziario'!F27=SUM('Piano Finanziario'!F14:'Piano Finanziario'!F26),'Piano Finanziario'!G27=SUM('Piano Finanziario'!G14:'Piano Finanziario'!G26),'Piano Finanziario'!H27=SUM('Piano Finanziario'!H14:'Piano Finanziario'!H26),'Piano Finanziario'!I27=SUM('Piano Finanziario'!I14:'Piano Finanziario'!I26),'Piano Finanziario'!J27=SUM('Piano Finanziario'!J14:'Piano Finanziario'!J26),'Piano Finanziario'!K27=SUM('Piano Finanziario'!K14:'Piano Finanziario'!K26)),"OK","ERRORE")</f>
        <v>OK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5" t="s">
        <v>11</v>
      </c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6" t="s">
        <v>12</v>
      </c>
      <c r="B16" s="7" t="str">
        <f>IF(AND('Piano Finanziario'!C29='Piano Finanziario'!C12-'Piano Finanziario'!C27,'Piano Finanziario'!D29='Piano Finanziario'!D12-'Piano Finanziario'!D27,'Piano Finanziario'!E29='Piano Finanziario'!E12-'Piano Finanziario'!E27,'Piano Finanziario'!F29='Piano Finanziario'!F12-'Piano Finanziario'!F27,'Piano Finanziario'!G29='Piano Finanziario'!G12-'Piano Finanziario'!G27,'Piano Finanziario'!H29='Piano Finanziario'!H12-'Piano Finanziario'!H27,'Piano Finanziario'!I29='Piano Finanziario'!I12-'Piano Finanziario'!I27,'Piano Finanziario'!J29='Piano Finanziario'!J12-'Piano Finanziario'!J27,'Piano Finanziario'!K29='Piano Finanziario'!K12-'Piano Finanziario'!K27),"OK","ERRORE")</f>
        <v>OK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5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/>
      <c r="B19" s="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" t="s">
        <v>13</v>
      </c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6" t="s">
        <v>14</v>
      </c>
      <c r="B22" s="7" t="str">
        <f>IF(AND('Piano Finanziario'!C14='Salari e Stipendi'!D4,'Piano Finanziario'!D14='Salari e Stipendi'!E4,'Piano Finanziario'!E14='Salari e Stipendi'!F4,'Piano Finanziario'!F14='Salari e Stipendi'!G4,'Piano Finanziario'!G14='Salari e Stipendi'!H4,'Piano Finanziario'!H14='Salari e Stipendi'!I4,'Piano Finanziario'!I14='Salari e Stipendi'!J4,'Piano Finanziario'!J14='Salari e Stipendi'!K4,'Piano Finanziario'!K14='Salari e Stipendi'!L4),"OK","ERRORE")</f>
        <v>OK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" t="s">
        <v>15</v>
      </c>
      <c r="B23" s="7" t="str">
        <f>IF(AND('Piano Finanziario'!C15=Utenze!D3,'Piano Finanziario'!D15=Utenze!E3,'Piano Finanziario'!E15=Utenze!F3,'Piano Finanziario'!F15=Utenze!G3,'Piano Finanziario'!G15=Utenze!H3,'Piano Finanziario'!H15=Utenze!I3,'Piano Finanziario'!I15=Utenze!J3,'Piano Finanziario'!J15=Utenze!K3,'Piano Finanziario'!K15=Utenze!L3),"OK","ERRORE")</f>
        <v>OK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" t="s">
        <v>16</v>
      </c>
      <c r="B24" s="7" t="str">
        <f>IF(AND('Piano Finanziario'!C16=MAX('Materie Prime-Consumo '!D3,'Materie Prime-Consumo '!D4),'Piano Finanziario'!D16=MAX('Materie Prime-Consumo '!E3,'Materie Prime-Consumo '!E4),'Piano Finanziario'!E16=MAX('Materie Prime-Consumo '!F3,'Materie Prime-Consumo '!F4),'Piano Finanziario'!F16=MAX('Materie Prime-Consumo '!G3,'Materie Prime-Consumo '!G4),'Piano Finanziario'!G16=MAX('Materie Prime-Consumo '!H3,'Materie Prime-Consumo '!H4),'Piano Finanziario'!H16=MAX('Materie Prime-Consumo '!I3,'Materie Prime-Consumo '!I4),'Piano Finanziario'!I16=MAX('Materie Prime-Consumo '!J3,'Materie Prime-Consumo '!J4),'Piano Finanziario'!J16=MAX('Materie Prime-Consumo '!K3,'Materie Prime-Consumo '!K4),'Piano Finanziario'!K16=MAX('Materie Prime-Consumo '!L3,'Materie Prime-Consumo '!L4)),"OK","ERRORE")</f>
        <v>OK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" t="s">
        <v>17</v>
      </c>
      <c r="B25" s="7" t="str">
        <f>IF(AND('Piano Finanziario'!C17='Tasse e Imposte'!D3,'Piano Finanziario'!D17='Tasse e Imposte'!E3,'Piano Finanziario'!E17='Tasse e Imposte'!F3,'Piano Finanziario'!F17='Tasse e Imposte'!G3,'Piano Finanziario'!G17='Tasse e Imposte'!H3,'Piano Finanziario'!H17='Tasse e Imposte'!I3,'Piano Finanziario'!I17='Tasse e Imposte'!J3,'Piano Finanziario'!J17='Tasse e Imposte'!K3,'Piano Finanziario'!K17='Tasse e Imposte'!L3),"OK","ERRORE")</f>
        <v>OK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" t="s">
        <v>18</v>
      </c>
      <c r="B26" s="7" t="str">
        <f>IF(AND('Piano Finanziario'!C18='Commisisoni Portali'!D3,'Piano Finanziario'!D18='Commisisoni Portali'!E3,'Piano Finanziario'!E18='Commisisoni Portali'!F3,'Piano Finanziario'!F18='Commisisoni Portali'!G3,'Piano Finanziario'!G18='Commisisoni Portali'!H3,'Piano Finanziario'!H18='Commisisoni Portali'!I3,'Piano Finanziario'!I18='Commisisoni Portali'!J3,'Piano Finanziario'!J18='Commisisoni Portali'!K3,'Piano Finanziario'!K18='Commisisoni Portali'!L3),"OK","ERRORE")</f>
        <v>OK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" t="s">
        <v>19</v>
      </c>
      <c r="B27" s="7" t="str">
        <f>IF(AND('Piano Finanziario'!C19='Mutui e Finaziamenti'!D3,'Piano Finanziario'!D19='Mutui e Finaziamenti'!E3,'Piano Finanziario'!E19='Mutui e Finaziamenti'!F3,'Piano Finanziario'!F19='Mutui e Finaziamenti'!G3,'Piano Finanziario'!G19='Mutui e Finaziamenti'!H3,'Piano Finanziario'!H19='Mutui e Finaziamenti'!I3,'Piano Finanziario'!I19='Mutui e Finaziamenti'!J3,'Piano Finanziario'!J19='Mutui e Finaziamenti'!K3,'Piano Finanziario'!K19='Mutui e Finaziamenti'!L3),"OK","ERRORE")</f>
        <v>OK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" t="s">
        <v>20</v>
      </c>
      <c r="B28" s="7" t="str">
        <f>IF(AND('Piano Finanziario'!C20=Consulenze!D3,'Piano Finanziario'!D20=Consulenze!E3,'Piano Finanziario'!E20=Consulenze!F3,'Piano Finanziario'!F20=Consulenze!G3,'Piano Finanziario'!G20=Consulenze!H3,'Piano Finanziario'!H20=Consulenze!I3,'Piano Finanziario'!I20=Consulenze!J3,'Piano Finanziario'!J20=Consulenze!K3,'Piano Finanziario'!K20=Consulenze!L3),"OK","ERRORE")</f>
        <v>OK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" t="s">
        <v>21</v>
      </c>
      <c r="B29" s="7" t="str">
        <f>IF(AND('Piano Finanziario'!C21='Godimento Beni di Terzi'!D4,'Piano Finanziario'!D21='Godimento Beni di Terzi'!E4,'Piano Finanziario'!E21='Godimento Beni di Terzi'!F4,'Piano Finanziario'!F21='Godimento Beni di Terzi'!G4,'Piano Finanziario'!G21='Godimento Beni di Terzi'!H4,'Piano Finanziario'!H21='Godimento Beni di Terzi'!I4,'Piano Finanziario'!I21='Godimento Beni di Terzi'!J4,'Piano Finanziario'!J21='Godimento Beni di Terzi'!K4,'Piano Finanziario'!K21='Godimento Beni di Terzi'!L4),"OK","ERRORE")</f>
        <v>OK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" t="s">
        <v>22</v>
      </c>
      <c r="B30" s="7" t="str">
        <f>IF(AND('Piano Finanziario'!C22=' Varie ed Eventuali'!D3,'Piano Finanziario'!D22=' Varie ed Eventuali'!E3,'Piano Finanziario'!E22=' Varie ed Eventuali'!F3,'Piano Finanziario'!F22=' Varie ed Eventuali'!G3,'Piano Finanziario'!G22=' Varie ed Eventuali'!H3,'Piano Finanziario'!H22=' Varie ed Eventuali'!I3,'Piano Finanziario'!I22=' Varie ed Eventuali'!J3,'Piano Finanziario'!J22=' Varie ed Eventuali'!K3,'Piano Finanziario'!K22=' Varie ed Eventuali'!L3),"OK","ERRORE")</f>
        <v>OK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 t="s">
        <v>23</v>
      </c>
      <c r="B31" s="7" t="str">
        <f>IF(AND('Piano Finanziario'!C23='Canoni e servizi'!D4,'Piano Finanziario'!D23='Canoni e servizi'!E4,'Piano Finanziario'!E23='Canoni e servizi'!F4,'Piano Finanziario'!F23='Canoni e servizi'!G4,'Piano Finanziario'!G23='Canoni e servizi'!H4,'Piano Finanziario'!H23='Canoni e servizi'!I4,'Piano Finanziario'!I23='Canoni e servizi'!J4,'Piano Finanziario'!J23='Canoni e servizi'!K4,'Piano Finanziario'!K23='Canoni e servizi'!L4),"OK","ERRORE")</f>
        <v>OK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" t="s">
        <v>24</v>
      </c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" t="s">
        <v>25</v>
      </c>
      <c r="B34" s="7" t="str">
        <f>IF(AND('Piano Finanziario'!C37='Piano Finanziario'!C4+'Piano Finanziario'!C29,'Piano Finanziario'!D37='Piano Finanziario'!D4+'Piano Finanziario'!D29,'Piano Finanziario'!E37='Piano Finanziario'!E4+'Piano Finanziario'!E29,'Piano Finanziario'!F37='Piano Finanziario'!F4+'Piano Finanziario'!F29,'Piano Finanziario'!G37='Piano Finanziario'!G4+'Piano Finanziario'!G29,'Piano Finanziario'!H37='Piano Finanziario'!H4+'Piano Finanziario'!H29,'Piano Finanziario'!I37='Piano Finanziario'!I4+'Piano Finanziario'!I29,'Piano Finanziario'!J37='Piano Finanziario'!J4+'Piano Finanziario'!J29,'Piano Finanziario'!K37='Piano Finanziario'!K4+'Piano Finanziario'!K29),"OK","ERRORE")</f>
        <v>OK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" t="s">
        <v>26</v>
      </c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6" t="s">
        <v>27</v>
      </c>
      <c r="B37" s="7" t="str">
        <f>IF(AND('Piano Finanziario'!C45='Piano Finanziario'!C37+'Piano Finanziario'!C43,'Piano Finanziario'!D45='Piano Finanziario'!D37+'Piano Finanziario'!D43,'Piano Finanziario'!E45='Piano Finanziario'!E37+'Piano Finanziario'!E43,'Piano Finanziario'!F45='Piano Finanziario'!F37+'Piano Finanziario'!F43,'Piano Finanziario'!G45='Piano Finanziario'!G37+'Piano Finanziario'!G43,'Piano Finanziario'!H45='Piano Finanziario'!H37+'Piano Finanziario'!H43,'Piano Finanziario'!I45='Piano Finanziario'!I37+'Piano Finanziario'!I43,'Piano Finanziario'!J45='Piano Finanziario'!J37+'Piano Finanziario'!J43,'Piano Finanziario'!K45='Piano Finanziario'!K37+'Piano Finanziario'!K43),"OK","ERRORE")</f>
        <v>OK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" t="s">
        <v>28</v>
      </c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6" t="s">
        <v>29</v>
      </c>
      <c r="B40" s="7" t="str">
        <f>IF('Piano Finanziario'!L12=SUM('Piano Finanziario'!C12:'Piano Finanziario'!K12),"OK","ERRORE")</f>
        <v>OK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6" t="s">
        <v>30</v>
      </c>
      <c r="B41" s="7" t="str">
        <f>IF('Piano Finanziario'!L27=SUM('Piano Finanziario'!C27:'Piano Finanziario'!K27),"OK","ERRORE")</f>
        <v>OK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6" t="s">
        <v>31</v>
      </c>
      <c r="B42" s="7" t="str">
        <f>IF('Piano Finanziario'!L29='Piano Finanziario'!L12-'Piano Finanziario'!L27,"OK","ERRORE")</f>
        <v>OK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0" t="str">
        <f>CONCATENATE("RISULTATO COMPLESSIVO")</f>
        <v>RISULTATO COMPLESSIVO</v>
      </c>
      <c r="B44" s="10" t="str">
        <f>IF(COUNTIF(B4:B42,"ERRORE")=0,"✓ TUTTI I "&amp;COUNTA(B4:B42)&amp;" CONTROLLI OK","✗ "&amp;COUNTIF(B4:B42,"ERRORE")&amp;" ERRORI TROVATI su "&amp;COUNTA(B4:B42)&amp;" verifiche")</f>
        <v>✓ TUTTI I 22 CONTROLLI OK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1.22" defaultRowHeight="15.0"/>
  <cols>
    <col customWidth="1" min="1" max="1" width="36.67"/>
    <col customWidth="1" min="2" max="2" width="0.78"/>
    <col customWidth="1" min="3" max="11" width="20.78"/>
    <col customWidth="1" min="12" max="12" width="22.44"/>
    <col customWidth="1" min="13" max="13" width="8.33"/>
    <col customWidth="1" min="14" max="14" width="15.0"/>
    <col customWidth="1" min="15" max="17" width="8.33"/>
    <col customWidth="1" min="18" max="26" width="11.11"/>
  </cols>
  <sheetData>
    <row r="1" ht="30.0" customHeight="1">
      <c r="A1" s="11" t="s">
        <v>32</v>
      </c>
      <c r="B1" s="12"/>
      <c r="C1" s="13">
        <v>2026.0</v>
      </c>
      <c r="D1" s="14"/>
      <c r="E1" s="14"/>
      <c r="F1" s="14"/>
      <c r="G1" s="14"/>
      <c r="H1" s="14"/>
      <c r="I1" s="14"/>
      <c r="J1" s="14"/>
      <c r="K1" s="15"/>
      <c r="L1" s="16"/>
      <c r="M1" s="17"/>
      <c r="N1" s="17"/>
      <c r="O1" s="17"/>
      <c r="P1" s="17"/>
      <c r="Q1" s="17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18"/>
      <c r="B2" s="12"/>
      <c r="C2" s="19" t="s">
        <v>33</v>
      </c>
      <c r="D2" s="20" t="s">
        <v>34</v>
      </c>
      <c r="E2" s="20" t="s">
        <v>35</v>
      </c>
      <c r="F2" s="20" t="s">
        <v>36</v>
      </c>
      <c r="G2" s="20" t="s">
        <v>37</v>
      </c>
      <c r="H2" s="20" t="s">
        <v>38</v>
      </c>
      <c r="I2" s="20" t="s">
        <v>39</v>
      </c>
      <c r="J2" s="20" t="s">
        <v>40</v>
      </c>
      <c r="K2" s="21" t="s">
        <v>41</v>
      </c>
      <c r="L2" s="22" t="s">
        <v>42</v>
      </c>
      <c r="M2" s="17"/>
      <c r="N2" s="17"/>
      <c r="O2" s="17"/>
      <c r="P2" s="17"/>
      <c r="Q2" s="17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23"/>
      <c r="B3" s="24"/>
      <c r="C3" s="25"/>
      <c r="D3" s="25"/>
      <c r="E3" s="25"/>
      <c r="F3" s="25"/>
      <c r="G3" s="25"/>
      <c r="H3" s="25"/>
      <c r="I3" s="25"/>
      <c r="J3" s="25"/>
      <c r="K3" s="26"/>
      <c r="L3" s="27"/>
      <c r="M3" s="17"/>
      <c r="N3" s="17"/>
      <c r="O3" s="17"/>
      <c r="P3" s="17"/>
      <c r="Q3" s="17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28" t="s">
        <v>43</v>
      </c>
      <c r="B4" s="29"/>
      <c r="C4" s="30">
        <v>339337.46</v>
      </c>
      <c r="D4" s="31">
        <f t="shared" ref="D4:K4" si="1">C37</f>
        <v>339337.46</v>
      </c>
      <c r="E4" s="31">
        <f t="shared" si="1"/>
        <v>382984.03</v>
      </c>
      <c r="F4" s="31">
        <f t="shared" si="1"/>
        <v>128423.73</v>
      </c>
      <c r="G4" s="31">
        <f t="shared" si="1"/>
        <v>405473.59</v>
      </c>
      <c r="H4" s="31">
        <f t="shared" si="1"/>
        <v>911588.89</v>
      </c>
      <c r="I4" s="31">
        <f t="shared" si="1"/>
        <v>1264189.34</v>
      </c>
      <c r="J4" s="32">
        <f t="shared" si="1"/>
        <v>1257887.95</v>
      </c>
      <c r="K4" s="32">
        <f t="shared" si="1"/>
        <v>860272.38</v>
      </c>
      <c r="L4" s="3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.5" customHeight="1">
      <c r="A5" s="34"/>
      <c r="B5" s="35"/>
      <c r="C5" s="36"/>
      <c r="D5" s="37"/>
      <c r="E5" s="37"/>
      <c r="F5" s="37"/>
      <c r="G5" s="37"/>
      <c r="H5" s="37"/>
      <c r="I5" s="37"/>
      <c r="J5" s="38"/>
      <c r="K5" s="38"/>
      <c r="L5" s="39"/>
      <c r="M5" s="40"/>
      <c r="N5" s="40"/>
      <c r="O5" s="40"/>
      <c r="P5" s="40"/>
      <c r="Q5" s="40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41" t="s">
        <v>44</v>
      </c>
      <c r="B6" s="42"/>
      <c r="C6" s="43"/>
      <c r="D6" s="44">
        <v>450000.0</v>
      </c>
      <c r="E6" s="44">
        <v>600000.0</v>
      </c>
      <c r="F6" s="44">
        <v>750000.0</v>
      </c>
      <c r="G6" s="44">
        <v>830000.0</v>
      </c>
      <c r="H6" s="44">
        <v>580000.0</v>
      </c>
      <c r="I6" s="44">
        <f>110000+160000</f>
        <v>270000</v>
      </c>
      <c r="J6" s="45"/>
      <c r="K6" s="45"/>
      <c r="L6" s="39">
        <f t="shared" ref="L6:L12" si="2">SUM(C6:K6)</f>
        <v>3480000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41" t="s">
        <v>45</v>
      </c>
      <c r="B7" s="42"/>
      <c r="C7" s="43"/>
      <c r="D7" s="44">
        <v>60000.0</v>
      </c>
      <c r="E7" s="44">
        <v>100000.0</v>
      </c>
      <c r="F7" s="44">
        <v>120000.0</v>
      </c>
      <c r="G7" s="44">
        <v>140000.0</v>
      </c>
      <c r="H7" s="44">
        <v>100000.0</v>
      </c>
      <c r="I7" s="44">
        <f>26000+17000</f>
        <v>43000</v>
      </c>
      <c r="J7" s="45"/>
      <c r="K7" s="45"/>
      <c r="L7" s="39">
        <f t="shared" si="2"/>
        <v>563000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41" t="s">
        <v>46</v>
      </c>
      <c r="B8" s="42"/>
      <c r="C8" s="43"/>
      <c r="D8" s="44">
        <v>22000.0</v>
      </c>
      <c r="E8" s="44">
        <v>25000.0</v>
      </c>
      <c r="F8" s="44">
        <v>45000.0</v>
      </c>
      <c r="G8" s="44">
        <v>48000.0</v>
      </c>
      <c r="H8" s="44">
        <v>30000.0</v>
      </c>
      <c r="I8" s="44">
        <f>5798+10000</f>
        <v>15798</v>
      </c>
      <c r="J8" s="45"/>
      <c r="K8" s="45"/>
      <c r="L8" s="39">
        <f t="shared" si="2"/>
        <v>185798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41" t="s">
        <v>47</v>
      </c>
      <c r="B9" s="42"/>
      <c r="C9" s="43"/>
      <c r="D9" s="44">
        <v>25620.0</v>
      </c>
      <c r="E9" s="44">
        <v>25620.0</v>
      </c>
      <c r="F9" s="44">
        <v>25620.0</v>
      </c>
      <c r="G9" s="44">
        <v>25620.0</v>
      </c>
      <c r="H9" s="44">
        <v>25620.0</v>
      </c>
      <c r="I9" s="44">
        <v>25620.0</v>
      </c>
      <c r="J9" s="45">
        <v>25620.0</v>
      </c>
      <c r="K9" s="45">
        <v>25620.0</v>
      </c>
      <c r="L9" s="46">
        <f t="shared" si="2"/>
        <v>204960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41" t="s">
        <v>48</v>
      </c>
      <c r="B10" s="42"/>
      <c r="C10" s="43"/>
      <c r="D10" s="44"/>
      <c r="E10" s="44"/>
      <c r="F10" s="44"/>
      <c r="G10" s="44"/>
      <c r="H10" s="44"/>
      <c r="I10" s="44"/>
      <c r="J10" s="45"/>
      <c r="K10" s="45"/>
      <c r="L10" s="46">
        <f t="shared" si="2"/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41" t="s">
        <v>49</v>
      </c>
      <c r="B11" s="42"/>
      <c r="C11" s="43"/>
      <c r="D11" s="44"/>
      <c r="E11" s="44"/>
      <c r="F11" s="44"/>
      <c r="G11" s="44"/>
      <c r="H11" s="44"/>
      <c r="I11" s="44"/>
      <c r="J11" s="45"/>
      <c r="K11" s="45"/>
      <c r="L11" s="46">
        <f t="shared" si="2"/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47" t="s">
        <v>50</v>
      </c>
      <c r="B12" s="48"/>
      <c r="C12" s="49">
        <f t="shared" ref="C12:K12" si="3">SUM(C6:C11)</f>
        <v>0</v>
      </c>
      <c r="D12" s="50">
        <f t="shared" si="3"/>
        <v>557620</v>
      </c>
      <c r="E12" s="50">
        <f t="shared" si="3"/>
        <v>750620</v>
      </c>
      <c r="F12" s="50">
        <f t="shared" si="3"/>
        <v>940620</v>
      </c>
      <c r="G12" s="50">
        <f t="shared" si="3"/>
        <v>1043620</v>
      </c>
      <c r="H12" s="50">
        <f t="shared" si="3"/>
        <v>735620</v>
      </c>
      <c r="I12" s="50">
        <f t="shared" si="3"/>
        <v>354418</v>
      </c>
      <c r="J12" s="51">
        <f t="shared" si="3"/>
        <v>25620</v>
      </c>
      <c r="K12" s="51">
        <f t="shared" si="3"/>
        <v>25620</v>
      </c>
      <c r="L12" s="52">
        <f t="shared" si="2"/>
        <v>4433758</v>
      </c>
      <c r="M12" s="53"/>
      <c r="N12" s="53"/>
      <c r="O12" s="53"/>
      <c r="P12" s="53"/>
      <c r="Q12" s="53"/>
      <c r="R12" s="3"/>
      <c r="S12" s="3"/>
      <c r="T12" s="3"/>
      <c r="U12" s="3"/>
      <c r="V12" s="3"/>
      <c r="W12" s="3"/>
      <c r="X12" s="3"/>
      <c r="Y12" s="3"/>
      <c r="Z12" s="3"/>
    </row>
    <row r="13" ht="7.5" customHeight="1">
      <c r="A13" s="34"/>
      <c r="B13" s="35"/>
      <c r="C13" s="54"/>
      <c r="D13" s="37"/>
      <c r="E13" s="37"/>
      <c r="F13" s="37"/>
      <c r="G13" s="37"/>
      <c r="H13" s="37"/>
      <c r="I13" s="37"/>
      <c r="J13" s="38"/>
      <c r="K13" s="38"/>
      <c r="L13" s="5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41" t="s">
        <v>51</v>
      </c>
      <c r="B14" s="42"/>
      <c r="C14" s="43">
        <f>'Salari e Stipendi'!D4</f>
        <v>0</v>
      </c>
      <c r="D14" s="44">
        <f>'Salari e Stipendi'!E4</f>
        <v>95700.26</v>
      </c>
      <c r="E14" s="44">
        <f>'Salari e Stipendi'!F4</f>
        <v>120969.2</v>
      </c>
      <c r="F14" s="44">
        <f>'Salari e Stipendi'!G4</f>
        <v>135000</v>
      </c>
      <c r="G14" s="44">
        <f>'Salari e Stipendi'!H4</f>
        <v>155000</v>
      </c>
      <c r="H14" s="44">
        <f>'Salari e Stipendi'!I4</f>
        <v>140000</v>
      </c>
      <c r="I14" s="44">
        <f>'Salari e Stipendi'!J4</f>
        <v>115000</v>
      </c>
      <c r="J14" s="45">
        <f>'Salari e Stipendi'!K4</f>
        <v>175000</v>
      </c>
      <c r="K14" s="45">
        <f>'Salari e Stipendi'!L4</f>
        <v>58000</v>
      </c>
      <c r="L14" s="39">
        <f t="shared" ref="L14:L24" si="4">SUM(C14:K14)</f>
        <v>994669.46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41" t="s">
        <v>52</v>
      </c>
      <c r="B15" s="42"/>
      <c r="C15" s="43">
        <f>Utenze!D3</f>
        <v>0</v>
      </c>
      <c r="D15" s="44">
        <f>Utenze!E3</f>
        <v>23633.52</v>
      </c>
      <c r="E15" s="44">
        <f>Utenze!F3</f>
        <v>36973.64</v>
      </c>
      <c r="F15" s="44">
        <f>Utenze!G3</f>
        <v>33450</v>
      </c>
      <c r="G15" s="44">
        <f>Utenze!H3</f>
        <v>36500</v>
      </c>
      <c r="H15" s="44">
        <f>Utenze!I3</f>
        <v>28500</v>
      </c>
      <c r="I15" s="44">
        <f>Utenze!J3</f>
        <v>31500</v>
      </c>
      <c r="J15" s="45">
        <f>Utenze!K3</f>
        <v>29500</v>
      </c>
      <c r="K15" s="45">
        <f>Utenze!L3</f>
        <v>41000</v>
      </c>
      <c r="L15" s="39">
        <f t="shared" si="4"/>
        <v>261057.16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41" t="s">
        <v>53</v>
      </c>
      <c r="B16" s="42"/>
      <c r="C16" s="43">
        <f>MAX('Materie Prime-Consumo '!D3,'Materie Prime-Consumo '!D4)</f>
        <v>0</v>
      </c>
      <c r="D16" s="44">
        <f>MAX('Materie Prime-Consumo '!E3,'Materie Prime-Consumo '!E4)</f>
        <v>49324.14</v>
      </c>
      <c r="E16" s="44">
        <f>MAX('Materie Prime-Consumo '!F3,'Materie Prime-Consumo '!F4)</f>
        <v>95000</v>
      </c>
      <c r="F16" s="44">
        <f>MAX('Materie Prime-Consumo '!G3,'Materie Prime-Consumo '!G4)</f>
        <v>120000</v>
      </c>
      <c r="G16" s="44">
        <f>MAX('Materie Prime-Consumo '!H3,'Materie Prime-Consumo '!H4)</f>
        <v>145000</v>
      </c>
      <c r="H16" s="44">
        <f>MAX('Materie Prime-Consumo '!I3,'Materie Prime-Consumo '!I4)</f>
        <v>140000</v>
      </c>
      <c r="I16" s="44">
        <f>MAX('Materie Prime-Consumo '!J3,'Materie Prime-Consumo '!J4)</f>
        <v>135000</v>
      </c>
      <c r="J16" s="45">
        <f>MAX('Materie Prime-Consumo '!K3,'Materie Prime-Consumo '!K4)</f>
        <v>75000</v>
      </c>
      <c r="K16" s="45">
        <f>MAX('Materie Prime-Consumo '!L3,'Materie Prime-Consumo '!L4)</f>
        <v>60000</v>
      </c>
      <c r="L16" s="39">
        <f t="shared" si="4"/>
        <v>819324.14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41" t="s">
        <v>54</v>
      </c>
      <c r="B17" s="42"/>
      <c r="C17" s="43">
        <f>'Tasse e Imposte'!D3</f>
        <v>0</v>
      </c>
      <c r="D17" s="44">
        <f>'Tasse e Imposte'!E3</f>
        <v>17054</v>
      </c>
      <c r="E17" s="44">
        <f>'Tasse e Imposte'!F3</f>
        <v>140705</v>
      </c>
      <c r="F17" s="44">
        <f>'Tasse e Imposte'!G3</f>
        <v>76000</v>
      </c>
      <c r="G17" s="44">
        <f>'Tasse e Imposte'!H3</f>
        <v>19400</v>
      </c>
      <c r="H17" s="44">
        <f>'Tasse e Imposte'!I3</f>
        <v>23500</v>
      </c>
      <c r="I17" s="44">
        <f>'Tasse e Imposte'!J3</f>
        <v>30730</v>
      </c>
      <c r="J17" s="45">
        <f>'Tasse e Imposte'!K3</f>
        <v>12130</v>
      </c>
      <c r="K17" s="45">
        <f>'Tasse e Imposte'!L3</f>
        <v>0</v>
      </c>
      <c r="L17" s="39">
        <f t="shared" si="4"/>
        <v>319519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41" t="s">
        <v>55</v>
      </c>
      <c r="B18" s="42"/>
      <c r="C18" s="43">
        <f>'Commisisoni Portali'!D3</f>
        <v>0</v>
      </c>
      <c r="D18" s="44">
        <f>'Commisisoni Portali'!E3</f>
        <v>15961.81</v>
      </c>
      <c r="E18" s="44">
        <f>'Commisisoni Portali'!F3</f>
        <v>23105.49</v>
      </c>
      <c r="F18" s="44">
        <f>'Commisisoni Portali'!G3</f>
        <v>39300</v>
      </c>
      <c r="G18" s="44">
        <f>'Commisisoni Portali'!H3</f>
        <v>43300</v>
      </c>
      <c r="H18" s="44">
        <f>'Commisisoni Portali'!I3</f>
        <v>10160</v>
      </c>
      <c r="I18" s="44">
        <f>'Commisisoni Portali'!J3</f>
        <v>28000</v>
      </c>
      <c r="J18" s="45">
        <f>'Commisisoni Portali'!K3</f>
        <v>14000</v>
      </c>
      <c r="K18" s="45">
        <f>'Commisisoni Portali'!L3</f>
        <v>8200</v>
      </c>
      <c r="L18" s="39">
        <f t="shared" si="4"/>
        <v>182027.3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41" t="s">
        <v>56</v>
      </c>
      <c r="B19" s="42"/>
      <c r="C19" s="43">
        <f>'Mutui e Finaziamenti'!D3</f>
        <v>0</v>
      </c>
      <c r="D19" s="44">
        <f>'Mutui e Finaziamenti'!E3</f>
        <v>13773.46</v>
      </c>
      <c r="E19" s="44">
        <f>'Mutui e Finaziamenti'!F3</f>
        <v>179801.8</v>
      </c>
      <c r="F19" s="44">
        <f>'Mutui e Finaziamenti'!G3</f>
        <v>13659.3</v>
      </c>
      <c r="G19" s="44">
        <f>'Mutui e Finaziamenti'!H3</f>
        <v>13658.59</v>
      </c>
      <c r="H19" s="44">
        <f>'Mutui e Finaziamenti'!I3</f>
        <v>13627.32</v>
      </c>
      <c r="I19" s="44">
        <f>'Mutui e Finaziamenti'!J3</f>
        <v>13657.16</v>
      </c>
      <c r="J19" s="45">
        <f>'Mutui e Finaziamenti'!K3</f>
        <v>13628.34</v>
      </c>
      <c r="K19" s="45">
        <f>'Mutui e Finaziamenti'!L3</f>
        <v>179831.72</v>
      </c>
      <c r="L19" s="39">
        <f t="shared" si="4"/>
        <v>441637.69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41" t="s">
        <v>57</v>
      </c>
      <c r="B20" s="42"/>
      <c r="C20" s="43">
        <f>Consulenze!D3</f>
        <v>0</v>
      </c>
      <c r="D20" s="44">
        <f>Consulenze!E3</f>
        <v>10354.9</v>
      </c>
      <c r="E20" s="44">
        <f>Consulenze!F3</f>
        <v>10354.9</v>
      </c>
      <c r="F20" s="44">
        <f>Consulenze!G3</f>
        <v>38432</v>
      </c>
      <c r="G20" s="44">
        <f>Consulenze!H3</f>
        <v>0</v>
      </c>
      <c r="H20" s="44">
        <f>Consulenze!I3</f>
        <v>23700</v>
      </c>
      <c r="I20" s="44">
        <f>Consulenze!J3</f>
        <v>0</v>
      </c>
      <c r="J20" s="45">
        <f>Consulenze!K3</f>
        <v>0</v>
      </c>
      <c r="K20" s="45">
        <f>Consulenze!L3</f>
        <v>0</v>
      </c>
      <c r="L20" s="39">
        <f t="shared" si="4"/>
        <v>82841.8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41" t="s">
        <v>58</v>
      </c>
      <c r="B21" s="42"/>
      <c r="C21" s="43">
        <f>'Godimento Beni di Terzi'!D4</f>
        <v>0</v>
      </c>
      <c r="D21" s="44">
        <f>'Godimento Beni di Terzi'!E4</f>
        <v>196998.53</v>
      </c>
      <c r="E21" s="44">
        <f>'Godimento Beni di Terzi'!F4</f>
        <v>299427.16</v>
      </c>
      <c r="F21" s="44">
        <f>'Godimento Beni di Terzi'!G4</f>
        <v>122000</v>
      </c>
      <c r="G21" s="44">
        <f>'Godimento Beni di Terzi'!H4</f>
        <v>120000</v>
      </c>
      <c r="H21" s="44">
        <f>'Godimento Beni di Terzi'!I4</f>
        <v>0</v>
      </c>
      <c r="I21" s="44">
        <f>'Godimento Beni di Terzi'!J4</f>
        <v>0</v>
      </c>
      <c r="J21" s="45">
        <f>'Godimento Beni di Terzi'!K4</f>
        <v>100000</v>
      </c>
      <c r="K21" s="45">
        <f>'Godimento Beni di Terzi'!L4</f>
        <v>0</v>
      </c>
      <c r="L21" s="39">
        <f t="shared" si="4"/>
        <v>838425.69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75" customHeight="1">
      <c r="A22" s="41" t="s">
        <v>59</v>
      </c>
      <c r="B22" s="42"/>
      <c r="C22" s="43">
        <f>' Varie ed Eventuali'!D3</f>
        <v>0</v>
      </c>
      <c r="D22" s="44">
        <f>' Varie ed Eventuali'!E3</f>
        <v>68701.73</v>
      </c>
      <c r="E22" s="44">
        <f>' Varie ed Eventuali'!F3</f>
        <v>72773.46</v>
      </c>
      <c r="F22" s="44">
        <f>' Varie ed Eventuali'!G3</f>
        <v>62534.57</v>
      </c>
      <c r="G22" s="44">
        <f>' Varie ed Eventuali'!H3</f>
        <v>0</v>
      </c>
      <c r="H22" s="44">
        <f>' Varie ed Eventuali'!I3</f>
        <v>0</v>
      </c>
      <c r="I22" s="44">
        <f>' Varie ed Eventuali'!J3</f>
        <v>0</v>
      </c>
      <c r="J22" s="45">
        <f>' Varie ed Eventuali'!K3</f>
        <v>0</v>
      </c>
      <c r="K22" s="45">
        <f>' Varie ed Eventuali'!L3</f>
        <v>0</v>
      </c>
      <c r="L22" s="39">
        <f t="shared" si="4"/>
        <v>204009.76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41" t="s">
        <v>60</v>
      </c>
      <c r="B23" s="42"/>
      <c r="C23" s="43">
        <f>'Canoni e servizi'!D4</f>
        <v>0</v>
      </c>
      <c r="D23" s="44">
        <f>'Canoni e servizi'!E4</f>
        <v>22471.08</v>
      </c>
      <c r="E23" s="44">
        <f>'Canoni e servizi'!F4</f>
        <v>26069.65</v>
      </c>
      <c r="F23" s="44">
        <f>'Canoni e servizi'!G4</f>
        <v>23194.27</v>
      </c>
      <c r="G23" s="44">
        <f>'Canoni e servizi'!H4</f>
        <v>4646.11</v>
      </c>
      <c r="H23" s="44">
        <f>'Canoni e servizi'!I4</f>
        <v>3532.23</v>
      </c>
      <c r="I23" s="44">
        <f>'Canoni e servizi'!J4</f>
        <v>6832.23</v>
      </c>
      <c r="J23" s="45">
        <f>'Canoni e servizi'!K4</f>
        <v>3977.23</v>
      </c>
      <c r="K23" s="45">
        <f>'Canoni e servizi'!L4</f>
        <v>25132.23</v>
      </c>
      <c r="L23" s="39">
        <f t="shared" si="4"/>
        <v>115855.03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41" t="s">
        <v>61</v>
      </c>
      <c r="B24" s="42"/>
      <c r="C24" s="43"/>
      <c r="D24" s="44"/>
      <c r="E24" s="44"/>
      <c r="F24" s="44"/>
      <c r="G24" s="44"/>
      <c r="H24" s="44"/>
      <c r="I24" s="44"/>
      <c r="J24" s="45"/>
      <c r="K24" s="45"/>
      <c r="L24" s="39">
        <f t="shared" si="4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75" customHeight="1">
      <c r="A25" s="41"/>
      <c r="B25" s="42"/>
      <c r="C25" s="43"/>
      <c r="D25" s="44"/>
      <c r="E25" s="44"/>
      <c r="F25" s="44"/>
      <c r="G25" s="44"/>
      <c r="H25" s="44"/>
      <c r="I25" s="44"/>
      <c r="J25" s="45"/>
      <c r="K25" s="56"/>
      <c r="L25" s="39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57"/>
      <c r="B26" s="58"/>
      <c r="C26" s="59"/>
      <c r="D26" s="60"/>
      <c r="E26" s="60"/>
      <c r="F26" s="60"/>
      <c r="G26" s="60"/>
      <c r="H26" s="60"/>
      <c r="I26" s="60"/>
      <c r="J26" s="61"/>
      <c r="K26" s="45"/>
      <c r="L26" s="62"/>
      <c r="M26" s="63"/>
      <c r="N26" s="63"/>
      <c r="O26" s="63"/>
      <c r="P26" s="63"/>
      <c r="Q26" s="6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64" t="s">
        <v>62</v>
      </c>
      <c r="B27" s="65"/>
      <c r="C27" s="66">
        <f t="shared" ref="C27:K27" si="5">SUM(C14:C26)</f>
        <v>0</v>
      </c>
      <c r="D27" s="67">
        <f t="shared" si="5"/>
        <v>513973.43</v>
      </c>
      <c r="E27" s="67">
        <f t="shared" si="5"/>
        <v>1005180.3</v>
      </c>
      <c r="F27" s="67">
        <f t="shared" si="5"/>
        <v>663570.14</v>
      </c>
      <c r="G27" s="67">
        <f t="shared" si="5"/>
        <v>537504.7</v>
      </c>
      <c r="H27" s="67">
        <f t="shared" si="5"/>
        <v>383019.55</v>
      </c>
      <c r="I27" s="67">
        <f t="shared" si="5"/>
        <v>360719.39</v>
      </c>
      <c r="J27" s="68">
        <f t="shared" si="5"/>
        <v>423235.57</v>
      </c>
      <c r="K27" s="68">
        <f t="shared" si="5"/>
        <v>372163.95</v>
      </c>
      <c r="L27" s="69">
        <f>SUM(C27:K27)</f>
        <v>4259367.03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7.5" customHeight="1">
      <c r="A28" s="34"/>
      <c r="B28" s="35"/>
      <c r="C28" s="54"/>
      <c r="D28" s="37"/>
      <c r="E28" s="37"/>
      <c r="F28" s="37"/>
      <c r="G28" s="37"/>
      <c r="H28" s="37"/>
      <c r="I28" s="37"/>
      <c r="J28" s="38"/>
      <c r="K28" s="38"/>
      <c r="L28" s="5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75" customHeight="1">
      <c r="A29" s="70" t="s">
        <v>63</v>
      </c>
      <c r="B29" s="71"/>
      <c r="C29" s="72">
        <f t="shared" ref="C29:L29" si="6">C12-C27</f>
        <v>0</v>
      </c>
      <c r="D29" s="73">
        <f t="shared" si="6"/>
        <v>43646.57</v>
      </c>
      <c r="E29" s="73">
        <f t="shared" si="6"/>
        <v>-254560.3</v>
      </c>
      <c r="F29" s="73">
        <f t="shared" si="6"/>
        <v>277049.86</v>
      </c>
      <c r="G29" s="73">
        <f t="shared" si="6"/>
        <v>506115.3</v>
      </c>
      <c r="H29" s="73">
        <f t="shared" si="6"/>
        <v>352600.45</v>
      </c>
      <c r="I29" s="73">
        <f t="shared" si="6"/>
        <v>-6301.39</v>
      </c>
      <c r="J29" s="74">
        <f t="shared" si="6"/>
        <v>-397615.57</v>
      </c>
      <c r="K29" s="74">
        <f t="shared" si="6"/>
        <v>-346543.95</v>
      </c>
      <c r="L29" s="75">
        <f t="shared" si="6"/>
        <v>174390.97</v>
      </c>
      <c r="M29" s="63"/>
      <c r="N29" s="63"/>
      <c r="O29" s="63"/>
      <c r="P29" s="63"/>
      <c r="Q29" s="63"/>
      <c r="R29" s="3"/>
      <c r="S29" s="3"/>
      <c r="T29" s="3"/>
      <c r="U29" s="3"/>
      <c r="V29" s="3"/>
      <c r="W29" s="3"/>
      <c r="X29" s="3"/>
      <c r="Y29" s="3"/>
      <c r="Z29" s="3"/>
    </row>
    <row r="30" ht="7.5" customHeight="1">
      <c r="A30" s="34"/>
      <c r="B30" s="35"/>
      <c r="C30" s="54"/>
      <c r="D30" s="37"/>
      <c r="E30" s="37"/>
      <c r="F30" s="37"/>
      <c r="G30" s="37"/>
      <c r="H30" s="37"/>
      <c r="I30" s="37"/>
      <c r="J30" s="38"/>
      <c r="K30" s="38"/>
      <c r="L30" s="5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75" customHeight="1">
      <c r="A31" s="76" t="s">
        <v>64</v>
      </c>
      <c r="B31" s="42"/>
      <c r="C31" s="43" t="s">
        <v>64</v>
      </c>
      <c r="D31" s="44"/>
      <c r="E31" s="44"/>
      <c r="F31" s="44"/>
      <c r="G31" s="44"/>
      <c r="H31" s="44"/>
      <c r="I31" s="44"/>
      <c r="J31" s="45"/>
      <c r="K31" s="45"/>
      <c r="L31" s="3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75" customHeight="1">
      <c r="A32" s="77" t="s">
        <v>65</v>
      </c>
      <c r="B32" s="78"/>
      <c r="C32" s="79">
        <v>251897.54</v>
      </c>
      <c r="D32" s="80"/>
      <c r="E32" s="44"/>
      <c r="F32" s="44"/>
      <c r="G32" s="44"/>
      <c r="H32" s="44"/>
      <c r="I32" s="44"/>
      <c r="J32" s="45"/>
      <c r="K32" s="45"/>
      <c r="L32" s="39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75" customHeight="1">
      <c r="A33" s="77" t="s">
        <v>66</v>
      </c>
      <c r="B33" s="81"/>
      <c r="C33" s="79">
        <v>87439.92</v>
      </c>
      <c r="D33" s="44"/>
      <c r="E33" s="44"/>
      <c r="F33" s="44"/>
      <c r="G33" s="44"/>
      <c r="H33" s="44"/>
      <c r="I33" s="44"/>
      <c r="J33" s="45"/>
      <c r="K33" s="45"/>
      <c r="L33" s="39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77"/>
      <c r="B34" s="42"/>
      <c r="C34" s="43"/>
      <c r="D34" s="44"/>
      <c r="E34" s="44"/>
      <c r="F34" s="44"/>
      <c r="G34" s="44"/>
      <c r="H34" s="44"/>
      <c r="I34" s="44"/>
      <c r="J34" s="45"/>
      <c r="K34" s="45"/>
      <c r="L34" s="4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82" t="s">
        <v>67</v>
      </c>
      <c r="B35" s="83"/>
      <c r="C35" s="84">
        <f>SUM(C32:C34)</f>
        <v>339337.46</v>
      </c>
      <c r="D35" s="85"/>
      <c r="E35" s="85"/>
      <c r="F35" s="85"/>
      <c r="G35" s="85"/>
      <c r="H35" s="85"/>
      <c r="I35" s="85"/>
      <c r="J35" s="86"/>
      <c r="K35" s="86"/>
      <c r="L35" s="87"/>
      <c r="M35" s="63"/>
      <c r="N35" s="63"/>
      <c r="O35" s="63"/>
      <c r="P35" s="63"/>
      <c r="Q35" s="63"/>
      <c r="R35" s="3"/>
      <c r="S35" s="3"/>
      <c r="T35" s="3"/>
      <c r="U35" s="3"/>
      <c r="V35" s="3"/>
      <c r="W35" s="3"/>
      <c r="X35" s="3"/>
      <c r="Y35" s="3"/>
      <c r="Z35" s="3"/>
    </row>
    <row r="36" ht="7.5" customHeight="1">
      <c r="A36" s="34"/>
      <c r="B36" s="35"/>
      <c r="C36" s="54"/>
      <c r="D36" s="37"/>
      <c r="E36" s="37"/>
      <c r="F36" s="37"/>
      <c r="G36" s="37"/>
      <c r="H36" s="37"/>
      <c r="I36" s="37"/>
      <c r="J36" s="38"/>
      <c r="K36" s="38"/>
      <c r="L36" s="5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5" customHeight="1">
      <c r="A37" s="88" t="s">
        <v>68</v>
      </c>
      <c r="B37" s="89"/>
      <c r="C37" s="90">
        <f t="shared" ref="C37:K37" si="7">C4+C29</f>
        <v>339337.46</v>
      </c>
      <c r="D37" s="91">
        <f t="shared" si="7"/>
        <v>382984.03</v>
      </c>
      <c r="E37" s="91">
        <f t="shared" si="7"/>
        <v>128423.73</v>
      </c>
      <c r="F37" s="91">
        <f t="shared" si="7"/>
        <v>405473.59</v>
      </c>
      <c r="G37" s="91">
        <f t="shared" si="7"/>
        <v>911588.89</v>
      </c>
      <c r="H37" s="91">
        <f t="shared" si="7"/>
        <v>1264189.34</v>
      </c>
      <c r="I37" s="91">
        <f t="shared" si="7"/>
        <v>1257887.95</v>
      </c>
      <c r="J37" s="92">
        <f t="shared" si="7"/>
        <v>860272.38</v>
      </c>
      <c r="K37" s="92">
        <f t="shared" si="7"/>
        <v>513728.43</v>
      </c>
      <c r="L37" s="93">
        <f>K37</f>
        <v>513728.43</v>
      </c>
      <c r="M37" s="63"/>
      <c r="N37" s="63"/>
      <c r="O37" s="63"/>
      <c r="P37" s="63"/>
      <c r="Q37" s="63"/>
      <c r="R37" s="3"/>
      <c r="S37" s="3"/>
      <c r="T37" s="3"/>
      <c r="U37" s="3"/>
      <c r="V37" s="3"/>
      <c r="W37" s="3"/>
      <c r="X37" s="3"/>
      <c r="Y37" s="3"/>
      <c r="Z37" s="3"/>
    </row>
    <row r="38" ht="7.5" customHeight="1">
      <c r="A38" s="94"/>
      <c r="B38" s="35"/>
      <c r="C38" s="54"/>
      <c r="D38" s="37"/>
      <c r="E38" s="37"/>
      <c r="F38" s="37"/>
      <c r="G38" s="37"/>
      <c r="H38" s="37"/>
      <c r="I38" s="37"/>
      <c r="J38" s="38"/>
      <c r="K38" s="38"/>
      <c r="L38" s="5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75" customHeight="1">
      <c r="A39" s="77" t="s">
        <v>69</v>
      </c>
      <c r="B39" s="42"/>
      <c r="C39" s="43">
        <v>0.0</v>
      </c>
      <c r="D39" s="44">
        <v>0.0</v>
      </c>
      <c r="E39" s="44">
        <v>0.0</v>
      </c>
      <c r="F39" s="44">
        <v>0.0</v>
      </c>
      <c r="G39" s="44">
        <v>0.0</v>
      </c>
      <c r="H39" s="44">
        <v>0.0</v>
      </c>
      <c r="I39" s="44">
        <v>0.0</v>
      </c>
      <c r="J39" s="45">
        <v>0.0</v>
      </c>
      <c r="K39" s="45">
        <v>0.0</v>
      </c>
      <c r="L39" s="39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77"/>
      <c r="B40" s="42"/>
      <c r="C40" s="43"/>
      <c r="D40" s="44"/>
      <c r="E40" s="44"/>
      <c r="F40" s="44"/>
      <c r="G40" s="44"/>
      <c r="H40" s="44"/>
      <c r="I40" s="44"/>
      <c r="J40" s="45"/>
      <c r="K40" s="45"/>
      <c r="L40" s="3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75" customHeight="1">
      <c r="A41" s="77"/>
      <c r="B41" s="42"/>
      <c r="C41" s="43"/>
      <c r="D41" s="44"/>
      <c r="E41" s="44"/>
      <c r="F41" s="44"/>
      <c r="G41" s="44"/>
      <c r="H41" s="44"/>
      <c r="I41" s="44"/>
      <c r="J41" s="45"/>
      <c r="K41" s="45"/>
      <c r="L41" s="39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77"/>
      <c r="B42" s="42"/>
      <c r="C42" s="43"/>
      <c r="D42" s="44"/>
      <c r="E42" s="44"/>
      <c r="F42" s="44"/>
      <c r="G42" s="44"/>
      <c r="H42" s="44"/>
      <c r="I42" s="44"/>
      <c r="J42" s="45"/>
      <c r="K42" s="45"/>
      <c r="L42" s="4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75" customHeight="1">
      <c r="A43" s="95" t="s">
        <v>70</v>
      </c>
      <c r="B43" s="96"/>
      <c r="C43" s="97">
        <f t="shared" ref="C43:K43" si="8">SUM(C39:C42)</f>
        <v>0</v>
      </c>
      <c r="D43" s="98">
        <f t="shared" si="8"/>
        <v>0</v>
      </c>
      <c r="E43" s="98">
        <f t="shared" si="8"/>
        <v>0</v>
      </c>
      <c r="F43" s="98">
        <f t="shared" si="8"/>
        <v>0</v>
      </c>
      <c r="G43" s="98">
        <f t="shared" si="8"/>
        <v>0</v>
      </c>
      <c r="H43" s="98">
        <f t="shared" si="8"/>
        <v>0</v>
      </c>
      <c r="I43" s="98">
        <f t="shared" si="8"/>
        <v>0</v>
      </c>
      <c r="J43" s="99">
        <f t="shared" si="8"/>
        <v>0</v>
      </c>
      <c r="K43" s="99">
        <f t="shared" si="8"/>
        <v>0</v>
      </c>
      <c r="L43" s="100">
        <f>SUM(C43:K43)</f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4"/>
      <c r="B44" s="35"/>
      <c r="C44" s="54"/>
      <c r="D44" s="37"/>
      <c r="E44" s="37"/>
      <c r="F44" s="37"/>
      <c r="G44" s="37"/>
      <c r="H44" s="37"/>
      <c r="I44" s="37"/>
      <c r="J44" s="38"/>
      <c r="K44" s="38"/>
      <c r="L44" s="5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5.5" customHeight="1">
      <c r="A45" s="88" t="s">
        <v>71</v>
      </c>
      <c r="B45" s="89"/>
      <c r="C45" s="101">
        <f t="shared" ref="C45:K45" si="9">C37+C43</f>
        <v>339337.46</v>
      </c>
      <c r="D45" s="102">
        <f t="shared" si="9"/>
        <v>382984.03</v>
      </c>
      <c r="E45" s="102">
        <f t="shared" si="9"/>
        <v>128423.73</v>
      </c>
      <c r="F45" s="102">
        <f t="shared" si="9"/>
        <v>405473.59</v>
      </c>
      <c r="G45" s="102">
        <f t="shared" si="9"/>
        <v>911588.89</v>
      </c>
      <c r="H45" s="102">
        <f t="shared" si="9"/>
        <v>1264189.34</v>
      </c>
      <c r="I45" s="102">
        <f t="shared" si="9"/>
        <v>1257887.95</v>
      </c>
      <c r="J45" s="103">
        <f t="shared" si="9"/>
        <v>860272.38</v>
      </c>
      <c r="K45" s="103">
        <f t="shared" si="9"/>
        <v>513728.43</v>
      </c>
      <c r="L45" s="93">
        <f>K45</f>
        <v>513728.43</v>
      </c>
      <c r="M45" s="63"/>
      <c r="N45" s="63"/>
      <c r="O45" s="63"/>
      <c r="P45" s="63"/>
      <c r="Q45" s="6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04"/>
      <c r="D46" s="104"/>
      <c r="E46" s="104"/>
      <c r="F46" s="104"/>
      <c r="G46" s="104"/>
      <c r="H46" s="104"/>
      <c r="I46" s="104"/>
      <c r="J46" s="104"/>
      <c r="K46" s="10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04"/>
      <c r="D47" s="104"/>
      <c r="E47" s="104"/>
      <c r="F47" s="104"/>
      <c r="G47" s="104"/>
      <c r="H47" s="104"/>
      <c r="I47" s="104"/>
      <c r="J47" s="104"/>
      <c r="K47" s="10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104"/>
      <c r="D48" s="104"/>
      <c r="E48" s="104"/>
      <c r="F48" s="104"/>
      <c r="G48" s="104"/>
      <c r="H48" s="104"/>
      <c r="I48" s="104"/>
      <c r="J48" s="104"/>
      <c r="K48" s="10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104"/>
      <c r="D49" s="104"/>
      <c r="E49" s="104"/>
      <c r="F49" s="104"/>
      <c r="G49" s="104"/>
      <c r="H49" s="104"/>
      <c r="I49" s="104"/>
      <c r="J49" s="104"/>
      <c r="K49" s="10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04"/>
      <c r="D50" s="104"/>
      <c r="E50" s="104"/>
      <c r="F50" s="104"/>
      <c r="G50" s="104"/>
      <c r="H50" s="104"/>
      <c r="I50" s="104"/>
      <c r="J50" s="104"/>
      <c r="K50" s="10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04"/>
      <c r="D51" s="104"/>
      <c r="E51" s="104"/>
      <c r="F51" s="104"/>
      <c r="G51" s="104"/>
      <c r="H51" s="104"/>
      <c r="I51" s="104"/>
      <c r="J51" s="104"/>
      <c r="K51" s="10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04"/>
      <c r="D52" s="104"/>
      <c r="E52" s="104"/>
      <c r="F52" s="104"/>
      <c r="G52" s="104"/>
      <c r="H52" s="104"/>
      <c r="I52" s="104"/>
      <c r="J52" s="104"/>
      <c r="K52" s="10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04"/>
      <c r="D53" s="104"/>
      <c r="E53" s="104"/>
      <c r="F53" s="104"/>
      <c r="G53" s="104"/>
      <c r="H53" s="104"/>
      <c r="I53" s="104"/>
      <c r="J53" s="104"/>
      <c r="K53" s="10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04"/>
      <c r="D54" s="104"/>
      <c r="E54" s="104"/>
      <c r="F54" s="104"/>
      <c r="G54" s="104"/>
      <c r="H54" s="104"/>
      <c r="I54" s="104"/>
      <c r="J54" s="104"/>
      <c r="K54" s="10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104"/>
      <c r="D55" s="104"/>
      <c r="E55" s="104"/>
      <c r="F55" s="104"/>
      <c r="G55" s="104"/>
      <c r="H55" s="104"/>
      <c r="I55" s="104"/>
      <c r="J55" s="104"/>
      <c r="K55" s="10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104"/>
      <c r="D56" s="104"/>
      <c r="E56" s="104"/>
      <c r="F56" s="104"/>
      <c r="G56" s="104"/>
      <c r="H56" s="104"/>
      <c r="I56" s="104"/>
      <c r="J56" s="104"/>
      <c r="K56" s="10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104"/>
      <c r="D57" s="104"/>
      <c r="E57" s="104"/>
      <c r="F57" s="104"/>
      <c r="G57" s="104"/>
      <c r="H57" s="104"/>
      <c r="I57" s="104"/>
      <c r="J57" s="104"/>
      <c r="K57" s="10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104"/>
      <c r="D58" s="104"/>
      <c r="E58" s="104"/>
      <c r="F58" s="104"/>
      <c r="G58" s="104"/>
      <c r="H58" s="104"/>
      <c r="I58" s="104"/>
      <c r="J58" s="104"/>
      <c r="K58" s="10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104"/>
      <c r="D59" s="104"/>
      <c r="E59" s="104"/>
      <c r="F59" s="104"/>
      <c r="G59" s="104"/>
      <c r="H59" s="104"/>
      <c r="I59" s="104"/>
      <c r="J59" s="104"/>
      <c r="K59" s="10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104"/>
      <c r="D60" s="104"/>
      <c r="E60" s="104"/>
      <c r="F60" s="104"/>
      <c r="G60" s="104"/>
      <c r="H60" s="104"/>
      <c r="I60" s="104"/>
      <c r="J60" s="104"/>
      <c r="K60" s="10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104"/>
      <c r="D61" s="104"/>
      <c r="E61" s="104"/>
      <c r="F61" s="104"/>
      <c r="G61" s="104"/>
      <c r="H61" s="104"/>
      <c r="I61" s="104"/>
      <c r="J61" s="104"/>
      <c r="K61" s="10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104"/>
      <c r="D62" s="104"/>
      <c r="E62" s="104"/>
      <c r="F62" s="104"/>
      <c r="G62" s="104"/>
      <c r="H62" s="104"/>
      <c r="I62" s="104"/>
      <c r="J62" s="104"/>
      <c r="K62" s="10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104"/>
      <c r="D63" s="104"/>
      <c r="E63" s="104"/>
      <c r="F63" s="104"/>
      <c r="G63" s="104"/>
      <c r="H63" s="104"/>
      <c r="I63" s="104"/>
      <c r="J63" s="104"/>
      <c r="K63" s="10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104"/>
      <c r="D64" s="104"/>
      <c r="E64" s="104"/>
      <c r="F64" s="104"/>
      <c r="G64" s="104"/>
      <c r="H64" s="104"/>
      <c r="I64" s="104"/>
      <c r="J64" s="104"/>
      <c r="K64" s="10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104"/>
      <c r="D65" s="104"/>
      <c r="E65" s="104"/>
      <c r="F65" s="104"/>
      <c r="G65" s="104"/>
      <c r="H65" s="104"/>
      <c r="I65" s="104"/>
      <c r="J65" s="104"/>
      <c r="K65" s="10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104"/>
      <c r="D66" s="104"/>
      <c r="E66" s="104"/>
      <c r="F66" s="104"/>
      <c r="G66" s="104"/>
      <c r="H66" s="104"/>
      <c r="I66" s="104"/>
      <c r="J66" s="104"/>
      <c r="K66" s="10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104"/>
      <c r="D67" s="104"/>
      <c r="E67" s="104"/>
      <c r="F67" s="104"/>
      <c r="G67" s="104"/>
      <c r="H67" s="104"/>
      <c r="I67" s="104"/>
      <c r="J67" s="104"/>
      <c r="K67" s="10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104"/>
      <c r="D68" s="104"/>
      <c r="E68" s="104"/>
      <c r="F68" s="104"/>
      <c r="G68" s="104"/>
      <c r="H68" s="104"/>
      <c r="I68" s="104"/>
      <c r="J68" s="104"/>
      <c r="K68" s="10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104"/>
      <c r="D69" s="104"/>
      <c r="E69" s="104"/>
      <c r="F69" s="104"/>
      <c r="G69" s="104"/>
      <c r="H69" s="104"/>
      <c r="I69" s="104"/>
      <c r="J69" s="104"/>
      <c r="K69" s="10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104"/>
      <c r="D70" s="104"/>
      <c r="E70" s="104"/>
      <c r="F70" s="104"/>
      <c r="G70" s="104"/>
      <c r="H70" s="104"/>
      <c r="I70" s="104"/>
      <c r="J70" s="104"/>
      <c r="K70" s="10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104"/>
      <c r="D71" s="104"/>
      <c r="E71" s="104"/>
      <c r="F71" s="104"/>
      <c r="G71" s="104"/>
      <c r="H71" s="104"/>
      <c r="I71" s="104"/>
      <c r="J71" s="104"/>
      <c r="K71" s="10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104"/>
      <c r="D72" s="104"/>
      <c r="E72" s="104"/>
      <c r="F72" s="104"/>
      <c r="G72" s="104"/>
      <c r="H72" s="104"/>
      <c r="I72" s="104"/>
      <c r="J72" s="104"/>
      <c r="K72" s="10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104"/>
      <c r="D73" s="104"/>
      <c r="E73" s="104"/>
      <c r="F73" s="104"/>
      <c r="G73" s="104"/>
      <c r="H73" s="104"/>
      <c r="I73" s="104"/>
      <c r="J73" s="104"/>
      <c r="K73" s="10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104"/>
      <c r="D74" s="104"/>
      <c r="E74" s="104"/>
      <c r="F74" s="104"/>
      <c r="G74" s="104"/>
      <c r="H74" s="104"/>
      <c r="I74" s="104"/>
      <c r="J74" s="104"/>
      <c r="K74" s="10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104"/>
      <c r="D75" s="104"/>
      <c r="E75" s="104"/>
      <c r="F75" s="104"/>
      <c r="G75" s="104"/>
      <c r="H75" s="104"/>
      <c r="I75" s="104"/>
      <c r="J75" s="104"/>
      <c r="K75" s="10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104"/>
      <c r="D76" s="104"/>
      <c r="E76" s="104"/>
      <c r="F76" s="104"/>
      <c r="G76" s="104"/>
      <c r="H76" s="104"/>
      <c r="I76" s="104"/>
      <c r="J76" s="104"/>
      <c r="K76" s="10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104"/>
      <c r="D77" s="104"/>
      <c r="E77" s="104"/>
      <c r="F77" s="104"/>
      <c r="G77" s="104"/>
      <c r="H77" s="104"/>
      <c r="I77" s="104"/>
      <c r="J77" s="104"/>
      <c r="K77" s="10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104"/>
      <c r="D78" s="104"/>
      <c r="E78" s="104"/>
      <c r="F78" s="104"/>
      <c r="G78" s="104"/>
      <c r="H78" s="104"/>
      <c r="I78" s="104"/>
      <c r="J78" s="104"/>
      <c r="K78" s="10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104"/>
      <c r="D79" s="104"/>
      <c r="E79" s="104"/>
      <c r="F79" s="104"/>
      <c r="G79" s="104"/>
      <c r="H79" s="104"/>
      <c r="I79" s="104"/>
      <c r="J79" s="104"/>
      <c r="K79" s="10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104"/>
      <c r="D80" s="104"/>
      <c r="E80" s="104"/>
      <c r="F80" s="104"/>
      <c r="G80" s="104"/>
      <c r="H80" s="104"/>
      <c r="I80" s="104"/>
      <c r="J80" s="104"/>
      <c r="K80" s="10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104"/>
      <c r="D81" s="104"/>
      <c r="E81" s="104"/>
      <c r="F81" s="104"/>
      <c r="G81" s="104"/>
      <c r="H81" s="104"/>
      <c r="I81" s="104"/>
      <c r="J81" s="104"/>
      <c r="K81" s="10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104"/>
      <c r="D82" s="104"/>
      <c r="E82" s="104"/>
      <c r="F82" s="104"/>
      <c r="G82" s="104"/>
      <c r="H82" s="104"/>
      <c r="I82" s="104"/>
      <c r="J82" s="104"/>
      <c r="K82" s="10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104"/>
      <c r="D83" s="104"/>
      <c r="E83" s="104"/>
      <c r="F83" s="104"/>
      <c r="G83" s="104"/>
      <c r="H83" s="104"/>
      <c r="I83" s="104"/>
      <c r="J83" s="104"/>
      <c r="K83" s="10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104"/>
      <c r="D84" s="104"/>
      <c r="E84" s="104"/>
      <c r="F84" s="104"/>
      <c r="G84" s="104"/>
      <c r="H84" s="104"/>
      <c r="I84" s="104"/>
      <c r="J84" s="104"/>
      <c r="K84" s="10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104"/>
      <c r="D85" s="104"/>
      <c r="E85" s="104"/>
      <c r="F85" s="104"/>
      <c r="G85" s="104"/>
      <c r="H85" s="104"/>
      <c r="I85" s="104"/>
      <c r="J85" s="104"/>
      <c r="K85" s="10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104"/>
      <c r="D86" s="104"/>
      <c r="E86" s="104"/>
      <c r="F86" s="104"/>
      <c r="G86" s="104"/>
      <c r="H86" s="104"/>
      <c r="I86" s="104"/>
      <c r="J86" s="104"/>
      <c r="K86" s="10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104"/>
      <c r="D87" s="104"/>
      <c r="E87" s="104"/>
      <c r="F87" s="104"/>
      <c r="G87" s="104"/>
      <c r="H87" s="104"/>
      <c r="I87" s="104"/>
      <c r="J87" s="104"/>
      <c r="K87" s="10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104"/>
      <c r="D88" s="104"/>
      <c r="E88" s="104"/>
      <c r="F88" s="104"/>
      <c r="G88" s="104"/>
      <c r="H88" s="104"/>
      <c r="I88" s="104"/>
      <c r="J88" s="104"/>
      <c r="K88" s="10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104"/>
      <c r="D89" s="104"/>
      <c r="E89" s="104"/>
      <c r="F89" s="104"/>
      <c r="G89" s="104"/>
      <c r="H89" s="104"/>
      <c r="I89" s="104"/>
      <c r="J89" s="104"/>
      <c r="K89" s="10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104"/>
      <c r="D90" s="104"/>
      <c r="E90" s="104"/>
      <c r="F90" s="104"/>
      <c r="G90" s="104"/>
      <c r="H90" s="104"/>
      <c r="I90" s="104"/>
      <c r="J90" s="104"/>
      <c r="K90" s="10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104"/>
      <c r="D91" s="104"/>
      <c r="E91" s="104"/>
      <c r="F91" s="104"/>
      <c r="G91" s="104"/>
      <c r="H91" s="104"/>
      <c r="I91" s="104"/>
      <c r="J91" s="104"/>
      <c r="K91" s="10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104"/>
      <c r="D92" s="104"/>
      <c r="E92" s="104"/>
      <c r="F92" s="104"/>
      <c r="G92" s="104"/>
      <c r="H92" s="104"/>
      <c r="I92" s="104"/>
      <c r="J92" s="104"/>
      <c r="K92" s="10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104"/>
      <c r="D93" s="104"/>
      <c r="E93" s="104"/>
      <c r="F93" s="104"/>
      <c r="G93" s="104"/>
      <c r="H93" s="104"/>
      <c r="I93" s="104"/>
      <c r="J93" s="104"/>
      <c r="K93" s="10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104"/>
      <c r="D94" s="104"/>
      <c r="E94" s="104"/>
      <c r="F94" s="104"/>
      <c r="G94" s="104"/>
      <c r="H94" s="104"/>
      <c r="I94" s="104"/>
      <c r="J94" s="104"/>
      <c r="K94" s="10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104"/>
      <c r="D95" s="104"/>
      <c r="E95" s="104"/>
      <c r="F95" s="104"/>
      <c r="G95" s="104"/>
      <c r="H95" s="104"/>
      <c r="I95" s="104"/>
      <c r="J95" s="104"/>
      <c r="K95" s="10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104"/>
      <c r="D96" s="104"/>
      <c r="E96" s="104"/>
      <c r="F96" s="104"/>
      <c r="G96" s="104"/>
      <c r="H96" s="104"/>
      <c r="I96" s="104"/>
      <c r="J96" s="104"/>
      <c r="K96" s="10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104"/>
      <c r="D97" s="104"/>
      <c r="E97" s="104"/>
      <c r="F97" s="104"/>
      <c r="G97" s="104"/>
      <c r="H97" s="104"/>
      <c r="I97" s="104"/>
      <c r="J97" s="104"/>
      <c r="K97" s="10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104"/>
      <c r="D98" s="104"/>
      <c r="E98" s="104"/>
      <c r="F98" s="104"/>
      <c r="G98" s="104"/>
      <c r="H98" s="104"/>
      <c r="I98" s="104"/>
      <c r="J98" s="104"/>
      <c r="K98" s="10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104"/>
      <c r="D99" s="104"/>
      <c r="E99" s="104"/>
      <c r="F99" s="104"/>
      <c r="G99" s="104"/>
      <c r="H99" s="104"/>
      <c r="I99" s="104"/>
      <c r="J99" s="104"/>
      <c r="K99" s="10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104"/>
      <c r="D100" s="104"/>
      <c r="E100" s="104"/>
      <c r="F100" s="104"/>
      <c r="G100" s="104"/>
      <c r="H100" s="104"/>
      <c r="I100" s="104"/>
      <c r="J100" s="104"/>
      <c r="K100" s="10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104"/>
      <c r="D101" s="104"/>
      <c r="E101" s="104"/>
      <c r="F101" s="104"/>
      <c r="G101" s="104"/>
      <c r="H101" s="104"/>
      <c r="I101" s="104"/>
      <c r="J101" s="104"/>
      <c r="K101" s="10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104"/>
      <c r="D102" s="104"/>
      <c r="E102" s="104"/>
      <c r="F102" s="104"/>
      <c r="G102" s="104"/>
      <c r="H102" s="104"/>
      <c r="I102" s="104"/>
      <c r="J102" s="104"/>
      <c r="K102" s="10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104"/>
      <c r="D103" s="104"/>
      <c r="E103" s="104"/>
      <c r="F103" s="104"/>
      <c r="G103" s="104"/>
      <c r="H103" s="104"/>
      <c r="I103" s="104"/>
      <c r="J103" s="104"/>
      <c r="K103" s="10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104"/>
      <c r="D104" s="104"/>
      <c r="E104" s="104"/>
      <c r="F104" s="104"/>
      <c r="G104" s="104"/>
      <c r="H104" s="104"/>
      <c r="I104" s="104"/>
      <c r="J104" s="104"/>
      <c r="K104" s="10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104"/>
      <c r="D105" s="104"/>
      <c r="E105" s="104"/>
      <c r="F105" s="104"/>
      <c r="G105" s="104"/>
      <c r="H105" s="104"/>
      <c r="I105" s="104"/>
      <c r="J105" s="104"/>
      <c r="K105" s="10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104"/>
      <c r="D106" s="104"/>
      <c r="E106" s="104"/>
      <c r="F106" s="104"/>
      <c r="G106" s="104"/>
      <c r="H106" s="104"/>
      <c r="I106" s="104"/>
      <c r="J106" s="104"/>
      <c r="K106" s="10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104"/>
      <c r="D107" s="104"/>
      <c r="E107" s="104"/>
      <c r="F107" s="104"/>
      <c r="G107" s="104"/>
      <c r="H107" s="104"/>
      <c r="I107" s="104"/>
      <c r="J107" s="104"/>
      <c r="K107" s="10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104"/>
      <c r="D108" s="104"/>
      <c r="E108" s="104"/>
      <c r="F108" s="104"/>
      <c r="G108" s="104"/>
      <c r="H108" s="104"/>
      <c r="I108" s="104"/>
      <c r="J108" s="104"/>
      <c r="K108" s="10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104"/>
      <c r="D109" s="104"/>
      <c r="E109" s="104"/>
      <c r="F109" s="104"/>
      <c r="G109" s="104"/>
      <c r="H109" s="104"/>
      <c r="I109" s="104"/>
      <c r="J109" s="104"/>
      <c r="K109" s="10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104"/>
      <c r="D110" s="104"/>
      <c r="E110" s="104"/>
      <c r="F110" s="104"/>
      <c r="G110" s="104"/>
      <c r="H110" s="104"/>
      <c r="I110" s="104"/>
      <c r="J110" s="104"/>
      <c r="K110" s="10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104"/>
      <c r="D111" s="104"/>
      <c r="E111" s="104"/>
      <c r="F111" s="104"/>
      <c r="G111" s="104"/>
      <c r="H111" s="104"/>
      <c r="I111" s="104"/>
      <c r="J111" s="104"/>
      <c r="K111" s="10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104"/>
      <c r="D112" s="104"/>
      <c r="E112" s="104"/>
      <c r="F112" s="104"/>
      <c r="G112" s="104"/>
      <c r="H112" s="104"/>
      <c r="I112" s="104"/>
      <c r="J112" s="104"/>
      <c r="K112" s="10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104"/>
      <c r="D113" s="104"/>
      <c r="E113" s="104"/>
      <c r="F113" s="104"/>
      <c r="G113" s="104"/>
      <c r="H113" s="104"/>
      <c r="I113" s="104"/>
      <c r="J113" s="104"/>
      <c r="K113" s="10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104"/>
      <c r="D114" s="104"/>
      <c r="E114" s="104"/>
      <c r="F114" s="104"/>
      <c r="G114" s="104"/>
      <c r="H114" s="104"/>
      <c r="I114" s="104"/>
      <c r="J114" s="104"/>
      <c r="K114" s="10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104"/>
      <c r="D115" s="104"/>
      <c r="E115" s="104"/>
      <c r="F115" s="104"/>
      <c r="G115" s="104"/>
      <c r="H115" s="104"/>
      <c r="I115" s="104"/>
      <c r="J115" s="104"/>
      <c r="K115" s="10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104"/>
      <c r="D116" s="104"/>
      <c r="E116" s="104"/>
      <c r="F116" s="104"/>
      <c r="G116" s="104"/>
      <c r="H116" s="104"/>
      <c r="I116" s="104"/>
      <c r="J116" s="104"/>
      <c r="K116" s="10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104"/>
      <c r="D117" s="104"/>
      <c r="E117" s="104"/>
      <c r="F117" s="104"/>
      <c r="G117" s="104"/>
      <c r="H117" s="104"/>
      <c r="I117" s="104"/>
      <c r="J117" s="104"/>
      <c r="K117" s="10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104"/>
      <c r="D118" s="104"/>
      <c r="E118" s="104"/>
      <c r="F118" s="104"/>
      <c r="G118" s="104"/>
      <c r="H118" s="104"/>
      <c r="I118" s="104"/>
      <c r="J118" s="104"/>
      <c r="K118" s="10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104"/>
      <c r="D119" s="104"/>
      <c r="E119" s="104"/>
      <c r="F119" s="104"/>
      <c r="G119" s="104"/>
      <c r="H119" s="104"/>
      <c r="I119" s="104"/>
      <c r="J119" s="104"/>
      <c r="K119" s="10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104"/>
      <c r="D120" s="104"/>
      <c r="E120" s="104"/>
      <c r="F120" s="104"/>
      <c r="G120" s="104"/>
      <c r="H120" s="104"/>
      <c r="I120" s="104"/>
      <c r="J120" s="104"/>
      <c r="K120" s="10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104"/>
      <c r="D121" s="104"/>
      <c r="E121" s="104"/>
      <c r="F121" s="104"/>
      <c r="G121" s="104"/>
      <c r="H121" s="104"/>
      <c r="I121" s="104"/>
      <c r="J121" s="104"/>
      <c r="K121" s="10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104"/>
      <c r="D122" s="104"/>
      <c r="E122" s="104"/>
      <c r="F122" s="104"/>
      <c r="G122" s="104"/>
      <c r="H122" s="104"/>
      <c r="I122" s="104"/>
      <c r="J122" s="104"/>
      <c r="K122" s="10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104"/>
      <c r="D123" s="104"/>
      <c r="E123" s="104"/>
      <c r="F123" s="104"/>
      <c r="G123" s="104"/>
      <c r="H123" s="104"/>
      <c r="I123" s="104"/>
      <c r="J123" s="104"/>
      <c r="K123" s="10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104"/>
      <c r="D124" s="104"/>
      <c r="E124" s="104"/>
      <c r="F124" s="104"/>
      <c r="G124" s="104"/>
      <c r="H124" s="104"/>
      <c r="I124" s="104"/>
      <c r="J124" s="104"/>
      <c r="K124" s="10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104"/>
      <c r="D125" s="104"/>
      <c r="E125" s="104"/>
      <c r="F125" s="104"/>
      <c r="G125" s="104"/>
      <c r="H125" s="104"/>
      <c r="I125" s="104"/>
      <c r="J125" s="104"/>
      <c r="K125" s="10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104"/>
      <c r="D126" s="104"/>
      <c r="E126" s="104"/>
      <c r="F126" s="104"/>
      <c r="G126" s="104"/>
      <c r="H126" s="104"/>
      <c r="I126" s="104"/>
      <c r="J126" s="104"/>
      <c r="K126" s="10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104"/>
      <c r="D127" s="104"/>
      <c r="E127" s="104"/>
      <c r="F127" s="104"/>
      <c r="G127" s="104"/>
      <c r="H127" s="104"/>
      <c r="I127" s="104"/>
      <c r="J127" s="104"/>
      <c r="K127" s="10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104"/>
      <c r="D128" s="104"/>
      <c r="E128" s="104"/>
      <c r="F128" s="104"/>
      <c r="G128" s="104"/>
      <c r="H128" s="104"/>
      <c r="I128" s="104"/>
      <c r="J128" s="104"/>
      <c r="K128" s="10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104"/>
      <c r="D129" s="104"/>
      <c r="E129" s="104"/>
      <c r="F129" s="104"/>
      <c r="G129" s="104"/>
      <c r="H129" s="104"/>
      <c r="I129" s="104"/>
      <c r="J129" s="104"/>
      <c r="K129" s="10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104"/>
      <c r="D130" s="104"/>
      <c r="E130" s="104"/>
      <c r="F130" s="104"/>
      <c r="G130" s="104"/>
      <c r="H130" s="104"/>
      <c r="I130" s="104"/>
      <c r="J130" s="104"/>
      <c r="K130" s="10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104"/>
      <c r="D131" s="104"/>
      <c r="E131" s="104"/>
      <c r="F131" s="104"/>
      <c r="G131" s="104"/>
      <c r="H131" s="104"/>
      <c r="I131" s="104"/>
      <c r="J131" s="104"/>
      <c r="K131" s="10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104"/>
      <c r="D132" s="104"/>
      <c r="E132" s="104"/>
      <c r="F132" s="104"/>
      <c r="G132" s="104"/>
      <c r="H132" s="104"/>
      <c r="I132" s="104"/>
      <c r="J132" s="104"/>
      <c r="K132" s="10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104"/>
      <c r="D133" s="104"/>
      <c r="E133" s="104"/>
      <c r="F133" s="104"/>
      <c r="G133" s="104"/>
      <c r="H133" s="104"/>
      <c r="I133" s="104"/>
      <c r="J133" s="104"/>
      <c r="K133" s="10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104"/>
      <c r="D134" s="104"/>
      <c r="E134" s="104"/>
      <c r="F134" s="104"/>
      <c r="G134" s="104"/>
      <c r="H134" s="104"/>
      <c r="I134" s="104"/>
      <c r="J134" s="104"/>
      <c r="K134" s="10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104"/>
      <c r="D135" s="104"/>
      <c r="E135" s="104"/>
      <c r="F135" s="104"/>
      <c r="G135" s="104"/>
      <c r="H135" s="104"/>
      <c r="I135" s="104"/>
      <c r="J135" s="104"/>
      <c r="K135" s="10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104"/>
      <c r="D136" s="104"/>
      <c r="E136" s="104"/>
      <c r="F136" s="104"/>
      <c r="G136" s="104"/>
      <c r="H136" s="104"/>
      <c r="I136" s="104"/>
      <c r="J136" s="104"/>
      <c r="K136" s="10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104"/>
      <c r="D137" s="104"/>
      <c r="E137" s="104"/>
      <c r="F137" s="104"/>
      <c r="G137" s="104"/>
      <c r="H137" s="104"/>
      <c r="I137" s="104"/>
      <c r="J137" s="104"/>
      <c r="K137" s="10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104"/>
      <c r="D138" s="104"/>
      <c r="E138" s="104"/>
      <c r="F138" s="104"/>
      <c r="G138" s="104"/>
      <c r="H138" s="104"/>
      <c r="I138" s="104"/>
      <c r="J138" s="104"/>
      <c r="K138" s="10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104"/>
      <c r="D139" s="104"/>
      <c r="E139" s="104"/>
      <c r="F139" s="104"/>
      <c r="G139" s="104"/>
      <c r="H139" s="104"/>
      <c r="I139" s="104"/>
      <c r="J139" s="104"/>
      <c r="K139" s="10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104"/>
      <c r="D140" s="104"/>
      <c r="E140" s="104"/>
      <c r="F140" s="104"/>
      <c r="G140" s="104"/>
      <c r="H140" s="104"/>
      <c r="I140" s="104"/>
      <c r="J140" s="104"/>
      <c r="K140" s="10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104"/>
      <c r="D141" s="104"/>
      <c r="E141" s="104"/>
      <c r="F141" s="104"/>
      <c r="G141" s="104"/>
      <c r="H141" s="104"/>
      <c r="I141" s="104"/>
      <c r="J141" s="104"/>
      <c r="K141" s="10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104"/>
      <c r="D142" s="104"/>
      <c r="E142" s="104"/>
      <c r="F142" s="104"/>
      <c r="G142" s="104"/>
      <c r="H142" s="104"/>
      <c r="I142" s="104"/>
      <c r="J142" s="104"/>
      <c r="K142" s="10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104"/>
      <c r="D143" s="104"/>
      <c r="E143" s="104"/>
      <c r="F143" s="104"/>
      <c r="G143" s="104"/>
      <c r="H143" s="104"/>
      <c r="I143" s="104"/>
      <c r="J143" s="104"/>
      <c r="K143" s="10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104"/>
      <c r="D144" s="104"/>
      <c r="E144" s="104"/>
      <c r="F144" s="104"/>
      <c r="G144" s="104"/>
      <c r="H144" s="104"/>
      <c r="I144" s="104"/>
      <c r="J144" s="104"/>
      <c r="K144" s="10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104"/>
      <c r="D145" s="104"/>
      <c r="E145" s="104"/>
      <c r="F145" s="104"/>
      <c r="G145" s="104"/>
      <c r="H145" s="104"/>
      <c r="I145" s="104"/>
      <c r="J145" s="104"/>
      <c r="K145" s="10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104"/>
      <c r="D146" s="104"/>
      <c r="E146" s="104"/>
      <c r="F146" s="104"/>
      <c r="G146" s="104"/>
      <c r="H146" s="104"/>
      <c r="I146" s="104"/>
      <c r="J146" s="104"/>
      <c r="K146" s="10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104"/>
      <c r="D147" s="104"/>
      <c r="E147" s="104"/>
      <c r="F147" s="104"/>
      <c r="G147" s="104"/>
      <c r="H147" s="104"/>
      <c r="I147" s="104"/>
      <c r="J147" s="104"/>
      <c r="K147" s="10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104"/>
      <c r="D148" s="104"/>
      <c r="E148" s="104"/>
      <c r="F148" s="104"/>
      <c r="G148" s="104"/>
      <c r="H148" s="104"/>
      <c r="I148" s="104"/>
      <c r="J148" s="104"/>
      <c r="K148" s="10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104"/>
      <c r="D149" s="104"/>
      <c r="E149" s="104"/>
      <c r="F149" s="104"/>
      <c r="G149" s="104"/>
      <c r="H149" s="104"/>
      <c r="I149" s="104"/>
      <c r="J149" s="104"/>
      <c r="K149" s="10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104"/>
      <c r="D150" s="104"/>
      <c r="E150" s="104"/>
      <c r="F150" s="104"/>
      <c r="G150" s="104"/>
      <c r="H150" s="104"/>
      <c r="I150" s="104"/>
      <c r="J150" s="104"/>
      <c r="K150" s="10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104"/>
      <c r="D151" s="104"/>
      <c r="E151" s="104"/>
      <c r="F151" s="104"/>
      <c r="G151" s="104"/>
      <c r="H151" s="104"/>
      <c r="I151" s="104"/>
      <c r="J151" s="104"/>
      <c r="K151" s="10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104"/>
      <c r="D152" s="104"/>
      <c r="E152" s="104"/>
      <c r="F152" s="104"/>
      <c r="G152" s="104"/>
      <c r="H152" s="104"/>
      <c r="I152" s="104"/>
      <c r="J152" s="104"/>
      <c r="K152" s="10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104"/>
      <c r="D153" s="104"/>
      <c r="E153" s="104"/>
      <c r="F153" s="104"/>
      <c r="G153" s="104"/>
      <c r="H153" s="104"/>
      <c r="I153" s="104"/>
      <c r="J153" s="104"/>
      <c r="K153" s="10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104"/>
      <c r="D154" s="104"/>
      <c r="E154" s="104"/>
      <c r="F154" s="104"/>
      <c r="G154" s="104"/>
      <c r="H154" s="104"/>
      <c r="I154" s="104"/>
      <c r="J154" s="104"/>
      <c r="K154" s="10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104"/>
      <c r="D155" s="104"/>
      <c r="E155" s="104"/>
      <c r="F155" s="104"/>
      <c r="G155" s="104"/>
      <c r="H155" s="104"/>
      <c r="I155" s="104"/>
      <c r="J155" s="104"/>
      <c r="K155" s="10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104"/>
      <c r="D156" s="104"/>
      <c r="E156" s="104"/>
      <c r="F156" s="104"/>
      <c r="G156" s="104"/>
      <c r="H156" s="104"/>
      <c r="I156" s="104"/>
      <c r="J156" s="104"/>
      <c r="K156" s="10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104"/>
      <c r="D157" s="104"/>
      <c r="E157" s="104"/>
      <c r="F157" s="104"/>
      <c r="G157" s="104"/>
      <c r="H157" s="104"/>
      <c r="I157" s="104"/>
      <c r="J157" s="104"/>
      <c r="K157" s="10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104"/>
      <c r="D158" s="104"/>
      <c r="E158" s="104"/>
      <c r="F158" s="104"/>
      <c r="G158" s="104"/>
      <c r="H158" s="104"/>
      <c r="I158" s="104"/>
      <c r="J158" s="104"/>
      <c r="K158" s="10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104"/>
      <c r="D159" s="104"/>
      <c r="E159" s="104"/>
      <c r="F159" s="104"/>
      <c r="G159" s="104"/>
      <c r="H159" s="104"/>
      <c r="I159" s="104"/>
      <c r="J159" s="104"/>
      <c r="K159" s="10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104"/>
      <c r="D160" s="104"/>
      <c r="E160" s="104"/>
      <c r="F160" s="104"/>
      <c r="G160" s="104"/>
      <c r="H160" s="104"/>
      <c r="I160" s="104"/>
      <c r="J160" s="104"/>
      <c r="K160" s="10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104"/>
      <c r="D161" s="104"/>
      <c r="E161" s="104"/>
      <c r="F161" s="104"/>
      <c r="G161" s="104"/>
      <c r="H161" s="104"/>
      <c r="I161" s="104"/>
      <c r="J161" s="104"/>
      <c r="K161" s="10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104"/>
      <c r="D162" s="104"/>
      <c r="E162" s="104"/>
      <c r="F162" s="104"/>
      <c r="G162" s="104"/>
      <c r="H162" s="104"/>
      <c r="I162" s="104"/>
      <c r="J162" s="104"/>
      <c r="K162" s="10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104"/>
      <c r="D163" s="104"/>
      <c r="E163" s="104"/>
      <c r="F163" s="104"/>
      <c r="G163" s="104"/>
      <c r="H163" s="104"/>
      <c r="I163" s="104"/>
      <c r="J163" s="104"/>
      <c r="K163" s="10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104"/>
      <c r="D164" s="104"/>
      <c r="E164" s="104"/>
      <c r="F164" s="104"/>
      <c r="G164" s="104"/>
      <c r="H164" s="104"/>
      <c r="I164" s="104"/>
      <c r="J164" s="104"/>
      <c r="K164" s="10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104"/>
      <c r="D165" s="104"/>
      <c r="E165" s="104"/>
      <c r="F165" s="104"/>
      <c r="G165" s="104"/>
      <c r="H165" s="104"/>
      <c r="I165" s="104"/>
      <c r="J165" s="104"/>
      <c r="K165" s="10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104"/>
      <c r="D166" s="104"/>
      <c r="E166" s="104"/>
      <c r="F166" s="104"/>
      <c r="G166" s="104"/>
      <c r="H166" s="104"/>
      <c r="I166" s="104"/>
      <c r="J166" s="104"/>
      <c r="K166" s="10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104"/>
      <c r="D167" s="104"/>
      <c r="E167" s="104"/>
      <c r="F167" s="104"/>
      <c r="G167" s="104"/>
      <c r="H167" s="104"/>
      <c r="I167" s="104"/>
      <c r="J167" s="104"/>
      <c r="K167" s="10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104"/>
      <c r="D168" s="104"/>
      <c r="E168" s="104"/>
      <c r="F168" s="104"/>
      <c r="G168" s="104"/>
      <c r="H168" s="104"/>
      <c r="I168" s="104"/>
      <c r="J168" s="104"/>
      <c r="K168" s="10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104"/>
      <c r="D169" s="104"/>
      <c r="E169" s="104"/>
      <c r="F169" s="104"/>
      <c r="G169" s="104"/>
      <c r="H169" s="104"/>
      <c r="I169" s="104"/>
      <c r="J169" s="104"/>
      <c r="K169" s="10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104"/>
      <c r="D170" s="104"/>
      <c r="E170" s="104"/>
      <c r="F170" s="104"/>
      <c r="G170" s="104"/>
      <c r="H170" s="104"/>
      <c r="I170" s="104"/>
      <c r="J170" s="104"/>
      <c r="K170" s="10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104"/>
      <c r="D171" s="104"/>
      <c r="E171" s="104"/>
      <c r="F171" s="104"/>
      <c r="G171" s="104"/>
      <c r="H171" s="104"/>
      <c r="I171" s="104"/>
      <c r="J171" s="104"/>
      <c r="K171" s="10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104"/>
      <c r="D172" s="104"/>
      <c r="E172" s="104"/>
      <c r="F172" s="104"/>
      <c r="G172" s="104"/>
      <c r="H172" s="104"/>
      <c r="I172" s="104"/>
      <c r="J172" s="104"/>
      <c r="K172" s="10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104"/>
      <c r="D173" s="104"/>
      <c r="E173" s="104"/>
      <c r="F173" s="104"/>
      <c r="G173" s="104"/>
      <c r="H173" s="104"/>
      <c r="I173" s="104"/>
      <c r="J173" s="104"/>
      <c r="K173" s="10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104"/>
      <c r="D174" s="104"/>
      <c r="E174" s="104"/>
      <c r="F174" s="104"/>
      <c r="G174" s="104"/>
      <c r="H174" s="104"/>
      <c r="I174" s="104"/>
      <c r="J174" s="104"/>
      <c r="K174" s="10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104"/>
      <c r="D175" s="104"/>
      <c r="E175" s="104"/>
      <c r="F175" s="104"/>
      <c r="G175" s="104"/>
      <c r="H175" s="104"/>
      <c r="I175" s="104"/>
      <c r="J175" s="104"/>
      <c r="K175" s="10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104"/>
      <c r="D176" s="104"/>
      <c r="E176" s="104"/>
      <c r="F176" s="104"/>
      <c r="G176" s="104"/>
      <c r="H176" s="104"/>
      <c r="I176" s="104"/>
      <c r="J176" s="104"/>
      <c r="K176" s="10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104"/>
      <c r="D177" s="104"/>
      <c r="E177" s="104"/>
      <c r="F177" s="104"/>
      <c r="G177" s="104"/>
      <c r="H177" s="104"/>
      <c r="I177" s="104"/>
      <c r="J177" s="104"/>
      <c r="K177" s="10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104"/>
      <c r="D178" s="104"/>
      <c r="E178" s="104"/>
      <c r="F178" s="104"/>
      <c r="G178" s="104"/>
      <c r="H178" s="104"/>
      <c r="I178" s="104"/>
      <c r="J178" s="104"/>
      <c r="K178" s="10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104"/>
      <c r="D179" s="104"/>
      <c r="E179" s="104"/>
      <c r="F179" s="104"/>
      <c r="G179" s="104"/>
      <c r="H179" s="104"/>
      <c r="I179" s="104"/>
      <c r="J179" s="104"/>
      <c r="K179" s="10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104"/>
      <c r="D180" s="104"/>
      <c r="E180" s="104"/>
      <c r="F180" s="104"/>
      <c r="G180" s="104"/>
      <c r="H180" s="104"/>
      <c r="I180" s="104"/>
      <c r="J180" s="104"/>
      <c r="K180" s="10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104"/>
      <c r="D181" s="104"/>
      <c r="E181" s="104"/>
      <c r="F181" s="104"/>
      <c r="G181" s="104"/>
      <c r="H181" s="104"/>
      <c r="I181" s="104"/>
      <c r="J181" s="104"/>
      <c r="K181" s="10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104"/>
      <c r="D182" s="104"/>
      <c r="E182" s="104"/>
      <c r="F182" s="104"/>
      <c r="G182" s="104"/>
      <c r="H182" s="104"/>
      <c r="I182" s="104"/>
      <c r="J182" s="104"/>
      <c r="K182" s="10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104"/>
      <c r="D183" s="104"/>
      <c r="E183" s="104"/>
      <c r="F183" s="104"/>
      <c r="G183" s="104"/>
      <c r="H183" s="104"/>
      <c r="I183" s="104"/>
      <c r="J183" s="104"/>
      <c r="K183" s="10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104"/>
      <c r="D184" s="104"/>
      <c r="E184" s="104"/>
      <c r="F184" s="104"/>
      <c r="G184" s="104"/>
      <c r="H184" s="104"/>
      <c r="I184" s="104"/>
      <c r="J184" s="104"/>
      <c r="K184" s="10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104"/>
      <c r="D185" s="104"/>
      <c r="E185" s="104"/>
      <c r="F185" s="104"/>
      <c r="G185" s="104"/>
      <c r="H185" s="104"/>
      <c r="I185" s="104"/>
      <c r="J185" s="104"/>
      <c r="K185" s="10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104"/>
      <c r="D186" s="104"/>
      <c r="E186" s="104"/>
      <c r="F186" s="104"/>
      <c r="G186" s="104"/>
      <c r="H186" s="104"/>
      <c r="I186" s="104"/>
      <c r="J186" s="104"/>
      <c r="K186" s="10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104"/>
      <c r="D187" s="104"/>
      <c r="E187" s="104"/>
      <c r="F187" s="104"/>
      <c r="G187" s="104"/>
      <c r="H187" s="104"/>
      <c r="I187" s="104"/>
      <c r="J187" s="104"/>
      <c r="K187" s="10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104"/>
      <c r="D188" s="104"/>
      <c r="E188" s="104"/>
      <c r="F188" s="104"/>
      <c r="G188" s="104"/>
      <c r="H188" s="104"/>
      <c r="I188" s="104"/>
      <c r="J188" s="104"/>
      <c r="K188" s="10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104"/>
      <c r="D189" s="104"/>
      <c r="E189" s="104"/>
      <c r="F189" s="104"/>
      <c r="G189" s="104"/>
      <c r="H189" s="104"/>
      <c r="I189" s="104"/>
      <c r="J189" s="104"/>
      <c r="K189" s="10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104"/>
      <c r="D190" s="104"/>
      <c r="E190" s="104"/>
      <c r="F190" s="104"/>
      <c r="G190" s="104"/>
      <c r="H190" s="104"/>
      <c r="I190" s="104"/>
      <c r="J190" s="104"/>
      <c r="K190" s="10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104"/>
      <c r="D191" s="104"/>
      <c r="E191" s="104"/>
      <c r="F191" s="104"/>
      <c r="G191" s="104"/>
      <c r="H191" s="104"/>
      <c r="I191" s="104"/>
      <c r="J191" s="104"/>
      <c r="K191" s="10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104"/>
      <c r="D192" s="104"/>
      <c r="E192" s="104"/>
      <c r="F192" s="104"/>
      <c r="G192" s="104"/>
      <c r="H192" s="104"/>
      <c r="I192" s="104"/>
      <c r="J192" s="104"/>
      <c r="K192" s="10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104"/>
      <c r="D193" s="104"/>
      <c r="E193" s="104"/>
      <c r="F193" s="104"/>
      <c r="G193" s="104"/>
      <c r="H193" s="104"/>
      <c r="I193" s="104"/>
      <c r="J193" s="104"/>
      <c r="K193" s="10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104"/>
      <c r="D194" s="104"/>
      <c r="E194" s="104"/>
      <c r="F194" s="104"/>
      <c r="G194" s="104"/>
      <c r="H194" s="104"/>
      <c r="I194" s="104"/>
      <c r="J194" s="104"/>
      <c r="K194" s="10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104"/>
      <c r="D195" s="104"/>
      <c r="E195" s="104"/>
      <c r="F195" s="104"/>
      <c r="G195" s="104"/>
      <c r="H195" s="104"/>
      <c r="I195" s="104"/>
      <c r="J195" s="104"/>
      <c r="K195" s="10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104"/>
      <c r="D196" s="104"/>
      <c r="E196" s="104"/>
      <c r="F196" s="104"/>
      <c r="G196" s="104"/>
      <c r="H196" s="104"/>
      <c r="I196" s="104"/>
      <c r="J196" s="104"/>
      <c r="K196" s="10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104"/>
      <c r="D197" s="104"/>
      <c r="E197" s="104"/>
      <c r="F197" s="104"/>
      <c r="G197" s="104"/>
      <c r="H197" s="104"/>
      <c r="I197" s="104"/>
      <c r="J197" s="104"/>
      <c r="K197" s="10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104"/>
      <c r="D198" s="104"/>
      <c r="E198" s="104"/>
      <c r="F198" s="104"/>
      <c r="G198" s="104"/>
      <c r="H198" s="104"/>
      <c r="I198" s="104"/>
      <c r="J198" s="104"/>
      <c r="K198" s="10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104"/>
      <c r="D199" s="104"/>
      <c r="E199" s="104"/>
      <c r="F199" s="104"/>
      <c r="G199" s="104"/>
      <c r="H199" s="104"/>
      <c r="I199" s="104"/>
      <c r="J199" s="104"/>
      <c r="K199" s="10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104"/>
      <c r="D200" s="104"/>
      <c r="E200" s="104"/>
      <c r="F200" s="104"/>
      <c r="G200" s="104"/>
      <c r="H200" s="104"/>
      <c r="I200" s="104"/>
      <c r="J200" s="104"/>
      <c r="K200" s="10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104"/>
      <c r="D201" s="104"/>
      <c r="E201" s="104"/>
      <c r="F201" s="104"/>
      <c r="G201" s="104"/>
      <c r="H201" s="104"/>
      <c r="I201" s="104"/>
      <c r="J201" s="104"/>
      <c r="K201" s="10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104"/>
      <c r="D202" s="104"/>
      <c r="E202" s="104"/>
      <c r="F202" s="104"/>
      <c r="G202" s="104"/>
      <c r="H202" s="104"/>
      <c r="I202" s="104"/>
      <c r="J202" s="104"/>
      <c r="K202" s="10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104"/>
      <c r="D203" s="104"/>
      <c r="E203" s="104"/>
      <c r="F203" s="104"/>
      <c r="G203" s="104"/>
      <c r="H203" s="104"/>
      <c r="I203" s="104"/>
      <c r="J203" s="104"/>
      <c r="K203" s="10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104"/>
      <c r="D204" s="104"/>
      <c r="E204" s="104"/>
      <c r="F204" s="104"/>
      <c r="G204" s="104"/>
      <c r="H204" s="104"/>
      <c r="I204" s="104"/>
      <c r="J204" s="104"/>
      <c r="K204" s="10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104"/>
      <c r="D205" s="104"/>
      <c r="E205" s="104"/>
      <c r="F205" s="104"/>
      <c r="G205" s="104"/>
      <c r="H205" s="104"/>
      <c r="I205" s="104"/>
      <c r="J205" s="104"/>
      <c r="K205" s="10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104"/>
      <c r="D206" s="104"/>
      <c r="E206" s="104"/>
      <c r="F206" s="104"/>
      <c r="G206" s="104"/>
      <c r="H206" s="104"/>
      <c r="I206" s="104"/>
      <c r="J206" s="104"/>
      <c r="K206" s="10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104"/>
      <c r="D207" s="104"/>
      <c r="E207" s="104"/>
      <c r="F207" s="104"/>
      <c r="G207" s="104"/>
      <c r="H207" s="104"/>
      <c r="I207" s="104"/>
      <c r="J207" s="104"/>
      <c r="K207" s="10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104"/>
      <c r="D208" s="104"/>
      <c r="E208" s="104"/>
      <c r="F208" s="104"/>
      <c r="G208" s="104"/>
      <c r="H208" s="104"/>
      <c r="I208" s="104"/>
      <c r="J208" s="104"/>
      <c r="K208" s="10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104"/>
      <c r="D209" s="104"/>
      <c r="E209" s="104"/>
      <c r="F209" s="104"/>
      <c r="G209" s="104"/>
      <c r="H209" s="104"/>
      <c r="I209" s="104"/>
      <c r="J209" s="104"/>
      <c r="K209" s="10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104"/>
      <c r="D210" s="104"/>
      <c r="E210" s="104"/>
      <c r="F210" s="104"/>
      <c r="G210" s="104"/>
      <c r="H210" s="104"/>
      <c r="I210" s="104"/>
      <c r="J210" s="104"/>
      <c r="K210" s="10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104"/>
      <c r="D211" s="104"/>
      <c r="E211" s="104"/>
      <c r="F211" s="104"/>
      <c r="G211" s="104"/>
      <c r="H211" s="104"/>
      <c r="I211" s="104"/>
      <c r="J211" s="104"/>
      <c r="K211" s="10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104"/>
      <c r="D212" s="104"/>
      <c r="E212" s="104"/>
      <c r="F212" s="104"/>
      <c r="G212" s="104"/>
      <c r="H212" s="104"/>
      <c r="I212" s="104"/>
      <c r="J212" s="104"/>
      <c r="K212" s="10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104"/>
      <c r="D213" s="104"/>
      <c r="E213" s="104"/>
      <c r="F213" s="104"/>
      <c r="G213" s="104"/>
      <c r="H213" s="104"/>
      <c r="I213" s="104"/>
      <c r="J213" s="104"/>
      <c r="K213" s="10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104"/>
      <c r="D214" s="104"/>
      <c r="E214" s="104"/>
      <c r="F214" s="104"/>
      <c r="G214" s="104"/>
      <c r="H214" s="104"/>
      <c r="I214" s="104"/>
      <c r="J214" s="104"/>
      <c r="K214" s="10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104"/>
      <c r="D215" s="104"/>
      <c r="E215" s="104"/>
      <c r="F215" s="104"/>
      <c r="G215" s="104"/>
      <c r="H215" s="104"/>
      <c r="I215" s="104"/>
      <c r="J215" s="104"/>
      <c r="K215" s="10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104"/>
      <c r="D216" s="104"/>
      <c r="E216" s="104"/>
      <c r="F216" s="104"/>
      <c r="G216" s="104"/>
      <c r="H216" s="104"/>
      <c r="I216" s="104"/>
      <c r="J216" s="104"/>
      <c r="K216" s="10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104"/>
      <c r="D217" s="104"/>
      <c r="E217" s="104"/>
      <c r="F217" s="104"/>
      <c r="G217" s="104"/>
      <c r="H217" s="104"/>
      <c r="I217" s="104"/>
      <c r="J217" s="104"/>
      <c r="K217" s="10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104"/>
      <c r="D218" s="104"/>
      <c r="E218" s="104"/>
      <c r="F218" s="104"/>
      <c r="G218" s="104"/>
      <c r="H218" s="104"/>
      <c r="I218" s="104"/>
      <c r="J218" s="104"/>
      <c r="K218" s="10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104"/>
      <c r="D219" s="104"/>
      <c r="E219" s="104"/>
      <c r="F219" s="104"/>
      <c r="G219" s="104"/>
      <c r="H219" s="104"/>
      <c r="I219" s="104"/>
      <c r="J219" s="104"/>
      <c r="K219" s="10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104"/>
      <c r="D220" s="104"/>
      <c r="E220" s="104"/>
      <c r="F220" s="104"/>
      <c r="G220" s="104"/>
      <c r="H220" s="104"/>
      <c r="I220" s="104"/>
      <c r="J220" s="104"/>
      <c r="K220" s="10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104"/>
      <c r="D221" s="104"/>
      <c r="E221" s="104"/>
      <c r="F221" s="104"/>
      <c r="G221" s="104"/>
      <c r="H221" s="104"/>
      <c r="I221" s="104"/>
      <c r="J221" s="104"/>
      <c r="K221" s="10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104"/>
      <c r="D222" s="104"/>
      <c r="E222" s="104"/>
      <c r="F222" s="104"/>
      <c r="G222" s="104"/>
      <c r="H222" s="104"/>
      <c r="I222" s="104"/>
      <c r="J222" s="104"/>
      <c r="K222" s="10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104"/>
      <c r="D223" s="104"/>
      <c r="E223" s="104"/>
      <c r="F223" s="104"/>
      <c r="G223" s="104"/>
      <c r="H223" s="104"/>
      <c r="I223" s="104"/>
      <c r="J223" s="104"/>
      <c r="K223" s="10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104"/>
      <c r="D224" s="104"/>
      <c r="E224" s="104"/>
      <c r="F224" s="104"/>
      <c r="G224" s="104"/>
      <c r="H224" s="104"/>
      <c r="I224" s="104"/>
      <c r="J224" s="104"/>
      <c r="K224" s="10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104"/>
      <c r="D225" s="104"/>
      <c r="E225" s="104"/>
      <c r="F225" s="104"/>
      <c r="G225" s="104"/>
      <c r="H225" s="104"/>
      <c r="I225" s="104"/>
      <c r="J225" s="104"/>
      <c r="K225" s="10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104"/>
      <c r="D226" s="104"/>
      <c r="E226" s="104"/>
      <c r="F226" s="104"/>
      <c r="G226" s="104"/>
      <c r="H226" s="104"/>
      <c r="I226" s="104"/>
      <c r="J226" s="104"/>
      <c r="K226" s="10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104"/>
      <c r="D227" s="104"/>
      <c r="E227" s="104"/>
      <c r="F227" s="104"/>
      <c r="G227" s="104"/>
      <c r="H227" s="104"/>
      <c r="I227" s="104"/>
      <c r="J227" s="104"/>
      <c r="K227" s="10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104"/>
      <c r="D228" s="104"/>
      <c r="E228" s="104"/>
      <c r="F228" s="104"/>
      <c r="G228" s="104"/>
      <c r="H228" s="104"/>
      <c r="I228" s="104"/>
      <c r="J228" s="104"/>
      <c r="K228" s="10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104"/>
      <c r="D229" s="104"/>
      <c r="E229" s="104"/>
      <c r="F229" s="104"/>
      <c r="G229" s="104"/>
      <c r="H229" s="104"/>
      <c r="I229" s="104"/>
      <c r="J229" s="104"/>
      <c r="K229" s="10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104"/>
      <c r="D230" s="104"/>
      <c r="E230" s="104"/>
      <c r="F230" s="104"/>
      <c r="G230" s="104"/>
      <c r="H230" s="104"/>
      <c r="I230" s="104"/>
      <c r="J230" s="104"/>
      <c r="K230" s="10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104"/>
      <c r="D231" s="104"/>
      <c r="E231" s="104"/>
      <c r="F231" s="104"/>
      <c r="G231" s="104"/>
      <c r="H231" s="104"/>
      <c r="I231" s="104"/>
      <c r="J231" s="104"/>
      <c r="K231" s="10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104"/>
      <c r="D232" s="104"/>
      <c r="E232" s="104"/>
      <c r="F232" s="104"/>
      <c r="G232" s="104"/>
      <c r="H232" s="104"/>
      <c r="I232" s="104"/>
      <c r="J232" s="104"/>
      <c r="K232" s="10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104"/>
      <c r="D233" s="104"/>
      <c r="E233" s="104"/>
      <c r="F233" s="104"/>
      <c r="G233" s="104"/>
      <c r="H233" s="104"/>
      <c r="I233" s="104"/>
      <c r="J233" s="104"/>
      <c r="K233" s="10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104"/>
      <c r="D234" s="104"/>
      <c r="E234" s="104"/>
      <c r="F234" s="104"/>
      <c r="G234" s="104"/>
      <c r="H234" s="104"/>
      <c r="I234" s="104"/>
      <c r="J234" s="104"/>
      <c r="K234" s="10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104"/>
      <c r="D235" s="104"/>
      <c r="E235" s="104"/>
      <c r="F235" s="104"/>
      <c r="G235" s="104"/>
      <c r="H235" s="104"/>
      <c r="I235" s="104"/>
      <c r="J235" s="104"/>
      <c r="K235" s="10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104"/>
      <c r="D236" s="104"/>
      <c r="E236" s="104"/>
      <c r="F236" s="104"/>
      <c r="G236" s="104"/>
      <c r="H236" s="104"/>
      <c r="I236" s="104"/>
      <c r="J236" s="104"/>
      <c r="K236" s="10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104"/>
      <c r="D237" s="104"/>
      <c r="E237" s="104"/>
      <c r="F237" s="104"/>
      <c r="G237" s="104"/>
      <c r="H237" s="104"/>
      <c r="I237" s="104"/>
      <c r="J237" s="104"/>
      <c r="K237" s="10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104"/>
      <c r="D238" s="104"/>
      <c r="E238" s="104"/>
      <c r="F238" s="104"/>
      <c r="G238" s="104"/>
      <c r="H238" s="104"/>
      <c r="I238" s="104"/>
      <c r="J238" s="104"/>
      <c r="K238" s="10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104"/>
      <c r="D239" s="104"/>
      <c r="E239" s="104"/>
      <c r="F239" s="104"/>
      <c r="G239" s="104"/>
      <c r="H239" s="104"/>
      <c r="I239" s="104"/>
      <c r="J239" s="104"/>
      <c r="K239" s="10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104"/>
      <c r="D240" s="104"/>
      <c r="E240" s="104"/>
      <c r="F240" s="104"/>
      <c r="G240" s="104"/>
      <c r="H240" s="104"/>
      <c r="I240" s="104"/>
      <c r="J240" s="104"/>
      <c r="K240" s="10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104"/>
      <c r="D241" s="104"/>
      <c r="E241" s="104"/>
      <c r="F241" s="104"/>
      <c r="G241" s="104"/>
      <c r="H241" s="104"/>
      <c r="I241" s="104"/>
      <c r="J241" s="104"/>
      <c r="K241" s="10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1:K1"/>
    <mergeCell ref="A2:A3"/>
  </mergeCells>
  <conditionalFormatting sqref="C29:L29">
    <cfRule type="cellIs" dxfId="0" priority="1" operator="greaterThan">
      <formula>0</formula>
    </cfRule>
  </conditionalFormatting>
  <conditionalFormatting sqref="C29:L29">
    <cfRule type="cellIs" dxfId="1" priority="2" operator="lessThan">
      <formula>0</formula>
    </cfRule>
  </conditionalFormatting>
  <conditionalFormatting sqref="C37:L37">
    <cfRule type="cellIs" dxfId="2" priority="3" operator="greaterThan">
      <formula>0</formula>
    </cfRule>
  </conditionalFormatting>
  <conditionalFormatting sqref="C37:L37">
    <cfRule type="cellIs" dxfId="3" priority="4" operator="lessThan">
      <formula>0</formula>
    </cfRule>
  </conditionalFormatting>
  <conditionalFormatting sqref="C45:L45">
    <cfRule type="cellIs" dxfId="2" priority="5" operator="greaterThan">
      <formula>0</formula>
    </cfRule>
  </conditionalFormatting>
  <conditionalFormatting sqref="C45:L45">
    <cfRule type="cellIs" dxfId="3" priority="6" operator="lessThan">
      <formula>0</formula>
    </cfRule>
  </conditionalFormatting>
  <printOptions/>
  <pageMargins bottom="0.75" footer="0.0" header="0.0" left="0.7" right="0.7" top="0.75"/>
  <pageSetup paperSize="8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30.0"/>
    <col customWidth="1" min="3" max="3" width="20.0"/>
    <col customWidth="1" min="4" max="12" width="18.33"/>
    <col customWidth="1" min="13" max="19" width="8.33"/>
    <col customWidth="1" min="20" max="26" width="11.11"/>
  </cols>
  <sheetData>
    <row r="1" ht="18.0" customHeight="1">
      <c r="A1" s="105"/>
      <c r="B1" s="106"/>
      <c r="C1" s="105"/>
      <c r="D1" s="107">
        <v>2026.0</v>
      </c>
      <c r="E1" s="108"/>
      <c r="F1" s="108"/>
      <c r="G1" s="108"/>
      <c r="H1" s="108"/>
      <c r="I1" s="108"/>
      <c r="J1" s="108"/>
      <c r="K1" s="108"/>
      <c r="L1" s="109"/>
      <c r="M1" s="17"/>
      <c r="N1" s="17"/>
      <c r="O1" s="17"/>
      <c r="P1" s="17"/>
      <c r="Q1" s="17"/>
      <c r="R1" s="17"/>
      <c r="S1" s="17"/>
      <c r="T1" s="3"/>
      <c r="U1" s="3"/>
      <c r="V1" s="3"/>
      <c r="W1" s="3"/>
      <c r="X1" s="3"/>
      <c r="Y1" s="3"/>
      <c r="Z1" s="3"/>
    </row>
    <row r="2" ht="15.75" customHeight="1">
      <c r="A2" s="110" t="s">
        <v>72</v>
      </c>
      <c r="B2" s="106"/>
      <c r="C2" s="111"/>
      <c r="D2" s="112" t="s">
        <v>33</v>
      </c>
      <c r="E2" s="112" t="s">
        <v>34</v>
      </c>
      <c r="F2" s="112" t="s">
        <v>35</v>
      </c>
      <c r="G2" s="112" t="s">
        <v>36</v>
      </c>
      <c r="H2" s="112" t="s">
        <v>37</v>
      </c>
      <c r="I2" s="112" t="s">
        <v>38</v>
      </c>
      <c r="J2" s="112" t="s">
        <v>39</v>
      </c>
      <c r="K2" s="112" t="s">
        <v>40</v>
      </c>
      <c r="L2" s="112" t="s">
        <v>41</v>
      </c>
      <c r="M2" s="17"/>
      <c r="N2" s="17"/>
      <c r="O2" s="17"/>
      <c r="P2" s="17"/>
      <c r="Q2" s="17"/>
      <c r="R2" s="17"/>
      <c r="S2" s="17"/>
      <c r="T2" s="3"/>
      <c r="U2" s="3"/>
      <c r="V2" s="3"/>
      <c r="W2" s="3"/>
      <c r="X2" s="3"/>
      <c r="Y2" s="3"/>
      <c r="Z2" s="3"/>
    </row>
    <row r="3" ht="15.75" customHeight="1">
      <c r="A3" s="105"/>
      <c r="B3" s="106"/>
      <c r="C3" s="105"/>
      <c r="D3" s="113"/>
      <c r="E3" s="113"/>
      <c r="F3" s="113"/>
      <c r="G3" s="113"/>
      <c r="H3" s="113"/>
      <c r="I3" s="113"/>
      <c r="J3" s="113"/>
      <c r="K3" s="113"/>
      <c r="L3" s="113"/>
      <c r="M3" s="17"/>
      <c r="N3" s="17"/>
      <c r="O3" s="17"/>
      <c r="P3" s="17"/>
      <c r="Q3" s="17"/>
      <c r="R3" s="17"/>
      <c r="S3" s="17"/>
      <c r="T3" s="3"/>
      <c r="U3" s="3"/>
      <c r="V3" s="3"/>
      <c r="W3" s="3"/>
      <c r="X3" s="3"/>
      <c r="Y3" s="3"/>
      <c r="Z3" s="3"/>
    </row>
    <row r="4" ht="16.5" customHeight="1">
      <c r="A4" s="114"/>
      <c r="B4" s="115" t="s">
        <v>51</v>
      </c>
      <c r="C4" s="115">
        <f t="shared" ref="C4:C69" si="2">SUM(D4:L4)</f>
        <v>994669.46</v>
      </c>
      <c r="D4" s="116">
        <f t="shared" ref="D4:L4" si="1">SUM(D5:D135)</f>
        <v>0</v>
      </c>
      <c r="E4" s="116">
        <f t="shared" si="1"/>
        <v>95700.26</v>
      </c>
      <c r="F4" s="116">
        <f t="shared" si="1"/>
        <v>120969.2</v>
      </c>
      <c r="G4" s="116">
        <f t="shared" si="1"/>
        <v>135000</v>
      </c>
      <c r="H4" s="116">
        <f t="shared" si="1"/>
        <v>155000</v>
      </c>
      <c r="I4" s="116">
        <f t="shared" si="1"/>
        <v>140000</v>
      </c>
      <c r="J4" s="116">
        <f t="shared" si="1"/>
        <v>115000</v>
      </c>
      <c r="K4" s="116">
        <f t="shared" si="1"/>
        <v>175000</v>
      </c>
      <c r="L4" s="116">
        <f t="shared" si="1"/>
        <v>58000</v>
      </c>
      <c r="M4" s="63"/>
      <c r="N4" s="63"/>
      <c r="O4" s="63"/>
      <c r="P4" s="63"/>
      <c r="Q4" s="63"/>
      <c r="R4" s="63"/>
      <c r="S4" s="63"/>
      <c r="T4" s="3"/>
      <c r="U4" s="3"/>
      <c r="V4" s="3"/>
      <c r="W4" s="3"/>
      <c r="X4" s="3"/>
      <c r="Y4" s="3"/>
      <c r="Z4" s="3"/>
    </row>
    <row r="5" ht="16.5" customHeight="1">
      <c r="A5" s="117">
        <v>670101.0</v>
      </c>
      <c r="B5" s="118" t="s">
        <v>73</v>
      </c>
      <c r="C5" s="119">
        <f t="shared" si="2"/>
        <v>648671.46</v>
      </c>
      <c r="D5" s="120"/>
      <c r="E5" s="121">
        <v>62451.0</v>
      </c>
      <c r="F5" s="121">
        <v>76220.46</v>
      </c>
      <c r="G5" s="121">
        <v>85000.0</v>
      </c>
      <c r="H5" s="122">
        <v>95000.0</v>
      </c>
      <c r="I5" s="121">
        <v>90000.0</v>
      </c>
      <c r="J5" s="121">
        <v>80000.0</v>
      </c>
      <c r="K5" s="123">
        <v>120000.0</v>
      </c>
      <c r="L5" s="123">
        <v>40000.0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17">
        <v>350301.0</v>
      </c>
      <c r="B6" s="124" t="s">
        <v>74</v>
      </c>
      <c r="C6" s="125">
        <f t="shared" si="2"/>
        <v>345998</v>
      </c>
      <c r="D6" s="126"/>
      <c r="E6" s="127">
        <v>33249.26</v>
      </c>
      <c r="F6" s="127">
        <v>44748.74</v>
      </c>
      <c r="G6" s="127">
        <v>50000.0</v>
      </c>
      <c r="H6" s="127">
        <v>60000.0</v>
      </c>
      <c r="I6" s="127">
        <v>50000.0</v>
      </c>
      <c r="J6" s="127">
        <v>35000.0</v>
      </c>
      <c r="K6" s="128">
        <v>55000.0</v>
      </c>
      <c r="L6" s="128">
        <v>18000.0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17"/>
      <c r="B7" s="129"/>
      <c r="C7" s="125">
        <f t="shared" si="2"/>
        <v>0</v>
      </c>
      <c r="D7" s="128"/>
      <c r="E7" s="128"/>
      <c r="F7" s="128"/>
      <c r="G7" s="128"/>
      <c r="H7" s="128"/>
      <c r="I7" s="128"/>
      <c r="J7" s="128"/>
      <c r="K7" s="128"/>
      <c r="L7" s="12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17"/>
      <c r="B8" s="129"/>
      <c r="C8" s="125">
        <f t="shared" si="2"/>
        <v>0</v>
      </c>
      <c r="D8" s="128"/>
      <c r="E8" s="128"/>
      <c r="F8" s="128"/>
      <c r="G8" s="128"/>
      <c r="H8" s="128"/>
      <c r="I8" s="128"/>
      <c r="J8" s="128"/>
      <c r="K8" s="128"/>
      <c r="L8" s="12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17"/>
      <c r="B9" s="129"/>
      <c r="C9" s="125">
        <f t="shared" si="2"/>
        <v>0</v>
      </c>
      <c r="D9" s="128"/>
      <c r="E9" s="128"/>
      <c r="F9" s="128"/>
      <c r="G9" s="128"/>
      <c r="H9" s="128"/>
      <c r="I9" s="128"/>
      <c r="J9" s="128"/>
      <c r="K9" s="128"/>
      <c r="L9" s="12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17"/>
      <c r="B10" s="129"/>
      <c r="C10" s="125">
        <f t="shared" si="2"/>
        <v>0</v>
      </c>
      <c r="D10" s="128"/>
      <c r="E10" s="128"/>
      <c r="F10" s="128"/>
      <c r="G10" s="128"/>
      <c r="H10" s="128"/>
      <c r="I10" s="128"/>
      <c r="J10" s="128"/>
      <c r="K10" s="128"/>
      <c r="L10" s="12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17"/>
      <c r="B11" s="129"/>
      <c r="C11" s="125">
        <f t="shared" si="2"/>
        <v>0</v>
      </c>
      <c r="D11" s="128"/>
      <c r="E11" s="128"/>
      <c r="F11" s="128"/>
      <c r="G11" s="128"/>
      <c r="H11" s="128"/>
      <c r="I11" s="128"/>
      <c r="J11" s="128"/>
      <c r="K11" s="128"/>
      <c r="L11" s="12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17"/>
      <c r="B12" s="129"/>
      <c r="C12" s="125">
        <f t="shared" si="2"/>
        <v>0</v>
      </c>
      <c r="D12" s="128"/>
      <c r="E12" s="128"/>
      <c r="F12" s="128"/>
      <c r="G12" s="128"/>
      <c r="H12" s="128"/>
      <c r="I12" s="128"/>
      <c r="J12" s="128"/>
      <c r="K12" s="128"/>
      <c r="L12" s="12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17"/>
      <c r="B13" s="129"/>
      <c r="C13" s="125">
        <f t="shared" si="2"/>
        <v>0</v>
      </c>
      <c r="D13" s="128"/>
      <c r="E13" s="128"/>
      <c r="F13" s="128"/>
      <c r="G13" s="128"/>
      <c r="H13" s="128"/>
      <c r="I13" s="128"/>
      <c r="J13" s="128"/>
      <c r="K13" s="128"/>
      <c r="L13" s="12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17"/>
      <c r="B14" s="129"/>
      <c r="C14" s="125">
        <f t="shared" si="2"/>
        <v>0</v>
      </c>
      <c r="D14" s="128"/>
      <c r="E14" s="128"/>
      <c r="F14" s="128"/>
      <c r="G14" s="128"/>
      <c r="H14" s="128"/>
      <c r="I14" s="128"/>
      <c r="J14" s="128"/>
      <c r="K14" s="128"/>
      <c r="L14" s="12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17"/>
      <c r="B15" s="129"/>
      <c r="C15" s="125">
        <f t="shared" si="2"/>
        <v>0</v>
      </c>
      <c r="D15" s="128"/>
      <c r="E15" s="128"/>
      <c r="F15" s="128"/>
      <c r="G15" s="128"/>
      <c r="H15" s="128"/>
      <c r="I15" s="128"/>
      <c r="J15" s="128"/>
      <c r="K15" s="128"/>
      <c r="L15" s="12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17"/>
      <c r="B16" s="129"/>
      <c r="C16" s="125">
        <f t="shared" si="2"/>
        <v>0</v>
      </c>
      <c r="D16" s="128"/>
      <c r="E16" s="128"/>
      <c r="F16" s="128"/>
      <c r="G16" s="128"/>
      <c r="H16" s="128"/>
      <c r="I16" s="128"/>
      <c r="J16" s="128"/>
      <c r="K16" s="128"/>
      <c r="L16" s="12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17"/>
      <c r="B17" s="129"/>
      <c r="C17" s="125">
        <f t="shared" si="2"/>
        <v>0</v>
      </c>
      <c r="D17" s="128"/>
      <c r="E17" s="128"/>
      <c r="F17" s="128"/>
      <c r="G17" s="128"/>
      <c r="H17" s="128"/>
      <c r="I17" s="128"/>
      <c r="J17" s="128"/>
      <c r="K17" s="128"/>
      <c r="L17" s="12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17"/>
      <c r="B18" s="129"/>
      <c r="C18" s="125">
        <f t="shared" si="2"/>
        <v>0</v>
      </c>
      <c r="D18" s="128"/>
      <c r="E18" s="128"/>
      <c r="F18" s="128"/>
      <c r="G18" s="128"/>
      <c r="H18" s="128"/>
      <c r="I18" s="128"/>
      <c r="J18" s="128"/>
      <c r="K18" s="128"/>
      <c r="L18" s="12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17"/>
      <c r="B19" s="129"/>
      <c r="C19" s="125">
        <f t="shared" si="2"/>
        <v>0</v>
      </c>
      <c r="D19" s="128"/>
      <c r="E19" s="128"/>
      <c r="F19" s="128"/>
      <c r="G19" s="128"/>
      <c r="H19" s="128"/>
      <c r="I19" s="128"/>
      <c r="J19" s="128"/>
      <c r="K19" s="128"/>
      <c r="L19" s="12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17"/>
      <c r="B20" s="129"/>
      <c r="C20" s="125">
        <f t="shared" si="2"/>
        <v>0</v>
      </c>
      <c r="D20" s="128"/>
      <c r="E20" s="128"/>
      <c r="F20" s="128"/>
      <c r="G20" s="128"/>
      <c r="H20" s="128"/>
      <c r="I20" s="128"/>
      <c r="J20" s="128"/>
      <c r="K20" s="128"/>
      <c r="L20" s="12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17"/>
      <c r="B21" s="129"/>
      <c r="C21" s="125">
        <f t="shared" si="2"/>
        <v>0</v>
      </c>
      <c r="D21" s="128"/>
      <c r="E21" s="128"/>
      <c r="F21" s="128"/>
      <c r="G21" s="128"/>
      <c r="H21" s="128"/>
      <c r="I21" s="128"/>
      <c r="J21" s="128"/>
      <c r="K21" s="128"/>
      <c r="L21" s="12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17"/>
      <c r="B22" s="129"/>
      <c r="C22" s="125">
        <f t="shared" si="2"/>
        <v>0</v>
      </c>
      <c r="D22" s="128"/>
      <c r="E22" s="128"/>
      <c r="F22" s="128"/>
      <c r="G22" s="128"/>
      <c r="H22" s="128"/>
      <c r="I22" s="128"/>
      <c r="J22" s="128"/>
      <c r="K22" s="128"/>
      <c r="L22" s="12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17"/>
      <c r="B23" s="129"/>
      <c r="C23" s="125">
        <f t="shared" si="2"/>
        <v>0</v>
      </c>
      <c r="D23" s="128"/>
      <c r="E23" s="128"/>
      <c r="F23" s="128"/>
      <c r="G23" s="128"/>
      <c r="H23" s="128"/>
      <c r="I23" s="128"/>
      <c r="J23" s="128"/>
      <c r="K23" s="128"/>
      <c r="L23" s="12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17"/>
      <c r="B24" s="129"/>
      <c r="C24" s="125">
        <f t="shared" si="2"/>
        <v>0</v>
      </c>
      <c r="D24" s="128"/>
      <c r="E24" s="128"/>
      <c r="F24" s="128"/>
      <c r="G24" s="128"/>
      <c r="H24" s="128"/>
      <c r="I24" s="128"/>
      <c r="J24" s="128"/>
      <c r="K24" s="128"/>
      <c r="L24" s="12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17"/>
      <c r="B25" s="129"/>
      <c r="C25" s="125">
        <f t="shared" si="2"/>
        <v>0</v>
      </c>
      <c r="D25" s="128"/>
      <c r="E25" s="128"/>
      <c r="F25" s="128"/>
      <c r="G25" s="128"/>
      <c r="H25" s="128"/>
      <c r="I25" s="128"/>
      <c r="J25" s="128"/>
      <c r="K25" s="128"/>
      <c r="L25" s="12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17"/>
      <c r="B26" s="129"/>
      <c r="C26" s="125">
        <f t="shared" si="2"/>
        <v>0</v>
      </c>
      <c r="D26" s="128"/>
      <c r="E26" s="128"/>
      <c r="F26" s="128"/>
      <c r="G26" s="128"/>
      <c r="H26" s="128"/>
      <c r="I26" s="128"/>
      <c r="J26" s="128"/>
      <c r="K26" s="128"/>
      <c r="L26" s="12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17"/>
      <c r="B27" s="129"/>
      <c r="C27" s="125">
        <f t="shared" si="2"/>
        <v>0</v>
      </c>
      <c r="D27" s="128"/>
      <c r="E27" s="128"/>
      <c r="F27" s="128"/>
      <c r="G27" s="128"/>
      <c r="H27" s="128"/>
      <c r="I27" s="128"/>
      <c r="J27" s="128"/>
      <c r="K27" s="128"/>
      <c r="L27" s="12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17"/>
      <c r="B28" s="129"/>
      <c r="C28" s="125">
        <f t="shared" si="2"/>
        <v>0</v>
      </c>
      <c r="D28" s="128"/>
      <c r="E28" s="128"/>
      <c r="F28" s="128"/>
      <c r="G28" s="128"/>
      <c r="H28" s="128"/>
      <c r="I28" s="128"/>
      <c r="J28" s="128"/>
      <c r="K28" s="128"/>
      <c r="L28" s="12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17"/>
      <c r="B29" s="129"/>
      <c r="C29" s="125">
        <f t="shared" si="2"/>
        <v>0</v>
      </c>
      <c r="D29" s="128"/>
      <c r="E29" s="128"/>
      <c r="F29" s="128"/>
      <c r="G29" s="128"/>
      <c r="H29" s="128"/>
      <c r="I29" s="128"/>
      <c r="J29" s="128"/>
      <c r="K29" s="128"/>
      <c r="L29" s="12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17"/>
      <c r="B30" s="129"/>
      <c r="C30" s="125">
        <f t="shared" si="2"/>
        <v>0</v>
      </c>
      <c r="D30" s="128"/>
      <c r="E30" s="128"/>
      <c r="F30" s="128"/>
      <c r="G30" s="128"/>
      <c r="H30" s="128"/>
      <c r="I30" s="128"/>
      <c r="J30" s="128"/>
      <c r="K30" s="128"/>
      <c r="L30" s="12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17"/>
      <c r="B31" s="129"/>
      <c r="C31" s="125">
        <f t="shared" si="2"/>
        <v>0</v>
      </c>
      <c r="D31" s="128"/>
      <c r="E31" s="128"/>
      <c r="F31" s="128"/>
      <c r="G31" s="128"/>
      <c r="H31" s="128"/>
      <c r="I31" s="128"/>
      <c r="J31" s="128"/>
      <c r="K31" s="128"/>
      <c r="L31" s="12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17"/>
      <c r="B32" s="129"/>
      <c r="C32" s="125">
        <f t="shared" si="2"/>
        <v>0</v>
      </c>
      <c r="D32" s="128"/>
      <c r="E32" s="128"/>
      <c r="F32" s="128"/>
      <c r="G32" s="128"/>
      <c r="H32" s="128"/>
      <c r="I32" s="128"/>
      <c r="J32" s="128"/>
      <c r="K32" s="128"/>
      <c r="L32" s="12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17"/>
      <c r="B33" s="129"/>
      <c r="C33" s="125">
        <f t="shared" si="2"/>
        <v>0</v>
      </c>
      <c r="D33" s="128"/>
      <c r="E33" s="128"/>
      <c r="F33" s="128"/>
      <c r="G33" s="128"/>
      <c r="H33" s="128"/>
      <c r="I33" s="128"/>
      <c r="J33" s="128"/>
      <c r="K33" s="128"/>
      <c r="L33" s="12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17"/>
      <c r="B34" s="129"/>
      <c r="C34" s="125">
        <f t="shared" si="2"/>
        <v>0</v>
      </c>
      <c r="D34" s="128"/>
      <c r="E34" s="128"/>
      <c r="F34" s="128"/>
      <c r="G34" s="128"/>
      <c r="H34" s="128"/>
      <c r="I34" s="128"/>
      <c r="J34" s="128"/>
      <c r="K34" s="128"/>
      <c r="L34" s="12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17"/>
      <c r="B35" s="129"/>
      <c r="C35" s="125">
        <f t="shared" si="2"/>
        <v>0</v>
      </c>
      <c r="D35" s="128"/>
      <c r="E35" s="128"/>
      <c r="F35" s="128"/>
      <c r="G35" s="128"/>
      <c r="H35" s="128"/>
      <c r="I35" s="128"/>
      <c r="J35" s="128"/>
      <c r="K35" s="128"/>
      <c r="L35" s="12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17"/>
      <c r="B36" s="129"/>
      <c r="C36" s="125">
        <f t="shared" si="2"/>
        <v>0</v>
      </c>
      <c r="D36" s="128"/>
      <c r="E36" s="128"/>
      <c r="F36" s="128"/>
      <c r="G36" s="128"/>
      <c r="H36" s="128"/>
      <c r="I36" s="128"/>
      <c r="J36" s="128"/>
      <c r="K36" s="128"/>
      <c r="L36" s="12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17"/>
      <c r="B37" s="129"/>
      <c r="C37" s="125">
        <f t="shared" si="2"/>
        <v>0</v>
      </c>
      <c r="D37" s="128"/>
      <c r="E37" s="128"/>
      <c r="F37" s="128"/>
      <c r="G37" s="128"/>
      <c r="H37" s="128"/>
      <c r="I37" s="128"/>
      <c r="J37" s="128"/>
      <c r="K37" s="128"/>
      <c r="L37" s="12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17"/>
      <c r="B38" s="129"/>
      <c r="C38" s="125">
        <f t="shared" si="2"/>
        <v>0</v>
      </c>
      <c r="D38" s="128"/>
      <c r="E38" s="128"/>
      <c r="F38" s="128"/>
      <c r="G38" s="128"/>
      <c r="H38" s="128"/>
      <c r="I38" s="128"/>
      <c r="J38" s="128"/>
      <c r="K38" s="128"/>
      <c r="L38" s="12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17"/>
      <c r="B39" s="129"/>
      <c r="C39" s="125">
        <f t="shared" si="2"/>
        <v>0</v>
      </c>
      <c r="D39" s="128"/>
      <c r="E39" s="128"/>
      <c r="F39" s="128"/>
      <c r="G39" s="128"/>
      <c r="H39" s="128"/>
      <c r="I39" s="128"/>
      <c r="J39" s="128"/>
      <c r="K39" s="128"/>
      <c r="L39" s="12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17"/>
      <c r="B40" s="129"/>
      <c r="C40" s="125">
        <f t="shared" si="2"/>
        <v>0</v>
      </c>
      <c r="D40" s="128"/>
      <c r="E40" s="128"/>
      <c r="F40" s="128"/>
      <c r="G40" s="128"/>
      <c r="H40" s="128"/>
      <c r="I40" s="128"/>
      <c r="J40" s="128"/>
      <c r="K40" s="128"/>
      <c r="L40" s="12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17"/>
      <c r="B41" s="129"/>
      <c r="C41" s="125">
        <f t="shared" si="2"/>
        <v>0</v>
      </c>
      <c r="D41" s="128"/>
      <c r="E41" s="128"/>
      <c r="F41" s="128"/>
      <c r="G41" s="128"/>
      <c r="H41" s="128"/>
      <c r="I41" s="128"/>
      <c r="J41" s="128"/>
      <c r="K41" s="128"/>
      <c r="L41" s="12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17"/>
      <c r="B42" s="129"/>
      <c r="C42" s="125">
        <f t="shared" si="2"/>
        <v>0</v>
      </c>
      <c r="D42" s="128"/>
      <c r="E42" s="128"/>
      <c r="F42" s="128"/>
      <c r="G42" s="128"/>
      <c r="H42" s="128"/>
      <c r="I42" s="128"/>
      <c r="J42" s="128"/>
      <c r="K42" s="128"/>
      <c r="L42" s="12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17"/>
      <c r="B43" s="129"/>
      <c r="C43" s="125">
        <f t="shared" si="2"/>
        <v>0</v>
      </c>
      <c r="D43" s="128"/>
      <c r="E43" s="128"/>
      <c r="F43" s="128"/>
      <c r="G43" s="128"/>
      <c r="H43" s="128"/>
      <c r="I43" s="128"/>
      <c r="J43" s="128"/>
      <c r="K43" s="128"/>
      <c r="L43" s="12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17"/>
      <c r="B44" s="129"/>
      <c r="C44" s="125">
        <f t="shared" si="2"/>
        <v>0</v>
      </c>
      <c r="D44" s="128"/>
      <c r="E44" s="128"/>
      <c r="F44" s="128"/>
      <c r="G44" s="128"/>
      <c r="H44" s="128"/>
      <c r="I44" s="128"/>
      <c r="J44" s="128"/>
      <c r="K44" s="128"/>
      <c r="L44" s="12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17"/>
      <c r="B45" s="129"/>
      <c r="C45" s="125">
        <f t="shared" si="2"/>
        <v>0</v>
      </c>
      <c r="D45" s="128"/>
      <c r="E45" s="128"/>
      <c r="F45" s="128"/>
      <c r="G45" s="128"/>
      <c r="H45" s="128"/>
      <c r="I45" s="128"/>
      <c r="J45" s="128"/>
      <c r="K45" s="128"/>
      <c r="L45" s="12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17"/>
      <c r="B46" s="129"/>
      <c r="C46" s="125">
        <f t="shared" si="2"/>
        <v>0</v>
      </c>
      <c r="D46" s="128"/>
      <c r="E46" s="128"/>
      <c r="F46" s="128"/>
      <c r="G46" s="128"/>
      <c r="H46" s="128"/>
      <c r="I46" s="128"/>
      <c r="J46" s="128"/>
      <c r="K46" s="128"/>
      <c r="L46" s="12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17"/>
      <c r="B47" s="129"/>
      <c r="C47" s="125">
        <f t="shared" si="2"/>
        <v>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17"/>
      <c r="B48" s="129"/>
      <c r="C48" s="125">
        <f t="shared" si="2"/>
        <v>0</v>
      </c>
      <c r="D48" s="128"/>
      <c r="E48" s="128"/>
      <c r="F48" s="128"/>
      <c r="G48" s="128"/>
      <c r="H48" s="128"/>
      <c r="I48" s="128"/>
      <c r="J48" s="128"/>
      <c r="K48" s="128"/>
      <c r="L48" s="12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17"/>
      <c r="B49" s="129"/>
      <c r="C49" s="125">
        <f t="shared" si="2"/>
        <v>0</v>
      </c>
      <c r="D49" s="128"/>
      <c r="E49" s="128"/>
      <c r="F49" s="128"/>
      <c r="G49" s="128"/>
      <c r="H49" s="128"/>
      <c r="I49" s="128"/>
      <c r="J49" s="128"/>
      <c r="K49" s="128"/>
      <c r="L49" s="12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17"/>
      <c r="B50" s="129"/>
      <c r="C50" s="125">
        <f t="shared" si="2"/>
        <v>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17"/>
      <c r="B51" s="129"/>
      <c r="C51" s="125">
        <f t="shared" si="2"/>
        <v>0</v>
      </c>
      <c r="D51" s="128"/>
      <c r="E51" s="128"/>
      <c r="F51" s="128"/>
      <c r="G51" s="128"/>
      <c r="H51" s="128"/>
      <c r="I51" s="128"/>
      <c r="J51" s="128"/>
      <c r="K51" s="128"/>
      <c r="L51" s="12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17"/>
      <c r="B52" s="129"/>
      <c r="C52" s="125">
        <f t="shared" si="2"/>
        <v>0</v>
      </c>
      <c r="D52" s="128"/>
      <c r="E52" s="128"/>
      <c r="F52" s="128"/>
      <c r="G52" s="128"/>
      <c r="H52" s="128"/>
      <c r="I52" s="128"/>
      <c r="J52" s="128"/>
      <c r="K52" s="128"/>
      <c r="L52" s="12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17"/>
      <c r="B53" s="129"/>
      <c r="C53" s="125">
        <f t="shared" si="2"/>
        <v>0</v>
      </c>
      <c r="D53" s="128"/>
      <c r="E53" s="128"/>
      <c r="F53" s="128"/>
      <c r="G53" s="128"/>
      <c r="H53" s="128"/>
      <c r="I53" s="128"/>
      <c r="J53" s="128"/>
      <c r="K53" s="128"/>
      <c r="L53" s="12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17"/>
      <c r="B54" s="129"/>
      <c r="C54" s="125">
        <f t="shared" si="2"/>
        <v>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17"/>
      <c r="B55" s="129"/>
      <c r="C55" s="125">
        <f t="shared" si="2"/>
        <v>0</v>
      </c>
      <c r="D55" s="128"/>
      <c r="E55" s="128"/>
      <c r="F55" s="128"/>
      <c r="G55" s="128"/>
      <c r="H55" s="128"/>
      <c r="I55" s="128"/>
      <c r="J55" s="128"/>
      <c r="K55" s="128"/>
      <c r="L55" s="12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17"/>
      <c r="B56" s="129"/>
      <c r="C56" s="125">
        <f t="shared" si="2"/>
        <v>0</v>
      </c>
      <c r="D56" s="128"/>
      <c r="E56" s="128"/>
      <c r="F56" s="128"/>
      <c r="G56" s="128"/>
      <c r="H56" s="128"/>
      <c r="I56" s="128"/>
      <c r="J56" s="128"/>
      <c r="K56" s="128"/>
      <c r="L56" s="12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17"/>
      <c r="B57" s="129"/>
      <c r="C57" s="125">
        <f t="shared" si="2"/>
        <v>0</v>
      </c>
      <c r="D57" s="128"/>
      <c r="E57" s="128"/>
      <c r="F57" s="128"/>
      <c r="G57" s="128"/>
      <c r="H57" s="128"/>
      <c r="I57" s="128"/>
      <c r="J57" s="128"/>
      <c r="K57" s="128"/>
      <c r="L57" s="12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17"/>
      <c r="B58" s="129"/>
      <c r="C58" s="125">
        <f t="shared" si="2"/>
        <v>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17"/>
      <c r="B59" s="129"/>
      <c r="C59" s="125">
        <f t="shared" si="2"/>
        <v>0</v>
      </c>
      <c r="D59" s="128"/>
      <c r="E59" s="128"/>
      <c r="F59" s="128"/>
      <c r="G59" s="128"/>
      <c r="H59" s="128"/>
      <c r="I59" s="128"/>
      <c r="J59" s="128"/>
      <c r="K59" s="128"/>
      <c r="L59" s="12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17"/>
      <c r="B60" s="129"/>
      <c r="C60" s="125">
        <f t="shared" si="2"/>
        <v>0</v>
      </c>
      <c r="D60" s="128"/>
      <c r="E60" s="128"/>
      <c r="F60" s="128"/>
      <c r="G60" s="128"/>
      <c r="H60" s="128"/>
      <c r="I60" s="128"/>
      <c r="J60" s="128"/>
      <c r="K60" s="128"/>
      <c r="L60" s="12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17"/>
      <c r="B61" s="129"/>
      <c r="C61" s="125">
        <f t="shared" si="2"/>
        <v>0</v>
      </c>
      <c r="D61" s="128"/>
      <c r="E61" s="128"/>
      <c r="F61" s="128"/>
      <c r="G61" s="128"/>
      <c r="H61" s="128"/>
      <c r="I61" s="128"/>
      <c r="J61" s="128"/>
      <c r="K61" s="128"/>
      <c r="L61" s="12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17"/>
      <c r="B62" s="129"/>
      <c r="C62" s="125">
        <f t="shared" si="2"/>
        <v>0</v>
      </c>
      <c r="D62" s="128"/>
      <c r="E62" s="128"/>
      <c r="F62" s="128"/>
      <c r="G62" s="128"/>
      <c r="H62" s="128"/>
      <c r="I62" s="128"/>
      <c r="J62" s="128"/>
      <c r="K62" s="128"/>
      <c r="L62" s="12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17"/>
      <c r="B63" s="129"/>
      <c r="C63" s="125">
        <f t="shared" si="2"/>
        <v>0</v>
      </c>
      <c r="D63" s="128"/>
      <c r="E63" s="128"/>
      <c r="F63" s="128"/>
      <c r="G63" s="128"/>
      <c r="H63" s="128"/>
      <c r="I63" s="128"/>
      <c r="J63" s="128"/>
      <c r="K63" s="128"/>
      <c r="L63" s="12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17"/>
      <c r="B64" s="129"/>
      <c r="C64" s="125">
        <f t="shared" si="2"/>
        <v>0</v>
      </c>
      <c r="D64" s="128"/>
      <c r="E64" s="128"/>
      <c r="F64" s="128"/>
      <c r="G64" s="128"/>
      <c r="H64" s="128"/>
      <c r="I64" s="128"/>
      <c r="J64" s="128"/>
      <c r="K64" s="128"/>
      <c r="L64" s="12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17"/>
      <c r="B65" s="129"/>
      <c r="C65" s="125">
        <f t="shared" si="2"/>
        <v>0</v>
      </c>
      <c r="D65" s="128"/>
      <c r="E65" s="128"/>
      <c r="F65" s="128"/>
      <c r="G65" s="128"/>
      <c r="H65" s="128"/>
      <c r="I65" s="128"/>
      <c r="J65" s="128"/>
      <c r="K65" s="128"/>
      <c r="L65" s="12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17"/>
      <c r="B66" s="129"/>
      <c r="C66" s="125">
        <f t="shared" si="2"/>
        <v>0</v>
      </c>
      <c r="D66" s="128"/>
      <c r="E66" s="128"/>
      <c r="F66" s="128"/>
      <c r="G66" s="128"/>
      <c r="H66" s="128"/>
      <c r="I66" s="128"/>
      <c r="J66" s="128"/>
      <c r="K66" s="128"/>
      <c r="L66" s="12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17"/>
      <c r="B67" s="129"/>
      <c r="C67" s="125">
        <f t="shared" si="2"/>
        <v>0</v>
      </c>
      <c r="D67" s="128"/>
      <c r="E67" s="128"/>
      <c r="F67" s="128"/>
      <c r="G67" s="128"/>
      <c r="H67" s="128"/>
      <c r="I67" s="128"/>
      <c r="J67" s="128"/>
      <c r="K67" s="128"/>
      <c r="L67" s="12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17"/>
      <c r="B68" s="129"/>
      <c r="C68" s="125">
        <f t="shared" si="2"/>
        <v>0</v>
      </c>
      <c r="D68" s="128"/>
      <c r="E68" s="128"/>
      <c r="F68" s="128"/>
      <c r="G68" s="128"/>
      <c r="H68" s="128"/>
      <c r="I68" s="128"/>
      <c r="J68" s="128"/>
      <c r="K68" s="128"/>
      <c r="L68" s="12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17"/>
      <c r="B69" s="130"/>
      <c r="C69" s="125">
        <f t="shared" si="2"/>
        <v>0</v>
      </c>
      <c r="D69" s="128"/>
      <c r="E69" s="128"/>
      <c r="F69" s="128"/>
      <c r="G69" s="128"/>
      <c r="H69" s="128"/>
      <c r="I69" s="128"/>
      <c r="J69" s="128"/>
      <c r="K69" s="128"/>
      <c r="L69" s="128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04"/>
      <c r="C70" s="3"/>
      <c r="D70" s="104"/>
      <c r="E70" s="104"/>
      <c r="F70" s="104"/>
      <c r="G70" s="104"/>
      <c r="H70" s="104"/>
      <c r="I70" s="104"/>
      <c r="J70" s="104"/>
      <c r="K70" s="104"/>
      <c r="L70" s="10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04"/>
      <c r="C71" s="3"/>
      <c r="D71" s="104"/>
      <c r="E71" s="104"/>
      <c r="F71" s="104"/>
      <c r="G71" s="104"/>
      <c r="H71" s="104"/>
      <c r="I71" s="104"/>
      <c r="J71" s="104"/>
      <c r="K71" s="104"/>
      <c r="L71" s="10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04"/>
      <c r="C72" s="3"/>
      <c r="D72" s="104"/>
      <c r="E72" s="104"/>
      <c r="F72" s="104"/>
      <c r="G72" s="104"/>
      <c r="H72" s="104"/>
      <c r="I72" s="104"/>
      <c r="J72" s="104"/>
      <c r="K72" s="104"/>
      <c r="L72" s="10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04"/>
      <c r="C73" s="3"/>
      <c r="D73" s="104"/>
      <c r="E73" s="104"/>
      <c r="F73" s="104"/>
      <c r="G73" s="104"/>
      <c r="H73" s="104"/>
      <c r="I73" s="104"/>
      <c r="J73" s="104"/>
      <c r="K73" s="104"/>
      <c r="L73" s="10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04"/>
      <c r="C74" s="3"/>
      <c r="D74" s="104"/>
      <c r="E74" s="104"/>
      <c r="F74" s="104"/>
      <c r="G74" s="104"/>
      <c r="H74" s="104"/>
      <c r="I74" s="104"/>
      <c r="J74" s="104"/>
      <c r="K74" s="104"/>
      <c r="L74" s="10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04"/>
      <c r="C75" s="3"/>
      <c r="D75" s="104"/>
      <c r="E75" s="104"/>
      <c r="F75" s="104"/>
      <c r="G75" s="104"/>
      <c r="H75" s="104"/>
      <c r="I75" s="104"/>
      <c r="J75" s="104"/>
      <c r="K75" s="104"/>
      <c r="L75" s="10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04"/>
      <c r="C76" s="3"/>
      <c r="D76" s="104"/>
      <c r="E76" s="104"/>
      <c r="F76" s="104"/>
      <c r="G76" s="104"/>
      <c r="H76" s="104"/>
      <c r="I76" s="104"/>
      <c r="J76" s="104"/>
      <c r="K76" s="104"/>
      <c r="L76" s="10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04"/>
      <c r="C77" s="3"/>
      <c r="D77" s="104"/>
      <c r="E77" s="104"/>
      <c r="F77" s="104"/>
      <c r="G77" s="104"/>
      <c r="H77" s="104"/>
      <c r="I77" s="104"/>
      <c r="J77" s="104"/>
      <c r="K77" s="104"/>
      <c r="L77" s="10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04"/>
      <c r="C78" s="3"/>
      <c r="D78" s="104"/>
      <c r="E78" s="104"/>
      <c r="F78" s="104"/>
      <c r="G78" s="104"/>
      <c r="H78" s="104"/>
      <c r="I78" s="104"/>
      <c r="J78" s="104"/>
      <c r="K78" s="104"/>
      <c r="L78" s="10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04"/>
      <c r="C79" s="3"/>
      <c r="D79" s="104"/>
      <c r="E79" s="104"/>
      <c r="F79" s="104"/>
      <c r="G79" s="104"/>
      <c r="H79" s="104"/>
      <c r="I79" s="104"/>
      <c r="J79" s="104"/>
      <c r="K79" s="104"/>
      <c r="L79" s="10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04"/>
      <c r="C80" s="3"/>
      <c r="D80" s="104"/>
      <c r="E80" s="104"/>
      <c r="F80" s="104"/>
      <c r="G80" s="104"/>
      <c r="H80" s="104"/>
      <c r="I80" s="104"/>
      <c r="J80" s="104"/>
      <c r="K80" s="104"/>
      <c r="L80" s="10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04"/>
      <c r="C81" s="3"/>
      <c r="D81" s="104"/>
      <c r="E81" s="104"/>
      <c r="F81" s="104"/>
      <c r="G81" s="104"/>
      <c r="H81" s="104"/>
      <c r="I81" s="104"/>
      <c r="J81" s="104"/>
      <c r="K81" s="104"/>
      <c r="L81" s="10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04"/>
      <c r="C82" s="3"/>
      <c r="D82" s="104"/>
      <c r="E82" s="104"/>
      <c r="F82" s="104"/>
      <c r="G82" s="104"/>
      <c r="H82" s="104"/>
      <c r="I82" s="104"/>
      <c r="J82" s="104"/>
      <c r="K82" s="104"/>
      <c r="L82" s="10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04"/>
      <c r="C83" s="3"/>
      <c r="D83" s="104"/>
      <c r="E83" s="104"/>
      <c r="F83" s="104"/>
      <c r="G83" s="104"/>
      <c r="H83" s="104"/>
      <c r="I83" s="104"/>
      <c r="J83" s="104"/>
      <c r="K83" s="104"/>
      <c r="L83" s="10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04"/>
      <c r="C84" s="3"/>
      <c r="D84" s="104"/>
      <c r="E84" s="104"/>
      <c r="F84" s="104"/>
      <c r="G84" s="104"/>
      <c r="H84" s="104"/>
      <c r="I84" s="104"/>
      <c r="J84" s="104"/>
      <c r="K84" s="104"/>
      <c r="L84" s="10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04"/>
      <c r="C85" s="3"/>
      <c r="D85" s="104"/>
      <c r="E85" s="104"/>
      <c r="F85" s="104"/>
      <c r="G85" s="104"/>
      <c r="H85" s="104"/>
      <c r="I85" s="104"/>
      <c r="J85" s="104"/>
      <c r="K85" s="104"/>
      <c r="L85" s="10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04"/>
      <c r="C86" s="3"/>
      <c r="D86" s="104"/>
      <c r="E86" s="104"/>
      <c r="F86" s="104"/>
      <c r="G86" s="104"/>
      <c r="H86" s="104"/>
      <c r="I86" s="104"/>
      <c r="J86" s="104"/>
      <c r="K86" s="104"/>
      <c r="L86" s="10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04"/>
      <c r="C87" s="3"/>
      <c r="D87" s="104"/>
      <c r="E87" s="104"/>
      <c r="F87" s="104"/>
      <c r="G87" s="104"/>
      <c r="H87" s="104"/>
      <c r="I87" s="104"/>
      <c r="J87" s="104"/>
      <c r="K87" s="104"/>
      <c r="L87" s="10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04"/>
      <c r="C88" s="3"/>
      <c r="D88" s="104"/>
      <c r="E88" s="104"/>
      <c r="F88" s="104"/>
      <c r="G88" s="104"/>
      <c r="H88" s="104"/>
      <c r="I88" s="104"/>
      <c r="J88" s="104"/>
      <c r="K88" s="104"/>
      <c r="L88" s="10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04"/>
      <c r="C89" s="3"/>
      <c r="D89" s="104"/>
      <c r="E89" s="104"/>
      <c r="F89" s="104"/>
      <c r="G89" s="104"/>
      <c r="H89" s="104"/>
      <c r="I89" s="104"/>
      <c r="J89" s="104"/>
      <c r="K89" s="104"/>
      <c r="L89" s="10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04"/>
      <c r="C90" s="3"/>
      <c r="D90" s="104"/>
      <c r="E90" s="104"/>
      <c r="F90" s="104"/>
      <c r="G90" s="104"/>
      <c r="H90" s="104"/>
      <c r="I90" s="104"/>
      <c r="J90" s="104"/>
      <c r="K90" s="104"/>
      <c r="L90" s="10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04"/>
      <c r="C91" s="3"/>
      <c r="D91" s="104"/>
      <c r="E91" s="104"/>
      <c r="F91" s="104"/>
      <c r="G91" s="104"/>
      <c r="H91" s="104"/>
      <c r="I91" s="104"/>
      <c r="J91" s="104"/>
      <c r="K91" s="104"/>
      <c r="L91" s="10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04"/>
      <c r="C92" s="3"/>
      <c r="D92" s="104"/>
      <c r="E92" s="104"/>
      <c r="F92" s="104"/>
      <c r="G92" s="104"/>
      <c r="H92" s="104"/>
      <c r="I92" s="104"/>
      <c r="J92" s="104"/>
      <c r="K92" s="104"/>
      <c r="L92" s="10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04"/>
      <c r="C93" s="3"/>
      <c r="D93" s="104"/>
      <c r="E93" s="104"/>
      <c r="F93" s="104"/>
      <c r="G93" s="104"/>
      <c r="H93" s="104"/>
      <c r="I93" s="104"/>
      <c r="J93" s="104"/>
      <c r="K93" s="104"/>
      <c r="L93" s="10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04"/>
      <c r="C94" s="3"/>
      <c r="D94" s="104"/>
      <c r="E94" s="104"/>
      <c r="F94" s="104"/>
      <c r="G94" s="104"/>
      <c r="H94" s="104"/>
      <c r="I94" s="104"/>
      <c r="J94" s="104"/>
      <c r="K94" s="104"/>
      <c r="L94" s="10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04"/>
      <c r="C95" s="3"/>
      <c r="D95" s="104"/>
      <c r="E95" s="104"/>
      <c r="F95" s="104"/>
      <c r="G95" s="104"/>
      <c r="H95" s="104"/>
      <c r="I95" s="104"/>
      <c r="J95" s="104"/>
      <c r="K95" s="104"/>
      <c r="L95" s="10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04"/>
      <c r="C96" s="3"/>
      <c r="D96" s="104"/>
      <c r="E96" s="104"/>
      <c r="F96" s="104"/>
      <c r="G96" s="104"/>
      <c r="H96" s="104"/>
      <c r="I96" s="104"/>
      <c r="J96" s="104"/>
      <c r="K96" s="104"/>
      <c r="L96" s="10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04"/>
      <c r="C97" s="3"/>
      <c r="D97" s="104"/>
      <c r="E97" s="104"/>
      <c r="F97" s="104"/>
      <c r="G97" s="104"/>
      <c r="H97" s="104"/>
      <c r="I97" s="104"/>
      <c r="J97" s="104"/>
      <c r="K97" s="104"/>
      <c r="L97" s="10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04"/>
      <c r="C98" s="3"/>
      <c r="D98" s="104"/>
      <c r="E98" s="104"/>
      <c r="F98" s="104"/>
      <c r="G98" s="104"/>
      <c r="H98" s="104"/>
      <c r="I98" s="104"/>
      <c r="J98" s="104"/>
      <c r="K98" s="104"/>
      <c r="L98" s="10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04"/>
      <c r="C99" s="3"/>
      <c r="D99" s="104"/>
      <c r="E99" s="104"/>
      <c r="F99" s="104"/>
      <c r="G99" s="104"/>
      <c r="H99" s="104"/>
      <c r="I99" s="104"/>
      <c r="J99" s="104"/>
      <c r="K99" s="104"/>
      <c r="L99" s="10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04"/>
      <c r="C100" s="3"/>
      <c r="D100" s="104"/>
      <c r="E100" s="104"/>
      <c r="F100" s="104"/>
      <c r="G100" s="104"/>
      <c r="H100" s="104"/>
      <c r="I100" s="104"/>
      <c r="J100" s="104"/>
      <c r="K100" s="104"/>
      <c r="L100" s="10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04"/>
      <c r="C101" s="3"/>
      <c r="D101" s="104"/>
      <c r="E101" s="104"/>
      <c r="F101" s="104"/>
      <c r="G101" s="104"/>
      <c r="H101" s="104"/>
      <c r="I101" s="104"/>
      <c r="J101" s="104"/>
      <c r="K101" s="104"/>
      <c r="L101" s="10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04"/>
      <c r="C102" s="3"/>
      <c r="D102" s="104"/>
      <c r="E102" s="104"/>
      <c r="F102" s="104"/>
      <c r="G102" s="104"/>
      <c r="H102" s="104"/>
      <c r="I102" s="104"/>
      <c r="J102" s="104"/>
      <c r="K102" s="104"/>
      <c r="L102" s="10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04"/>
      <c r="C103" s="3"/>
      <c r="D103" s="104"/>
      <c r="E103" s="104"/>
      <c r="F103" s="104"/>
      <c r="G103" s="104"/>
      <c r="H103" s="104"/>
      <c r="I103" s="104"/>
      <c r="J103" s="104"/>
      <c r="K103" s="104"/>
      <c r="L103" s="10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04"/>
      <c r="C104" s="3"/>
      <c r="D104" s="104"/>
      <c r="E104" s="104"/>
      <c r="F104" s="104"/>
      <c r="G104" s="104"/>
      <c r="H104" s="104"/>
      <c r="I104" s="104"/>
      <c r="J104" s="104"/>
      <c r="K104" s="104"/>
      <c r="L104" s="10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04"/>
      <c r="C105" s="3"/>
      <c r="D105" s="104"/>
      <c r="E105" s="104"/>
      <c r="F105" s="104"/>
      <c r="G105" s="104"/>
      <c r="H105" s="104"/>
      <c r="I105" s="104"/>
      <c r="J105" s="104"/>
      <c r="K105" s="104"/>
      <c r="L105" s="10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04"/>
      <c r="C106" s="3"/>
      <c r="D106" s="104"/>
      <c r="E106" s="104"/>
      <c r="F106" s="104"/>
      <c r="G106" s="104"/>
      <c r="H106" s="104"/>
      <c r="I106" s="104"/>
      <c r="J106" s="104"/>
      <c r="K106" s="104"/>
      <c r="L106" s="10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04"/>
      <c r="C107" s="3"/>
      <c r="D107" s="104"/>
      <c r="E107" s="104"/>
      <c r="F107" s="104"/>
      <c r="G107" s="104"/>
      <c r="H107" s="104"/>
      <c r="I107" s="104"/>
      <c r="J107" s="104"/>
      <c r="K107" s="104"/>
      <c r="L107" s="10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04"/>
      <c r="C108" s="3"/>
      <c r="D108" s="104"/>
      <c r="E108" s="104"/>
      <c r="F108" s="104"/>
      <c r="G108" s="104"/>
      <c r="H108" s="104"/>
      <c r="I108" s="104"/>
      <c r="J108" s="104"/>
      <c r="K108" s="104"/>
      <c r="L108" s="10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04"/>
      <c r="C109" s="3"/>
      <c r="D109" s="104"/>
      <c r="E109" s="104"/>
      <c r="F109" s="104"/>
      <c r="G109" s="104"/>
      <c r="H109" s="104"/>
      <c r="I109" s="104"/>
      <c r="J109" s="104"/>
      <c r="K109" s="104"/>
      <c r="L109" s="10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04"/>
      <c r="C110" s="3"/>
      <c r="D110" s="104"/>
      <c r="E110" s="104"/>
      <c r="F110" s="104"/>
      <c r="G110" s="104"/>
      <c r="H110" s="104"/>
      <c r="I110" s="104"/>
      <c r="J110" s="104"/>
      <c r="K110" s="104"/>
      <c r="L110" s="10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04"/>
      <c r="C111" s="3"/>
      <c r="D111" s="104"/>
      <c r="E111" s="104"/>
      <c r="F111" s="104"/>
      <c r="G111" s="104"/>
      <c r="H111" s="104"/>
      <c r="I111" s="104"/>
      <c r="J111" s="104"/>
      <c r="K111" s="104"/>
      <c r="L111" s="10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04"/>
      <c r="C112" s="3"/>
      <c r="D112" s="104"/>
      <c r="E112" s="104"/>
      <c r="F112" s="104"/>
      <c r="G112" s="104"/>
      <c r="H112" s="104"/>
      <c r="I112" s="104"/>
      <c r="J112" s="104"/>
      <c r="K112" s="104"/>
      <c r="L112" s="10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04"/>
      <c r="C113" s="3"/>
      <c r="D113" s="104"/>
      <c r="E113" s="104"/>
      <c r="F113" s="104"/>
      <c r="G113" s="104"/>
      <c r="H113" s="104"/>
      <c r="I113" s="104"/>
      <c r="J113" s="104"/>
      <c r="K113" s="104"/>
      <c r="L113" s="10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04"/>
      <c r="C114" s="3"/>
      <c r="D114" s="104"/>
      <c r="E114" s="104"/>
      <c r="F114" s="104"/>
      <c r="G114" s="104"/>
      <c r="H114" s="104"/>
      <c r="I114" s="104"/>
      <c r="J114" s="104"/>
      <c r="K114" s="104"/>
      <c r="L114" s="10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04"/>
      <c r="C115" s="3"/>
      <c r="D115" s="104"/>
      <c r="E115" s="104"/>
      <c r="F115" s="104"/>
      <c r="G115" s="104"/>
      <c r="H115" s="104"/>
      <c r="I115" s="104"/>
      <c r="J115" s="104"/>
      <c r="K115" s="104"/>
      <c r="L115" s="10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04"/>
      <c r="C116" s="3"/>
      <c r="D116" s="104"/>
      <c r="E116" s="104"/>
      <c r="F116" s="104"/>
      <c r="G116" s="104"/>
      <c r="H116" s="104"/>
      <c r="I116" s="104"/>
      <c r="J116" s="104"/>
      <c r="K116" s="104"/>
      <c r="L116" s="10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04"/>
      <c r="C117" s="3"/>
      <c r="D117" s="104"/>
      <c r="E117" s="104"/>
      <c r="F117" s="104"/>
      <c r="G117" s="104"/>
      <c r="H117" s="104"/>
      <c r="I117" s="104"/>
      <c r="J117" s="104"/>
      <c r="K117" s="104"/>
      <c r="L117" s="10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04"/>
      <c r="C118" s="3"/>
      <c r="D118" s="104"/>
      <c r="E118" s="104"/>
      <c r="F118" s="104"/>
      <c r="G118" s="104"/>
      <c r="H118" s="104"/>
      <c r="I118" s="104"/>
      <c r="J118" s="104"/>
      <c r="K118" s="104"/>
      <c r="L118" s="10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04"/>
      <c r="C119" s="3"/>
      <c r="D119" s="104"/>
      <c r="E119" s="104"/>
      <c r="F119" s="104"/>
      <c r="G119" s="104"/>
      <c r="H119" s="104"/>
      <c r="I119" s="104"/>
      <c r="J119" s="104"/>
      <c r="K119" s="104"/>
      <c r="L119" s="10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04"/>
      <c r="C120" s="3"/>
      <c r="D120" s="104"/>
      <c r="E120" s="104"/>
      <c r="F120" s="104"/>
      <c r="G120" s="104"/>
      <c r="H120" s="104"/>
      <c r="I120" s="104"/>
      <c r="J120" s="104"/>
      <c r="K120" s="104"/>
      <c r="L120" s="10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04"/>
      <c r="C121" s="3"/>
      <c r="D121" s="104"/>
      <c r="E121" s="104"/>
      <c r="F121" s="104"/>
      <c r="G121" s="104"/>
      <c r="H121" s="104"/>
      <c r="I121" s="104"/>
      <c r="J121" s="104"/>
      <c r="K121" s="104"/>
      <c r="L121" s="10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04"/>
      <c r="C122" s="3"/>
      <c r="D122" s="104"/>
      <c r="E122" s="104"/>
      <c r="F122" s="104"/>
      <c r="G122" s="104"/>
      <c r="H122" s="104"/>
      <c r="I122" s="104"/>
      <c r="J122" s="104"/>
      <c r="K122" s="104"/>
      <c r="L122" s="10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04"/>
      <c r="C123" s="3"/>
      <c r="D123" s="104"/>
      <c r="E123" s="104"/>
      <c r="F123" s="104"/>
      <c r="G123" s="104"/>
      <c r="H123" s="104"/>
      <c r="I123" s="104"/>
      <c r="J123" s="104"/>
      <c r="K123" s="104"/>
      <c r="L123" s="10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04"/>
      <c r="C124" s="3"/>
      <c r="D124" s="104"/>
      <c r="E124" s="104"/>
      <c r="F124" s="104"/>
      <c r="G124" s="104"/>
      <c r="H124" s="104"/>
      <c r="I124" s="104"/>
      <c r="J124" s="104"/>
      <c r="K124" s="104"/>
      <c r="L124" s="10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04"/>
      <c r="C125" s="3"/>
      <c r="D125" s="104"/>
      <c r="E125" s="104"/>
      <c r="F125" s="104"/>
      <c r="G125" s="104"/>
      <c r="H125" s="104"/>
      <c r="I125" s="104"/>
      <c r="J125" s="104"/>
      <c r="K125" s="104"/>
      <c r="L125" s="10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04"/>
      <c r="C126" s="3"/>
      <c r="D126" s="104"/>
      <c r="E126" s="104"/>
      <c r="F126" s="104"/>
      <c r="G126" s="104"/>
      <c r="H126" s="104"/>
      <c r="I126" s="104"/>
      <c r="J126" s="104"/>
      <c r="K126" s="104"/>
      <c r="L126" s="10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04"/>
      <c r="C127" s="3"/>
      <c r="D127" s="104"/>
      <c r="E127" s="104"/>
      <c r="F127" s="104"/>
      <c r="G127" s="104"/>
      <c r="H127" s="104"/>
      <c r="I127" s="104"/>
      <c r="J127" s="104"/>
      <c r="K127" s="104"/>
      <c r="L127" s="10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04"/>
      <c r="C128" s="3"/>
      <c r="D128" s="104"/>
      <c r="E128" s="104"/>
      <c r="F128" s="104"/>
      <c r="G128" s="104"/>
      <c r="H128" s="104"/>
      <c r="I128" s="104"/>
      <c r="J128" s="104"/>
      <c r="K128" s="104"/>
      <c r="L128" s="10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04"/>
      <c r="C129" s="3"/>
      <c r="D129" s="104"/>
      <c r="E129" s="104"/>
      <c r="F129" s="104"/>
      <c r="G129" s="104"/>
      <c r="H129" s="104"/>
      <c r="I129" s="104"/>
      <c r="J129" s="104"/>
      <c r="K129" s="104"/>
      <c r="L129" s="10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04"/>
      <c r="C130" s="3"/>
      <c r="D130" s="104"/>
      <c r="E130" s="104"/>
      <c r="F130" s="104"/>
      <c r="G130" s="104"/>
      <c r="H130" s="104"/>
      <c r="I130" s="104"/>
      <c r="J130" s="104"/>
      <c r="K130" s="104"/>
      <c r="L130" s="10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04"/>
      <c r="C131" s="3"/>
      <c r="D131" s="104"/>
      <c r="E131" s="104"/>
      <c r="F131" s="104"/>
      <c r="G131" s="104"/>
      <c r="H131" s="104"/>
      <c r="I131" s="104"/>
      <c r="J131" s="104"/>
      <c r="K131" s="104"/>
      <c r="L131" s="10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04"/>
      <c r="C132" s="3"/>
      <c r="D132" s="104"/>
      <c r="E132" s="104"/>
      <c r="F132" s="104"/>
      <c r="G132" s="104"/>
      <c r="H132" s="104"/>
      <c r="I132" s="104"/>
      <c r="J132" s="104"/>
      <c r="K132" s="104"/>
      <c r="L132" s="10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04"/>
      <c r="C133" s="3"/>
      <c r="D133" s="104"/>
      <c r="E133" s="104"/>
      <c r="F133" s="104"/>
      <c r="G133" s="104"/>
      <c r="H133" s="104"/>
      <c r="I133" s="104"/>
      <c r="J133" s="104"/>
      <c r="K133" s="104"/>
      <c r="L133" s="10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04"/>
      <c r="C134" s="3"/>
      <c r="D134" s="104"/>
      <c r="E134" s="104"/>
      <c r="F134" s="104"/>
      <c r="G134" s="104"/>
      <c r="H134" s="104"/>
      <c r="I134" s="104"/>
      <c r="J134" s="104"/>
      <c r="K134" s="104"/>
      <c r="L134" s="10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04"/>
      <c r="C135" s="3"/>
      <c r="D135" s="104"/>
      <c r="E135" s="104"/>
      <c r="F135" s="104"/>
      <c r="G135" s="104"/>
      <c r="H135" s="104"/>
      <c r="I135" s="104"/>
      <c r="J135" s="104"/>
      <c r="K135" s="104"/>
      <c r="L135" s="10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04"/>
      <c r="C136" s="3"/>
      <c r="D136" s="104"/>
      <c r="E136" s="104"/>
      <c r="F136" s="104"/>
      <c r="G136" s="104"/>
      <c r="H136" s="104"/>
      <c r="I136" s="104"/>
      <c r="J136" s="104"/>
      <c r="K136" s="104"/>
      <c r="L136" s="10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04"/>
      <c r="C137" s="3"/>
      <c r="D137" s="104"/>
      <c r="E137" s="104"/>
      <c r="F137" s="104"/>
      <c r="G137" s="104"/>
      <c r="H137" s="104"/>
      <c r="I137" s="104"/>
      <c r="J137" s="104"/>
      <c r="K137" s="104"/>
      <c r="L137" s="10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04"/>
      <c r="C138" s="3"/>
      <c r="D138" s="104"/>
      <c r="E138" s="104"/>
      <c r="F138" s="104"/>
      <c r="G138" s="104"/>
      <c r="H138" s="104"/>
      <c r="I138" s="104"/>
      <c r="J138" s="104"/>
      <c r="K138" s="104"/>
      <c r="L138" s="10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04"/>
      <c r="C139" s="3"/>
      <c r="D139" s="104"/>
      <c r="E139" s="104"/>
      <c r="F139" s="104"/>
      <c r="G139" s="104"/>
      <c r="H139" s="104"/>
      <c r="I139" s="104"/>
      <c r="J139" s="104"/>
      <c r="K139" s="104"/>
      <c r="L139" s="10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04"/>
      <c r="C140" s="3"/>
      <c r="D140" s="104"/>
      <c r="E140" s="104"/>
      <c r="F140" s="104"/>
      <c r="G140" s="104"/>
      <c r="H140" s="104"/>
      <c r="I140" s="104"/>
      <c r="J140" s="104"/>
      <c r="K140" s="104"/>
      <c r="L140" s="10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04"/>
      <c r="C141" s="3"/>
      <c r="D141" s="104"/>
      <c r="E141" s="104"/>
      <c r="F141" s="104"/>
      <c r="G141" s="104"/>
      <c r="H141" s="104"/>
      <c r="I141" s="104"/>
      <c r="J141" s="104"/>
      <c r="K141" s="104"/>
      <c r="L141" s="10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04"/>
      <c r="C142" s="3"/>
      <c r="D142" s="104"/>
      <c r="E142" s="104"/>
      <c r="F142" s="104"/>
      <c r="G142" s="104"/>
      <c r="H142" s="104"/>
      <c r="I142" s="104"/>
      <c r="J142" s="104"/>
      <c r="K142" s="104"/>
      <c r="L142" s="10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04"/>
      <c r="C143" s="3"/>
      <c r="D143" s="104"/>
      <c r="E143" s="104"/>
      <c r="F143" s="104"/>
      <c r="G143" s="104"/>
      <c r="H143" s="104"/>
      <c r="I143" s="104"/>
      <c r="J143" s="104"/>
      <c r="K143" s="104"/>
      <c r="L143" s="10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04"/>
      <c r="C144" s="3"/>
      <c r="D144" s="104"/>
      <c r="E144" s="104"/>
      <c r="F144" s="104"/>
      <c r="G144" s="104"/>
      <c r="H144" s="104"/>
      <c r="I144" s="104"/>
      <c r="J144" s="104"/>
      <c r="K144" s="104"/>
      <c r="L144" s="10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04"/>
      <c r="C145" s="3"/>
      <c r="D145" s="104"/>
      <c r="E145" s="104"/>
      <c r="F145" s="104"/>
      <c r="G145" s="104"/>
      <c r="H145" s="104"/>
      <c r="I145" s="104"/>
      <c r="J145" s="104"/>
      <c r="K145" s="104"/>
      <c r="L145" s="10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04"/>
      <c r="C146" s="3"/>
      <c r="D146" s="104"/>
      <c r="E146" s="104"/>
      <c r="F146" s="104"/>
      <c r="G146" s="104"/>
      <c r="H146" s="104"/>
      <c r="I146" s="104"/>
      <c r="J146" s="104"/>
      <c r="K146" s="104"/>
      <c r="L146" s="10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04"/>
      <c r="C147" s="3"/>
      <c r="D147" s="104"/>
      <c r="E147" s="104"/>
      <c r="F147" s="104"/>
      <c r="G147" s="104"/>
      <c r="H147" s="104"/>
      <c r="I147" s="104"/>
      <c r="J147" s="104"/>
      <c r="K147" s="104"/>
      <c r="L147" s="10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04"/>
      <c r="C148" s="3"/>
      <c r="D148" s="104"/>
      <c r="E148" s="104"/>
      <c r="F148" s="104"/>
      <c r="G148" s="104"/>
      <c r="H148" s="104"/>
      <c r="I148" s="104"/>
      <c r="J148" s="104"/>
      <c r="K148" s="104"/>
      <c r="L148" s="10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04"/>
      <c r="C149" s="3"/>
      <c r="D149" s="104"/>
      <c r="E149" s="104"/>
      <c r="F149" s="104"/>
      <c r="G149" s="104"/>
      <c r="H149" s="104"/>
      <c r="I149" s="104"/>
      <c r="J149" s="104"/>
      <c r="K149" s="104"/>
      <c r="L149" s="10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04"/>
      <c r="C150" s="3"/>
      <c r="D150" s="104"/>
      <c r="E150" s="104"/>
      <c r="F150" s="104"/>
      <c r="G150" s="104"/>
      <c r="H150" s="104"/>
      <c r="I150" s="104"/>
      <c r="J150" s="104"/>
      <c r="K150" s="104"/>
      <c r="L150" s="10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04"/>
      <c r="C151" s="3"/>
      <c r="D151" s="104"/>
      <c r="E151" s="104"/>
      <c r="F151" s="104"/>
      <c r="G151" s="104"/>
      <c r="H151" s="104"/>
      <c r="I151" s="104"/>
      <c r="J151" s="104"/>
      <c r="K151" s="104"/>
      <c r="L151" s="10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04"/>
      <c r="C152" s="3"/>
      <c r="D152" s="104"/>
      <c r="E152" s="104"/>
      <c r="F152" s="104"/>
      <c r="G152" s="104"/>
      <c r="H152" s="104"/>
      <c r="I152" s="104"/>
      <c r="J152" s="104"/>
      <c r="K152" s="104"/>
      <c r="L152" s="10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04"/>
      <c r="C153" s="3"/>
      <c r="D153" s="104"/>
      <c r="E153" s="104"/>
      <c r="F153" s="104"/>
      <c r="G153" s="104"/>
      <c r="H153" s="104"/>
      <c r="I153" s="104"/>
      <c r="J153" s="104"/>
      <c r="K153" s="104"/>
      <c r="L153" s="10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04"/>
      <c r="C154" s="3"/>
      <c r="D154" s="104"/>
      <c r="E154" s="104"/>
      <c r="F154" s="104"/>
      <c r="G154" s="104"/>
      <c r="H154" s="104"/>
      <c r="I154" s="104"/>
      <c r="J154" s="104"/>
      <c r="K154" s="104"/>
      <c r="L154" s="10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04"/>
      <c r="C155" s="3"/>
      <c r="D155" s="104"/>
      <c r="E155" s="104"/>
      <c r="F155" s="104"/>
      <c r="G155" s="104"/>
      <c r="H155" s="104"/>
      <c r="I155" s="104"/>
      <c r="J155" s="104"/>
      <c r="K155" s="104"/>
      <c r="L155" s="10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04"/>
      <c r="C156" s="3"/>
      <c r="D156" s="104"/>
      <c r="E156" s="104"/>
      <c r="F156" s="104"/>
      <c r="G156" s="104"/>
      <c r="H156" s="104"/>
      <c r="I156" s="104"/>
      <c r="J156" s="104"/>
      <c r="K156" s="104"/>
      <c r="L156" s="10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04"/>
      <c r="C157" s="3"/>
      <c r="D157" s="104"/>
      <c r="E157" s="104"/>
      <c r="F157" s="104"/>
      <c r="G157" s="104"/>
      <c r="H157" s="104"/>
      <c r="I157" s="104"/>
      <c r="J157" s="104"/>
      <c r="K157" s="104"/>
      <c r="L157" s="10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04"/>
      <c r="C158" s="3"/>
      <c r="D158" s="104"/>
      <c r="E158" s="104"/>
      <c r="F158" s="104"/>
      <c r="G158" s="104"/>
      <c r="H158" s="104"/>
      <c r="I158" s="104"/>
      <c r="J158" s="104"/>
      <c r="K158" s="104"/>
      <c r="L158" s="10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04"/>
      <c r="C159" s="3"/>
      <c r="D159" s="104"/>
      <c r="E159" s="104"/>
      <c r="F159" s="104"/>
      <c r="G159" s="104"/>
      <c r="H159" s="104"/>
      <c r="I159" s="104"/>
      <c r="J159" s="104"/>
      <c r="K159" s="104"/>
      <c r="L159" s="10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04"/>
      <c r="C160" s="3"/>
      <c r="D160" s="104"/>
      <c r="E160" s="104"/>
      <c r="F160" s="104"/>
      <c r="G160" s="104"/>
      <c r="H160" s="104"/>
      <c r="I160" s="104"/>
      <c r="J160" s="104"/>
      <c r="K160" s="104"/>
      <c r="L160" s="10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04"/>
      <c r="C161" s="3"/>
      <c r="D161" s="104"/>
      <c r="E161" s="104"/>
      <c r="F161" s="104"/>
      <c r="G161" s="104"/>
      <c r="H161" s="104"/>
      <c r="I161" s="104"/>
      <c r="J161" s="104"/>
      <c r="K161" s="104"/>
      <c r="L161" s="10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04"/>
      <c r="C162" s="3"/>
      <c r="D162" s="104"/>
      <c r="E162" s="104"/>
      <c r="F162" s="104"/>
      <c r="G162" s="104"/>
      <c r="H162" s="104"/>
      <c r="I162" s="104"/>
      <c r="J162" s="104"/>
      <c r="K162" s="104"/>
      <c r="L162" s="10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04"/>
      <c r="C163" s="3"/>
      <c r="D163" s="104"/>
      <c r="E163" s="104"/>
      <c r="F163" s="104"/>
      <c r="G163" s="104"/>
      <c r="H163" s="104"/>
      <c r="I163" s="104"/>
      <c r="J163" s="104"/>
      <c r="K163" s="104"/>
      <c r="L163" s="10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04"/>
      <c r="C164" s="3"/>
      <c r="D164" s="104"/>
      <c r="E164" s="104"/>
      <c r="F164" s="104"/>
      <c r="G164" s="104"/>
      <c r="H164" s="104"/>
      <c r="I164" s="104"/>
      <c r="J164" s="104"/>
      <c r="K164" s="104"/>
      <c r="L164" s="10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04"/>
      <c r="C165" s="3"/>
      <c r="D165" s="104"/>
      <c r="E165" s="104"/>
      <c r="F165" s="104"/>
      <c r="G165" s="104"/>
      <c r="H165" s="104"/>
      <c r="I165" s="104"/>
      <c r="J165" s="104"/>
      <c r="K165" s="104"/>
      <c r="L165" s="10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04"/>
      <c r="C166" s="3"/>
      <c r="D166" s="104"/>
      <c r="E166" s="104"/>
      <c r="F166" s="104"/>
      <c r="G166" s="104"/>
      <c r="H166" s="104"/>
      <c r="I166" s="104"/>
      <c r="J166" s="104"/>
      <c r="K166" s="104"/>
      <c r="L166" s="10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04"/>
      <c r="C167" s="3"/>
      <c r="D167" s="104"/>
      <c r="E167" s="104"/>
      <c r="F167" s="104"/>
      <c r="G167" s="104"/>
      <c r="H167" s="104"/>
      <c r="I167" s="104"/>
      <c r="J167" s="104"/>
      <c r="K167" s="104"/>
      <c r="L167" s="10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04"/>
      <c r="C168" s="3"/>
      <c r="D168" s="104"/>
      <c r="E168" s="104"/>
      <c r="F168" s="104"/>
      <c r="G168" s="104"/>
      <c r="H168" s="104"/>
      <c r="I168" s="104"/>
      <c r="J168" s="104"/>
      <c r="K168" s="104"/>
      <c r="L168" s="10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04"/>
      <c r="C169" s="3"/>
      <c r="D169" s="104"/>
      <c r="E169" s="104"/>
      <c r="F169" s="104"/>
      <c r="G169" s="104"/>
      <c r="H169" s="104"/>
      <c r="I169" s="104"/>
      <c r="J169" s="104"/>
      <c r="K169" s="104"/>
      <c r="L169" s="10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04"/>
      <c r="C170" s="3"/>
      <c r="D170" s="104"/>
      <c r="E170" s="104"/>
      <c r="F170" s="104"/>
      <c r="G170" s="104"/>
      <c r="H170" s="104"/>
      <c r="I170" s="104"/>
      <c r="J170" s="104"/>
      <c r="K170" s="104"/>
      <c r="L170" s="10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04"/>
      <c r="C171" s="3"/>
      <c r="D171" s="104"/>
      <c r="E171" s="104"/>
      <c r="F171" s="104"/>
      <c r="G171" s="104"/>
      <c r="H171" s="104"/>
      <c r="I171" s="104"/>
      <c r="J171" s="104"/>
      <c r="K171" s="104"/>
      <c r="L171" s="10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04"/>
      <c r="C172" s="3"/>
      <c r="D172" s="104"/>
      <c r="E172" s="104"/>
      <c r="F172" s="104"/>
      <c r="G172" s="104"/>
      <c r="H172" s="104"/>
      <c r="I172" s="104"/>
      <c r="J172" s="104"/>
      <c r="K172" s="104"/>
      <c r="L172" s="10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04"/>
      <c r="C173" s="3"/>
      <c r="D173" s="104"/>
      <c r="E173" s="104"/>
      <c r="F173" s="104"/>
      <c r="G173" s="104"/>
      <c r="H173" s="104"/>
      <c r="I173" s="104"/>
      <c r="J173" s="104"/>
      <c r="K173" s="104"/>
      <c r="L173" s="10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04"/>
      <c r="C174" s="3"/>
      <c r="D174" s="104"/>
      <c r="E174" s="104"/>
      <c r="F174" s="104"/>
      <c r="G174" s="104"/>
      <c r="H174" s="104"/>
      <c r="I174" s="104"/>
      <c r="J174" s="104"/>
      <c r="K174" s="104"/>
      <c r="L174" s="10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04"/>
      <c r="C175" s="3"/>
      <c r="D175" s="104"/>
      <c r="E175" s="104"/>
      <c r="F175" s="104"/>
      <c r="G175" s="104"/>
      <c r="H175" s="104"/>
      <c r="I175" s="104"/>
      <c r="J175" s="104"/>
      <c r="K175" s="104"/>
      <c r="L175" s="10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04"/>
      <c r="C176" s="3"/>
      <c r="D176" s="104"/>
      <c r="E176" s="104"/>
      <c r="F176" s="104"/>
      <c r="G176" s="104"/>
      <c r="H176" s="104"/>
      <c r="I176" s="104"/>
      <c r="J176" s="104"/>
      <c r="K176" s="104"/>
      <c r="L176" s="10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04"/>
      <c r="C177" s="3"/>
      <c r="D177" s="104"/>
      <c r="E177" s="104"/>
      <c r="F177" s="104"/>
      <c r="G177" s="104"/>
      <c r="H177" s="104"/>
      <c r="I177" s="104"/>
      <c r="J177" s="104"/>
      <c r="K177" s="104"/>
      <c r="L177" s="10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04"/>
      <c r="C178" s="3"/>
      <c r="D178" s="104"/>
      <c r="E178" s="104"/>
      <c r="F178" s="104"/>
      <c r="G178" s="104"/>
      <c r="H178" s="104"/>
      <c r="I178" s="104"/>
      <c r="J178" s="104"/>
      <c r="K178" s="104"/>
      <c r="L178" s="10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04"/>
      <c r="C179" s="3"/>
      <c r="D179" s="104"/>
      <c r="E179" s="104"/>
      <c r="F179" s="104"/>
      <c r="G179" s="104"/>
      <c r="H179" s="104"/>
      <c r="I179" s="104"/>
      <c r="J179" s="104"/>
      <c r="K179" s="104"/>
      <c r="L179" s="10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04"/>
      <c r="C180" s="3"/>
      <c r="D180" s="104"/>
      <c r="E180" s="104"/>
      <c r="F180" s="104"/>
      <c r="G180" s="104"/>
      <c r="H180" s="104"/>
      <c r="I180" s="104"/>
      <c r="J180" s="104"/>
      <c r="K180" s="104"/>
      <c r="L180" s="10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04"/>
      <c r="C181" s="3"/>
      <c r="D181" s="104"/>
      <c r="E181" s="104"/>
      <c r="F181" s="104"/>
      <c r="G181" s="104"/>
      <c r="H181" s="104"/>
      <c r="I181" s="104"/>
      <c r="J181" s="104"/>
      <c r="K181" s="104"/>
      <c r="L181" s="10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04"/>
      <c r="C182" s="3"/>
      <c r="D182" s="104"/>
      <c r="E182" s="104"/>
      <c r="F182" s="104"/>
      <c r="G182" s="104"/>
      <c r="H182" s="104"/>
      <c r="I182" s="104"/>
      <c r="J182" s="104"/>
      <c r="K182" s="104"/>
      <c r="L182" s="10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04"/>
      <c r="C183" s="3"/>
      <c r="D183" s="104"/>
      <c r="E183" s="104"/>
      <c r="F183" s="104"/>
      <c r="G183" s="104"/>
      <c r="H183" s="104"/>
      <c r="I183" s="104"/>
      <c r="J183" s="104"/>
      <c r="K183" s="104"/>
      <c r="L183" s="10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04"/>
      <c r="C184" s="3"/>
      <c r="D184" s="104"/>
      <c r="E184" s="104"/>
      <c r="F184" s="104"/>
      <c r="G184" s="104"/>
      <c r="H184" s="104"/>
      <c r="I184" s="104"/>
      <c r="J184" s="104"/>
      <c r="K184" s="104"/>
      <c r="L184" s="10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04"/>
      <c r="C185" s="3"/>
      <c r="D185" s="104"/>
      <c r="E185" s="104"/>
      <c r="F185" s="104"/>
      <c r="G185" s="104"/>
      <c r="H185" s="104"/>
      <c r="I185" s="104"/>
      <c r="J185" s="104"/>
      <c r="K185" s="104"/>
      <c r="L185" s="10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04"/>
      <c r="C186" s="3"/>
      <c r="D186" s="104"/>
      <c r="E186" s="104"/>
      <c r="F186" s="104"/>
      <c r="G186" s="104"/>
      <c r="H186" s="104"/>
      <c r="I186" s="104"/>
      <c r="J186" s="104"/>
      <c r="K186" s="104"/>
      <c r="L186" s="10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04"/>
      <c r="C187" s="3"/>
      <c r="D187" s="104"/>
      <c r="E187" s="104"/>
      <c r="F187" s="104"/>
      <c r="G187" s="104"/>
      <c r="H187" s="104"/>
      <c r="I187" s="104"/>
      <c r="J187" s="104"/>
      <c r="K187" s="104"/>
      <c r="L187" s="10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04"/>
      <c r="C188" s="3"/>
      <c r="D188" s="104"/>
      <c r="E188" s="104"/>
      <c r="F188" s="104"/>
      <c r="G188" s="104"/>
      <c r="H188" s="104"/>
      <c r="I188" s="104"/>
      <c r="J188" s="104"/>
      <c r="K188" s="104"/>
      <c r="L188" s="10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04"/>
      <c r="C189" s="3"/>
      <c r="D189" s="104"/>
      <c r="E189" s="104"/>
      <c r="F189" s="104"/>
      <c r="G189" s="104"/>
      <c r="H189" s="104"/>
      <c r="I189" s="104"/>
      <c r="J189" s="104"/>
      <c r="K189" s="104"/>
      <c r="L189" s="10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04"/>
      <c r="C190" s="3"/>
      <c r="D190" s="104"/>
      <c r="E190" s="104"/>
      <c r="F190" s="104"/>
      <c r="G190" s="104"/>
      <c r="H190" s="104"/>
      <c r="I190" s="104"/>
      <c r="J190" s="104"/>
      <c r="K190" s="104"/>
      <c r="L190" s="10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04"/>
      <c r="C191" s="3"/>
      <c r="D191" s="104"/>
      <c r="E191" s="104"/>
      <c r="F191" s="104"/>
      <c r="G191" s="104"/>
      <c r="H191" s="104"/>
      <c r="I191" s="104"/>
      <c r="J191" s="104"/>
      <c r="K191" s="104"/>
      <c r="L191" s="10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04"/>
      <c r="C192" s="3"/>
      <c r="D192" s="104"/>
      <c r="E192" s="104"/>
      <c r="F192" s="104"/>
      <c r="G192" s="104"/>
      <c r="H192" s="104"/>
      <c r="I192" s="104"/>
      <c r="J192" s="104"/>
      <c r="K192" s="104"/>
      <c r="L192" s="10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04"/>
      <c r="C193" s="3"/>
      <c r="D193" s="104"/>
      <c r="E193" s="104"/>
      <c r="F193" s="104"/>
      <c r="G193" s="104"/>
      <c r="H193" s="104"/>
      <c r="I193" s="104"/>
      <c r="J193" s="104"/>
      <c r="K193" s="104"/>
      <c r="L193" s="10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04"/>
      <c r="C194" s="3"/>
      <c r="D194" s="104"/>
      <c r="E194" s="104"/>
      <c r="F194" s="104"/>
      <c r="G194" s="104"/>
      <c r="H194" s="104"/>
      <c r="I194" s="104"/>
      <c r="J194" s="104"/>
      <c r="K194" s="104"/>
      <c r="L194" s="10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04"/>
      <c r="C195" s="3"/>
      <c r="D195" s="104"/>
      <c r="E195" s="104"/>
      <c r="F195" s="104"/>
      <c r="G195" s="104"/>
      <c r="H195" s="104"/>
      <c r="I195" s="104"/>
      <c r="J195" s="104"/>
      <c r="K195" s="104"/>
      <c r="L195" s="10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04"/>
      <c r="C196" s="3"/>
      <c r="D196" s="104"/>
      <c r="E196" s="104"/>
      <c r="F196" s="104"/>
      <c r="G196" s="104"/>
      <c r="H196" s="104"/>
      <c r="I196" s="104"/>
      <c r="J196" s="104"/>
      <c r="K196" s="104"/>
      <c r="L196" s="10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04"/>
      <c r="C197" s="3"/>
      <c r="D197" s="104"/>
      <c r="E197" s="104"/>
      <c r="F197" s="104"/>
      <c r="G197" s="104"/>
      <c r="H197" s="104"/>
      <c r="I197" s="104"/>
      <c r="J197" s="104"/>
      <c r="K197" s="104"/>
      <c r="L197" s="10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04"/>
      <c r="C198" s="3"/>
      <c r="D198" s="104"/>
      <c r="E198" s="104"/>
      <c r="F198" s="104"/>
      <c r="G198" s="104"/>
      <c r="H198" s="104"/>
      <c r="I198" s="104"/>
      <c r="J198" s="104"/>
      <c r="K198" s="104"/>
      <c r="L198" s="10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04"/>
      <c r="C199" s="3"/>
      <c r="D199" s="104"/>
      <c r="E199" s="104"/>
      <c r="F199" s="104"/>
      <c r="G199" s="104"/>
      <c r="H199" s="104"/>
      <c r="I199" s="104"/>
      <c r="J199" s="104"/>
      <c r="K199" s="104"/>
      <c r="L199" s="10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04"/>
      <c r="C200" s="3"/>
      <c r="D200" s="104"/>
      <c r="E200" s="104"/>
      <c r="F200" s="104"/>
      <c r="G200" s="104"/>
      <c r="H200" s="104"/>
      <c r="I200" s="104"/>
      <c r="J200" s="104"/>
      <c r="K200" s="104"/>
      <c r="L200" s="10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04"/>
      <c r="C201" s="3"/>
      <c r="D201" s="104"/>
      <c r="E201" s="104"/>
      <c r="F201" s="104"/>
      <c r="G201" s="104"/>
      <c r="H201" s="104"/>
      <c r="I201" s="104"/>
      <c r="J201" s="104"/>
      <c r="K201" s="104"/>
      <c r="L201" s="10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04"/>
      <c r="C202" s="3"/>
      <c r="D202" s="104"/>
      <c r="E202" s="104"/>
      <c r="F202" s="104"/>
      <c r="G202" s="104"/>
      <c r="H202" s="104"/>
      <c r="I202" s="104"/>
      <c r="J202" s="104"/>
      <c r="K202" s="104"/>
      <c r="L202" s="10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04"/>
      <c r="C203" s="3"/>
      <c r="D203" s="104"/>
      <c r="E203" s="104"/>
      <c r="F203" s="104"/>
      <c r="G203" s="104"/>
      <c r="H203" s="104"/>
      <c r="I203" s="104"/>
      <c r="J203" s="104"/>
      <c r="K203" s="104"/>
      <c r="L203" s="10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04"/>
      <c r="C204" s="3"/>
      <c r="D204" s="104"/>
      <c r="E204" s="104"/>
      <c r="F204" s="104"/>
      <c r="G204" s="104"/>
      <c r="H204" s="104"/>
      <c r="I204" s="104"/>
      <c r="J204" s="104"/>
      <c r="K204" s="104"/>
      <c r="L204" s="10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04"/>
      <c r="C205" s="3"/>
      <c r="D205" s="104"/>
      <c r="E205" s="104"/>
      <c r="F205" s="104"/>
      <c r="G205" s="104"/>
      <c r="H205" s="104"/>
      <c r="I205" s="104"/>
      <c r="J205" s="104"/>
      <c r="K205" s="104"/>
      <c r="L205" s="10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04"/>
      <c r="C206" s="3"/>
      <c r="D206" s="104"/>
      <c r="E206" s="104"/>
      <c r="F206" s="104"/>
      <c r="G206" s="104"/>
      <c r="H206" s="104"/>
      <c r="I206" s="104"/>
      <c r="J206" s="104"/>
      <c r="K206" s="104"/>
      <c r="L206" s="10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04"/>
      <c r="C207" s="3"/>
      <c r="D207" s="104"/>
      <c r="E207" s="104"/>
      <c r="F207" s="104"/>
      <c r="G207" s="104"/>
      <c r="H207" s="104"/>
      <c r="I207" s="104"/>
      <c r="J207" s="104"/>
      <c r="K207" s="104"/>
      <c r="L207" s="10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04"/>
      <c r="C208" s="3"/>
      <c r="D208" s="104"/>
      <c r="E208" s="104"/>
      <c r="F208" s="104"/>
      <c r="G208" s="104"/>
      <c r="H208" s="104"/>
      <c r="I208" s="104"/>
      <c r="J208" s="104"/>
      <c r="K208" s="104"/>
      <c r="L208" s="10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04"/>
      <c r="C209" s="3"/>
      <c r="D209" s="104"/>
      <c r="E209" s="104"/>
      <c r="F209" s="104"/>
      <c r="G209" s="104"/>
      <c r="H209" s="104"/>
      <c r="I209" s="104"/>
      <c r="J209" s="104"/>
      <c r="K209" s="104"/>
      <c r="L209" s="10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04"/>
      <c r="C210" s="3"/>
      <c r="D210" s="104"/>
      <c r="E210" s="104"/>
      <c r="F210" s="104"/>
      <c r="G210" s="104"/>
      <c r="H210" s="104"/>
      <c r="I210" s="104"/>
      <c r="J210" s="104"/>
      <c r="K210" s="104"/>
      <c r="L210" s="10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04"/>
      <c r="C211" s="3"/>
      <c r="D211" s="104"/>
      <c r="E211" s="104"/>
      <c r="F211" s="104"/>
      <c r="G211" s="104"/>
      <c r="H211" s="104"/>
      <c r="I211" s="104"/>
      <c r="J211" s="104"/>
      <c r="K211" s="104"/>
      <c r="L211" s="10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04"/>
      <c r="C212" s="3"/>
      <c r="D212" s="104"/>
      <c r="E212" s="104"/>
      <c r="F212" s="104"/>
      <c r="G212" s="104"/>
      <c r="H212" s="104"/>
      <c r="I212" s="104"/>
      <c r="J212" s="104"/>
      <c r="K212" s="104"/>
      <c r="L212" s="10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04"/>
      <c r="C213" s="3"/>
      <c r="D213" s="104"/>
      <c r="E213" s="104"/>
      <c r="F213" s="104"/>
      <c r="G213" s="104"/>
      <c r="H213" s="104"/>
      <c r="I213" s="104"/>
      <c r="J213" s="104"/>
      <c r="K213" s="104"/>
      <c r="L213" s="10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04"/>
      <c r="C214" s="3"/>
      <c r="D214" s="104"/>
      <c r="E214" s="104"/>
      <c r="F214" s="104"/>
      <c r="G214" s="104"/>
      <c r="H214" s="104"/>
      <c r="I214" s="104"/>
      <c r="J214" s="104"/>
      <c r="K214" s="104"/>
      <c r="L214" s="10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04"/>
      <c r="C215" s="3"/>
      <c r="D215" s="104"/>
      <c r="E215" s="104"/>
      <c r="F215" s="104"/>
      <c r="G215" s="104"/>
      <c r="H215" s="104"/>
      <c r="I215" s="104"/>
      <c r="J215" s="104"/>
      <c r="K215" s="104"/>
      <c r="L215" s="10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04"/>
      <c r="C216" s="3"/>
      <c r="D216" s="104"/>
      <c r="E216" s="104"/>
      <c r="F216" s="104"/>
      <c r="G216" s="104"/>
      <c r="H216" s="104"/>
      <c r="I216" s="104"/>
      <c r="J216" s="104"/>
      <c r="K216" s="104"/>
      <c r="L216" s="10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04"/>
      <c r="C217" s="3"/>
      <c r="D217" s="104"/>
      <c r="E217" s="104"/>
      <c r="F217" s="104"/>
      <c r="G217" s="104"/>
      <c r="H217" s="104"/>
      <c r="I217" s="104"/>
      <c r="J217" s="104"/>
      <c r="K217" s="104"/>
      <c r="L217" s="10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104"/>
      <c r="C218" s="3"/>
      <c r="D218" s="104"/>
      <c r="E218" s="104"/>
      <c r="F218" s="104"/>
      <c r="G218" s="104"/>
      <c r="H218" s="104"/>
      <c r="I218" s="104"/>
      <c r="J218" s="104"/>
      <c r="K218" s="104"/>
      <c r="L218" s="10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104"/>
      <c r="C219" s="3"/>
      <c r="D219" s="104"/>
      <c r="E219" s="104"/>
      <c r="F219" s="104"/>
      <c r="G219" s="104"/>
      <c r="H219" s="104"/>
      <c r="I219" s="104"/>
      <c r="J219" s="104"/>
      <c r="K219" s="104"/>
      <c r="L219" s="10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104"/>
      <c r="C220" s="3"/>
      <c r="D220" s="104"/>
      <c r="E220" s="104"/>
      <c r="F220" s="104"/>
      <c r="G220" s="104"/>
      <c r="H220" s="104"/>
      <c r="I220" s="104"/>
      <c r="J220" s="104"/>
      <c r="K220" s="104"/>
      <c r="L220" s="10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104"/>
      <c r="E221" s="104"/>
      <c r="F221" s="104"/>
      <c r="G221" s="104"/>
      <c r="H221" s="104"/>
      <c r="I221" s="104"/>
      <c r="J221" s="104"/>
      <c r="K221" s="104"/>
      <c r="L221" s="10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D1:L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30.0"/>
    <col customWidth="1" min="3" max="3" width="20.0"/>
    <col customWidth="1" min="4" max="12" width="18.33"/>
    <col customWidth="1" min="13" max="19" width="8.33"/>
    <col customWidth="1" min="20" max="26" width="11.11"/>
  </cols>
  <sheetData>
    <row r="1" ht="18.0" customHeight="1">
      <c r="A1" s="105"/>
      <c r="B1" s="106"/>
      <c r="C1" s="105"/>
      <c r="D1" s="107">
        <v>2026.0</v>
      </c>
      <c r="E1" s="108"/>
      <c r="F1" s="108"/>
      <c r="G1" s="108"/>
      <c r="H1" s="108"/>
      <c r="I1" s="108"/>
      <c r="J1" s="108"/>
      <c r="K1" s="108"/>
      <c r="L1" s="109"/>
      <c r="M1" s="17"/>
      <c r="N1" s="17"/>
      <c r="O1" s="17"/>
      <c r="P1" s="17"/>
      <c r="Q1" s="17"/>
      <c r="R1" s="17"/>
      <c r="S1" s="17"/>
      <c r="T1" s="3"/>
      <c r="U1" s="3"/>
      <c r="V1" s="3"/>
      <c r="W1" s="3"/>
      <c r="X1" s="3"/>
      <c r="Y1" s="3"/>
      <c r="Z1" s="3"/>
    </row>
    <row r="2" ht="15.75" customHeight="1">
      <c r="A2" s="110" t="s">
        <v>72</v>
      </c>
      <c r="B2" s="106"/>
      <c r="C2" s="105"/>
      <c r="D2" s="112" t="s">
        <v>33</v>
      </c>
      <c r="E2" s="112" t="s">
        <v>34</v>
      </c>
      <c r="F2" s="112" t="s">
        <v>35</v>
      </c>
      <c r="G2" s="112" t="s">
        <v>36</v>
      </c>
      <c r="H2" s="112" t="s">
        <v>37</v>
      </c>
      <c r="I2" s="112" t="s">
        <v>38</v>
      </c>
      <c r="J2" s="112" t="s">
        <v>39</v>
      </c>
      <c r="K2" s="112" t="s">
        <v>40</v>
      </c>
      <c r="L2" s="112" t="s">
        <v>41</v>
      </c>
      <c r="M2" s="17"/>
      <c r="N2" s="17"/>
      <c r="O2" s="17"/>
      <c r="P2" s="17"/>
      <c r="Q2" s="17"/>
      <c r="R2" s="17"/>
      <c r="S2" s="17"/>
      <c r="T2" s="3"/>
      <c r="U2" s="3"/>
      <c r="V2" s="3"/>
      <c r="W2" s="3"/>
      <c r="X2" s="3"/>
      <c r="Y2" s="3"/>
      <c r="Z2" s="3"/>
    </row>
    <row r="3" ht="16.5" customHeight="1">
      <c r="A3" s="114"/>
      <c r="B3" s="115" t="s">
        <v>52</v>
      </c>
      <c r="C3" s="115">
        <f t="shared" ref="C3:C68" si="2">SUM(D3:L3)</f>
        <v>261057.16</v>
      </c>
      <c r="D3" s="131">
        <f t="shared" ref="D3:L3" si="1">SUM(D4:D134)</f>
        <v>0</v>
      </c>
      <c r="E3" s="131">
        <f t="shared" si="1"/>
        <v>23633.52</v>
      </c>
      <c r="F3" s="131">
        <f t="shared" si="1"/>
        <v>36973.64</v>
      </c>
      <c r="G3" s="131">
        <f t="shared" si="1"/>
        <v>33450</v>
      </c>
      <c r="H3" s="131">
        <f t="shared" si="1"/>
        <v>36500</v>
      </c>
      <c r="I3" s="131">
        <f t="shared" si="1"/>
        <v>28500</v>
      </c>
      <c r="J3" s="131">
        <f t="shared" si="1"/>
        <v>31500</v>
      </c>
      <c r="K3" s="131">
        <f t="shared" si="1"/>
        <v>29500</v>
      </c>
      <c r="L3" s="131">
        <f t="shared" si="1"/>
        <v>41000</v>
      </c>
      <c r="M3" s="63"/>
      <c r="N3" s="63"/>
      <c r="O3" s="63"/>
      <c r="P3" s="63"/>
      <c r="Q3" s="63"/>
      <c r="R3" s="63"/>
      <c r="S3" s="63"/>
      <c r="T3" s="3"/>
      <c r="U3" s="3"/>
      <c r="V3" s="3"/>
      <c r="W3" s="3"/>
      <c r="X3" s="3"/>
      <c r="Y3" s="3"/>
      <c r="Z3" s="3"/>
    </row>
    <row r="4" ht="16.5" customHeight="1">
      <c r="A4" s="132">
        <v>570913.0</v>
      </c>
      <c r="B4" s="133" t="s">
        <v>75</v>
      </c>
      <c r="C4" s="119">
        <f t="shared" si="2"/>
        <v>146620.09</v>
      </c>
      <c r="D4" s="123"/>
      <c r="E4" s="121">
        <v>6554.07</v>
      </c>
      <c r="F4" s="121">
        <v>15066.02</v>
      </c>
      <c r="G4" s="123">
        <v>20000.0</v>
      </c>
      <c r="H4" s="123">
        <v>22000.0</v>
      </c>
      <c r="I4" s="123">
        <v>19000.0</v>
      </c>
      <c r="J4" s="123">
        <v>17000.0</v>
      </c>
      <c r="K4" s="123">
        <v>20000.0</v>
      </c>
      <c r="L4" s="123">
        <v>27000.0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32">
        <v>570919.0</v>
      </c>
      <c r="B5" s="134" t="s">
        <v>76</v>
      </c>
      <c r="C5" s="125">
        <f t="shared" si="2"/>
        <v>51935.95</v>
      </c>
      <c r="D5" s="128"/>
      <c r="E5" s="127">
        <v>6435.95</v>
      </c>
      <c r="F5" s="127">
        <v>6500.0</v>
      </c>
      <c r="G5" s="127">
        <v>6500.0</v>
      </c>
      <c r="H5" s="127">
        <v>6500.0</v>
      </c>
      <c r="I5" s="127">
        <v>6500.0</v>
      </c>
      <c r="J5" s="127">
        <v>6500.0</v>
      </c>
      <c r="K5" s="127">
        <v>6500.0</v>
      </c>
      <c r="L5" s="127">
        <v>6500.0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32">
        <v>18.0</v>
      </c>
      <c r="B6" s="134" t="s">
        <v>77</v>
      </c>
      <c r="C6" s="125">
        <f t="shared" si="2"/>
        <v>35801.12</v>
      </c>
      <c r="D6" s="123"/>
      <c r="E6" s="123">
        <v>8143.5</v>
      </c>
      <c r="F6" s="123">
        <v>10407.62</v>
      </c>
      <c r="G6" s="123">
        <v>4250.0</v>
      </c>
      <c r="H6" s="123">
        <v>4500.0</v>
      </c>
      <c r="I6" s="123"/>
      <c r="J6" s="123">
        <v>4500.0</v>
      </c>
      <c r="K6" s="123"/>
      <c r="L6" s="123">
        <v>4000.0</v>
      </c>
      <c r="M6" s="135"/>
      <c r="N6" s="13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32">
        <v>44.0</v>
      </c>
      <c r="B7" s="134" t="s">
        <v>78</v>
      </c>
      <c r="C7" s="125">
        <f t="shared" si="2"/>
        <v>11200</v>
      </c>
      <c r="D7" s="136"/>
      <c r="E7" s="128">
        <v>2500.0</v>
      </c>
      <c r="F7" s="128"/>
      <c r="G7" s="128">
        <v>2700.0</v>
      </c>
      <c r="H7" s="128"/>
      <c r="I7" s="128">
        <v>3000.0</v>
      </c>
      <c r="J7" s="128"/>
      <c r="K7" s="128">
        <v>3000.0</v>
      </c>
      <c r="L7" s="12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32">
        <v>570909.0</v>
      </c>
      <c r="B8" s="134" t="s">
        <v>79</v>
      </c>
      <c r="C8" s="125">
        <f t="shared" si="2"/>
        <v>15500</v>
      </c>
      <c r="D8" s="128"/>
      <c r="E8" s="128"/>
      <c r="F8" s="128">
        <v>5000.0</v>
      </c>
      <c r="G8" s="128"/>
      <c r="H8" s="128">
        <v>3500.0</v>
      </c>
      <c r="I8" s="128"/>
      <c r="J8" s="128">
        <v>3500.0</v>
      </c>
      <c r="K8" s="128"/>
      <c r="L8" s="128">
        <v>3500.0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32"/>
      <c r="B9" s="137"/>
      <c r="C9" s="125">
        <f t="shared" si="2"/>
        <v>0</v>
      </c>
      <c r="D9" s="128"/>
      <c r="E9" s="128"/>
      <c r="F9" s="128"/>
      <c r="G9" s="128"/>
      <c r="H9" s="128"/>
      <c r="I9" s="128"/>
      <c r="J9" s="128"/>
      <c r="K9" s="128"/>
      <c r="L9" s="12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32"/>
      <c r="B10" s="137"/>
      <c r="C10" s="125">
        <f t="shared" si="2"/>
        <v>0</v>
      </c>
      <c r="D10" s="128"/>
      <c r="E10" s="128"/>
      <c r="F10" s="128"/>
      <c r="G10" s="128"/>
      <c r="H10" s="128"/>
      <c r="I10" s="128"/>
      <c r="J10" s="128"/>
      <c r="K10" s="128"/>
      <c r="L10" s="12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32"/>
      <c r="B11" s="137"/>
      <c r="C11" s="125">
        <f t="shared" si="2"/>
        <v>0</v>
      </c>
      <c r="D11" s="128"/>
      <c r="E11" s="128"/>
      <c r="F11" s="128"/>
      <c r="G11" s="128"/>
      <c r="H11" s="128"/>
      <c r="I11" s="128"/>
      <c r="J11" s="128"/>
      <c r="K11" s="128"/>
      <c r="L11" s="12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2"/>
      <c r="B12" s="137"/>
      <c r="C12" s="125">
        <f t="shared" si="2"/>
        <v>0</v>
      </c>
      <c r="D12" s="128"/>
      <c r="E12" s="128"/>
      <c r="F12" s="128"/>
      <c r="G12" s="128"/>
      <c r="H12" s="128"/>
      <c r="I12" s="128"/>
      <c r="J12" s="128"/>
      <c r="K12" s="128"/>
      <c r="L12" s="12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32"/>
      <c r="B13" s="137"/>
      <c r="C13" s="125">
        <f t="shared" si="2"/>
        <v>0</v>
      </c>
      <c r="D13" s="128"/>
      <c r="E13" s="128"/>
      <c r="F13" s="128"/>
      <c r="G13" s="128"/>
      <c r="H13" s="128"/>
      <c r="I13" s="128"/>
      <c r="J13" s="128"/>
      <c r="K13" s="128"/>
      <c r="L13" s="12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32"/>
      <c r="B14" s="137"/>
      <c r="C14" s="125">
        <f t="shared" si="2"/>
        <v>0</v>
      </c>
      <c r="D14" s="128"/>
      <c r="E14" s="128"/>
      <c r="F14" s="128"/>
      <c r="G14" s="128"/>
      <c r="H14" s="128"/>
      <c r="I14" s="128"/>
      <c r="J14" s="128"/>
      <c r="K14" s="128"/>
      <c r="L14" s="12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32"/>
      <c r="B15" s="137"/>
      <c r="C15" s="125">
        <f t="shared" si="2"/>
        <v>0</v>
      </c>
      <c r="D15" s="128"/>
      <c r="E15" s="128"/>
      <c r="F15" s="128"/>
      <c r="G15" s="128"/>
      <c r="H15" s="128"/>
      <c r="I15" s="128"/>
      <c r="J15" s="128"/>
      <c r="K15" s="128"/>
      <c r="L15" s="12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32"/>
      <c r="B16" s="137"/>
      <c r="C16" s="125">
        <f t="shared" si="2"/>
        <v>0</v>
      </c>
      <c r="D16" s="128"/>
      <c r="E16" s="128"/>
      <c r="F16" s="128"/>
      <c r="G16" s="128"/>
      <c r="H16" s="128"/>
      <c r="I16" s="128"/>
      <c r="J16" s="128"/>
      <c r="K16" s="128"/>
      <c r="L16" s="12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32"/>
      <c r="B17" s="137"/>
      <c r="C17" s="125">
        <f t="shared" si="2"/>
        <v>0</v>
      </c>
      <c r="D17" s="128"/>
      <c r="E17" s="128"/>
      <c r="F17" s="128"/>
      <c r="G17" s="128"/>
      <c r="H17" s="128"/>
      <c r="I17" s="128"/>
      <c r="J17" s="128"/>
      <c r="K17" s="128"/>
      <c r="L17" s="12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32"/>
      <c r="B18" s="137"/>
      <c r="C18" s="125">
        <f t="shared" si="2"/>
        <v>0</v>
      </c>
      <c r="D18" s="128"/>
      <c r="E18" s="128"/>
      <c r="F18" s="128"/>
      <c r="G18" s="128"/>
      <c r="H18" s="128"/>
      <c r="I18" s="128"/>
      <c r="J18" s="128"/>
      <c r="K18" s="128"/>
      <c r="L18" s="12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32"/>
      <c r="B19" s="137"/>
      <c r="C19" s="125">
        <f t="shared" si="2"/>
        <v>0</v>
      </c>
      <c r="D19" s="128"/>
      <c r="E19" s="128"/>
      <c r="F19" s="128"/>
      <c r="G19" s="128"/>
      <c r="H19" s="128"/>
      <c r="I19" s="128"/>
      <c r="J19" s="128"/>
      <c r="K19" s="128"/>
      <c r="L19" s="12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32"/>
      <c r="B20" s="137"/>
      <c r="C20" s="125">
        <f t="shared" si="2"/>
        <v>0</v>
      </c>
      <c r="D20" s="128"/>
      <c r="E20" s="128"/>
      <c r="F20" s="128"/>
      <c r="G20" s="128"/>
      <c r="H20" s="128"/>
      <c r="I20" s="128"/>
      <c r="J20" s="128"/>
      <c r="K20" s="128"/>
      <c r="L20" s="12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2"/>
      <c r="B21" s="137"/>
      <c r="C21" s="125">
        <f t="shared" si="2"/>
        <v>0</v>
      </c>
      <c r="D21" s="128"/>
      <c r="E21" s="128"/>
      <c r="F21" s="128"/>
      <c r="G21" s="128"/>
      <c r="H21" s="128"/>
      <c r="I21" s="128"/>
      <c r="J21" s="128"/>
      <c r="K21" s="128"/>
      <c r="L21" s="12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2"/>
      <c r="B22" s="137"/>
      <c r="C22" s="125">
        <f t="shared" si="2"/>
        <v>0</v>
      </c>
      <c r="D22" s="128"/>
      <c r="E22" s="128"/>
      <c r="F22" s="128"/>
      <c r="G22" s="128"/>
      <c r="H22" s="128"/>
      <c r="I22" s="128"/>
      <c r="J22" s="128"/>
      <c r="K22" s="128"/>
      <c r="L22" s="12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32"/>
      <c r="B23" s="137"/>
      <c r="C23" s="125">
        <f t="shared" si="2"/>
        <v>0</v>
      </c>
      <c r="D23" s="128"/>
      <c r="E23" s="128"/>
      <c r="F23" s="128"/>
      <c r="G23" s="128"/>
      <c r="H23" s="128"/>
      <c r="I23" s="128"/>
      <c r="J23" s="128"/>
      <c r="K23" s="128"/>
      <c r="L23" s="12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2"/>
      <c r="B24" s="137"/>
      <c r="C24" s="125">
        <f t="shared" si="2"/>
        <v>0</v>
      </c>
      <c r="D24" s="128"/>
      <c r="E24" s="128"/>
      <c r="F24" s="128"/>
      <c r="G24" s="128"/>
      <c r="H24" s="128"/>
      <c r="I24" s="128"/>
      <c r="J24" s="128"/>
      <c r="K24" s="128"/>
      <c r="L24" s="12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2"/>
      <c r="B25" s="137"/>
      <c r="C25" s="125">
        <f t="shared" si="2"/>
        <v>0</v>
      </c>
      <c r="D25" s="128"/>
      <c r="E25" s="128"/>
      <c r="F25" s="128"/>
      <c r="G25" s="128"/>
      <c r="H25" s="128"/>
      <c r="I25" s="128"/>
      <c r="J25" s="128"/>
      <c r="K25" s="128"/>
      <c r="L25" s="12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2"/>
      <c r="B26" s="137"/>
      <c r="C26" s="125">
        <f t="shared" si="2"/>
        <v>0</v>
      </c>
      <c r="D26" s="128"/>
      <c r="E26" s="128"/>
      <c r="F26" s="128"/>
      <c r="G26" s="128"/>
      <c r="H26" s="128"/>
      <c r="I26" s="128"/>
      <c r="J26" s="128"/>
      <c r="K26" s="128"/>
      <c r="L26" s="12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2"/>
      <c r="B27" s="137"/>
      <c r="C27" s="125">
        <f t="shared" si="2"/>
        <v>0</v>
      </c>
      <c r="D27" s="128"/>
      <c r="E27" s="128"/>
      <c r="F27" s="128"/>
      <c r="G27" s="128"/>
      <c r="H27" s="128"/>
      <c r="I27" s="128"/>
      <c r="J27" s="128"/>
      <c r="K27" s="128"/>
      <c r="L27" s="12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2"/>
      <c r="B28" s="137"/>
      <c r="C28" s="125">
        <f t="shared" si="2"/>
        <v>0</v>
      </c>
      <c r="D28" s="128"/>
      <c r="E28" s="128"/>
      <c r="F28" s="128"/>
      <c r="G28" s="128"/>
      <c r="H28" s="128"/>
      <c r="I28" s="128"/>
      <c r="J28" s="128"/>
      <c r="K28" s="128"/>
      <c r="L28" s="12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2"/>
      <c r="B29" s="137"/>
      <c r="C29" s="125">
        <f t="shared" si="2"/>
        <v>0</v>
      </c>
      <c r="D29" s="128"/>
      <c r="E29" s="128"/>
      <c r="F29" s="128"/>
      <c r="G29" s="128"/>
      <c r="H29" s="128"/>
      <c r="I29" s="128"/>
      <c r="J29" s="128"/>
      <c r="K29" s="128"/>
      <c r="L29" s="12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32"/>
      <c r="B30" s="137"/>
      <c r="C30" s="125">
        <f t="shared" si="2"/>
        <v>0</v>
      </c>
      <c r="D30" s="128"/>
      <c r="E30" s="128"/>
      <c r="F30" s="128"/>
      <c r="G30" s="128"/>
      <c r="H30" s="128"/>
      <c r="I30" s="128"/>
      <c r="J30" s="128"/>
      <c r="K30" s="128"/>
      <c r="L30" s="12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2"/>
      <c r="B31" s="137"/>
      <c r="C31" s="125">
        <f t="shared" si="2"/>
        <v>0</v>
      </c>
      <c r="D31" s="128"/>
      <c r="E31" s="128"/>
      <c r="F31" s="128"/>
      <c r="G31" s="128"/>
      <c r="H31" s="128"/>
      <c r="I31" s="128"/>
      <c r="J31" s="128"/>
      <c r="K31" s="128"/>
      <c r="L31" s="12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32"/>
      <c r="B32" s="137"/>
      <c r="C32" s="125">
        <f t="shared" si="2"/>
        <v>0</v>
      </c>
      <c r="D32" s="128"/>
      <c r="E32" s="128"/>
      <c r="F32" s="128"/>
      <c r="G32" s="128"/>
      <c r="H32" s="128"/>
      <c r="I32" s="128"/>
      <c r="J32" s="128"/>
      <c r="K32" s="128"/>
      <c r="L32" s="12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2"/>
      <c r="B33" s="137"/>
      <c r="C33" s="125">
        <f t="shared" si="2"/>
        <v>0</v>
      </c>
      <c r="D33" s="128"/>
      <c r="E33" s="128"/>
      <c r="F33" s="128"/>
      <c r="G33" s="128"/>
      <c r="H33" s="128"/>
      <c r="I33" s="128"/>
      <c r="J33" s="128"/>
      <c r="K33" s="128"/>
      <c r="L33" s="12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2"/>
      <c r="B34" s="137"/>
      <c r="C34" s="125">
        <f t="shared" si="2"/>
        <v>0</v>
      </c>
      <c r="D34" s="128"/>
      <c r="E34" s="128"/>
      <c r="F34" s="128"/>
      <c r="G34" s="128"/>
      <c r="H34" s="128"/>
      <c r="I34" s="128"/>
      <c r="J34" s="128"/>
      <c r="K34" s="128"/>
      <c r="L34" s="12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32"/>
      <c r="B35" s="137"/>
      <c r="C35" s="125">
        <f t="shared" si="2"/>
        <v>0</v>
      </c>
      <c r="D35" s="128"/>
      <c r="E35" s="128"/>
      <c r="F35" s="128"/>
      <c r="G35" s="128"/>
      <c r="H35" s="128"/>
      <c r="I35" s="128"/>
      <c r="J35" s="128"/>
      <c r="K35" s="128"/>
      <c r="L35" s="12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32"/>
      <c r="B36" s="137"/>
      <c r="C36" s="125">
        <f t="shared" si="2"/>
        <v>0</v>
      </c>
      <c r="D36" s="128"/>
      <c r="E36" s="128"/>
      <c r="F36" s="128"/>
      <c r="G36" s="128"/>
      <c r="H36" s="128"/>
      <c r="I36" s="128"/>
      <c r="J36" s="128"/>
      <c r="K36" s="128"/>
      <c r="L36" s="12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32"/>
      <c r="B37" s="137"/>
      <c r="C37" s="125">
        <f t="shared" si="2"/>
        <v>0</v>
      </c>
      <c r="D37" s="128"/>
      <c r="E37" s="128"/>
      <c r="F37" s="128"/>
      <c r="G37" s="128"/>
      <c r="H37" s="128"/>
      <c r="I37" s="128"/>
      <c r="J37" s="128"/>
      <c r="K37" s="128"/>
      <c r="L37" s="12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2"/>
      <c r="B38" s="137"/>
      <c r="C38" s="125">
        <f t="shared" si="2"/>
        <v>0</v>
      </c>
      <c r="D38" s="128"/>
      <c r="E38" s="128"/>
      <c r="F38" s="128"/>
      <c r="G38" s="128"/>
      <c r="H38" s="128"/>
      <c r="I38" s="128"/>
      <c r="J38" s="128"/>
      <c r="K38" s="128"/>
      <c r="L38" s="12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32"/>
      <c r="B39" s="137"/>
      <c r="C39" s="125">
        <f t="shared" si="2"/>
        <v>0</v>
      </c>
      <c r="D39" s="128"/>
      <c r="E39" s="128"/>
      <c r="F39" s="128"/>
      <c r="G39" s="128"/>
      <c r="H39" s="128"/>
      <c r="I39" s="128"/>
      <c r="J39" s="128"/>
      <c r="K39" s="128"/>
      <c r="L39" s="12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32"/>
      <c r="B40" s="137"/>
      <c r="C40" s="125">
        <f t="shared" si="2"/>
        <v>0</v>
      </c>
      <c r="D40" s="128"/>
      <c r="E40" s="128"/>
      <c r="F40" s="128"/>
      <c r="G40" s="128"/>
      <c r="H40" s="128"/>
      <c r="I40" s="128"/>
      <c r="J40" s="128"/>
      <c r="K40" s="128"/>
      <c r="L40" s="12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32"/>
      <c r="B41" s="137"/>
      <c r="C41" s="125">
        <f t="shared" si="2"/>
        <v>0</v>
      </c>
      <c r="D41" s="128"/>
      <c r="E41" s="128"/>
      <c r="F41" s="128"/>
      <c r="G41" s="128"/>
      <c r="H41" s="128"/>
      <c r="I41" s="128"/>
      <c r="J41" s="128"/>
      <c r="K41" s="128"/>
      <c r="L41" s="12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32"/>
      <c r="B42" s="137"/>
      <c r="C42" s="125">
        <f t="shared" si="2"/>
        <v>0</v>
      </c>
      <c r="D42" s="128"/>
      <c r="E42" s="128"/>
      <c r="F42" s="128"/>
      <c r="G42" s="128"/>
      <c r="H42" s="128"/>
      <c r="I42" s="128"/>
      <c r="J42" s="128"/>
      <c r="K42" s="128"/>
      <c r="L42" s="12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32"/>
      <c r="B43" s="137"/>
      <c r="C43" s="125">
        <f t="shared" si="2"/>
        <v>0</v>
      </c>
      <c r="D43" s="128"/>
      <c r="E43" s="128"/>
      <c r="F43" s="128"/>
      <c r="G43" s="128"/>
      <c r="H43" s="128"/>
      <c r="I43" s="128"/>
      <c r="J43" s="128"/>
      <c r="K43" s="128"/>
      <c r="L43" s="12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32"/>
      <c r="B44" s="137"/>
      <c r="C44" s="125">
        <f t="shared" si="2"/>
        <v>0</v>
      </c>
      <c r="D44" s="128"/>
      <c r="E44" s="128"/>
      <c r="F44" s="128"/>
      <c r="G44" s="128"/>
      <c r="H44" s="128"/>
      <c r="I44" s="128"/>
      <c r="J44" s="128"/>
      <c r="K44" s="128"/>
      <c r="L44" s="12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32"/>
      <c r="B45" s="137"/>
      <c r="C45" s="125">
        <f t="shared" si="2"/>
        <v>0</v>
      </c>
      <c r="D45" s="128"/>
      <c r="E45" s="128"/>
      <c r="F45" s="128"/>
      <c r="G45" s="128"/>
      <c r="H45" s="128"/>
      <c r="I45" s="128"/>
      <c r="J45" s="128"/>
      <c r="K45" s="128"/>
      <c r="L45" s="12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32"/>
      <c r="B46" s="137"/>
      <c r="C46" s="125">
        <f t="shared" si="2"/>
        <v>0</v>
      </c>
      <c r="D46" s="128"/>
      <c r="E46" s="128"/>
      <c r="F46" s="128"/>
      <c r="G46" s="128"/>
      <c r="H46" s="128"/>
      <c r="I46" s="128"/>
      <c r="J46" s="128"/>
      <c r="K46" s="128"/>
      <c r="L46" s="12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32"/>
      <c r="B47" s="137"/>
      <c r="C47" s="125">
        <f t="shared" si="2"/>
        <v>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32"/>
      <c r="B48" s="137"/>
      <c r="C48" s="125">
        <f t="shared" si="2"/>
        <v>0</v>
      </c>
      <c r="D48" s="128"/>
      <c r="E48" s="128"/>
      <c r="F48" s="128"/>
      <c r="G48" s="128"/>
      <c r="H48" s="128"/>
      <c r="I48" s="128"/>
      <c r="J48" s="128"/>
      <c r="K48" s="128"/>
      <c r="L48" s="12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32"/>
      <c r="B49" s="137"/>
      <c r="C49" s="125">
        <f t="shared" si="2"/>
        <v>0</v>
      </c>
      <c r="D49" s="128"/>
      <c r="E49" s="128"/>
      <c r="F49" s="128"/>
      <c r="G49" s="128"/>
      <c r="H49" s="128"/>
      <c r="I49" s="128"/>
      <c r="J49" s="128"/>
      <c r="K49" s="128"/>
      <c r="L49" s="12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32"/>
      <c r="B50" s="137"/>
      <c r="C50" s="125">
        <f t="shared" si="2"/>
        <v>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32"/>
      <c r="B51" s="137"/>
      <c r="C51" s="125">
        <f t="shared" si="2"/>
        <v>0</v>
      </c>
      <c r="D51" s="128"/>
      <c r="E51" s="128"/>
      <c r="F51" s="128"/>
      <c r="G51" s="128"/>
      <c r="H51" s="128"/>
      <c r="I51" s="128"/>
      <c r="J51" s="128"/>
      <c r="K51" s="128"/>
      <c r="L51" s="12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32"/>
      <c r="B52" s="137"/>
      <c r="C52" s="125">
        <f t="shared" si="2"/>
        <v>0</v>
      </c>
      <c r="D52" s="128"/>
      <c r="E52" s="128"/>
      <c r="F52" s="128"/>
      <c r="G52" s="128"/>
      <c r="H52" s="128"/>
      <c r="I52" s="128"/>
      <c r="J52" s="128"/>
      <c r="K52" s="128"/>
      <c r="L52" s="12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32"/>
      <c r="B53" s="137"/>
      <c r="C53" s="125">
        <f t="shared" si="2"/>
        <v>0</v>
      </c>
      <c r="D53" s="128"/>
      <c r="E53" s="128"/>
      <c r="F53" s="128"/>
      <c r="G53" s="128"/>
      <c r="H53" s="128"/>
      <c r="I53" s="128"/>
      <c r="J53" s="128"/>
      <c r="K53" s="128"/>
      <c r="L53" s="12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32"/>
      <c r="B54" s="137"/>
      <c r="C54" s="125">
        <f t="shared" si="2"/>
        <v>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32"/>
      <c r="B55" s="137"/>
      <c r="C55" s="125">
        <f t="shared" si="2"/>
        <v>0</v>
      </c>
      <c r="D55" s="128"/>
      <c r="E55" s="128"/>
      <c r="F55" s="128"/>
      <c r="G55" s="128"/>
      <c r="H55" s="128"/>
      <c r="I55" s="128"/>
      <c r="J55" s="128"/>
      <c r="K55" s="128"/>
      <c r="L55" s="12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32"/>
      <c r="B56" s="137"/>
      <c r="C56" s="125">
        <f t="shared" si="2"/>
        <v>0</v>
      </c>
      <c r="D56" s="128"/>
      <c r="E56" s="128"/>
      <c r="F56" s="128"/>
      <c r="G56" s="128"/>
      <c r="H56" s="128"/>
      <c r="I56" s="128"/>
      <c r="J56" s="128"/>
      <c r="K56" s="128"/>
      <c r="L56" s="12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32"/>
      <c r="B57" s="137"/>
      <c r="C57" s="125">
        <f t="shared" si="2"/>
        <v>0</v>
      </c>
      <c r="D57" s="128"/>
      <c r="E57" s="128"/>
      <c r="F57" s="128"/>
      <c r="G57" s="128"/>
      <c r="H57" s="128"/>
      <c r="I57" s="128"/>
      <c r="J57" s="128"/>
      <c r="K57" s="128"/>
      <c r="L57" s="12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32"/>
      <c r="B58" s="137"/>
      <c r="C58" s="125">
        <f t="shared" si="2"/>
        <v>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32"/>
      <c r="B59" s="137"/>
      <c r="C59" s="125">
        <f t="shared" si="2"/>
        <v>0</v>
      </c>
      <c r="D59" s="128"/>
      <c r="E59" s="128"/>
      <c r="F59" s="128"/>
      <c r="G59" s="128"/>
      <c r="H59" s="128"/>
      <c r="I59" s="128"/>
      <c r="J59" s="128"/>
      <c r="K59" s="128"/>
      <c r="L59" s="12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32"/>
      <c r="B60" s="137"/>
      <c r="C60" s="125">
        <f t="shared" si="2"/>
        <v>0</v>
      </c>
      <c r="D60" s="128"/>
      <c r="E60" s="128"/>
      <c r="F60" s="128"/>
      <c r="G60" s="128"/>
      <c r="H60" s="128"/>
      <c r="I60" s="128"/>
      <c r="J60" s="128"/>
      <c r="K60" s="128"/>
      <c r="L60" s="12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32"/>
      <c r="B61" s="137"/>
      <c r="C61" s="125">
        <f t="shared" si="2"/>
        <v>0</v>
      </c>
      <c r="D61" s="128"/>
      <c r="E61" s="128"/>
      <c r="F61" s="128"/>
      <c r="G61" s="128"/>
      <c r="H61" s="128"/>
      <c r="I61" s="128"/>
      <c r="J61" s="128"/>
      <c r="K61" s="128"/>
      <c r="L61" s="12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32"/>
      <c r="B62" s="137"/>
      <c r="C62" s="125">
        <f t="shared" si="2"/>
        <v>0</v>
      </c>
      <c r="D62" s="128"/>
      <c r="E62" s="128"/>
      <c r="F62" s="128"/>
      <c r="G62" s="128"/>
      <c r="H62" s="128"/>
      <c r="I62" s="128"/>
      <c r="J62" s="128"/>
      <c r="K62" s="128"/>
      <c r="L62" s="12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32"/>
      <c r="B63" s="137"/>
      <c r="C63" s="125">
        <f t="shared" si="2"/>
        <v>0</v>
      </c>
      <c r="D63" s="128"/>
      <c r="E63" s="128"/>
      <c r="F63" s="128"/>
      <c r="G63" s="128"/>
      <c r="H63" s="128"/>
      <c r="I63" s="128"/>
      <c r="J63" s="128"/>
      <c r="K63" s="128"/>
      <c r="L63" s="12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32"/>
      <c r="B64" s="137"/>
      <c r="C64" s="125">
        <f t="shared" si="2"/>
        <v>0</v>
      </c>
      <c r="D64" s="128"/>
      <c r="E64" s="128"/>
      <c r="F64" s="128"/>
      <c r="G64" s="128"/>
      <c r="H64" s="128"/>
      <c r="I64" s="128"/>
      <c r="J64" s="128"/>
      <c r="K64" s="128"/>
      <c r="L64" s="12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32"/>
      <c r="B65" s="137"/>
      <c r="C65" s="125">
        <f t="shared" si="2"/>
        <v>0</v>
      </c>
      <c r="D65" s="128"/>
      <c r="E65" s="128"/>
      <c r="F65" s="128"/>
      <c r="G65" s="128"/>
      <c r="H65" s="128"/>
      <c r="I65" s="128"/>
      <c r="J65" s="128"/>
      <c r="K65" s="128"/>
      <c r="L65" s="12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32"/>
      <c r="B66" s="137"/>
      <c r="C66" s="125">
        <f t="shared" si="2"/>
        <v>0</v>
      </c>
      <c r="D66" s="128"/>
      <c r="E66" s="128"/>
      <c r="F66" s="128"/>
      <c r="G66" s="128"/>
      <c r="H66" s="128"/>
      <c r="I66" s="128"/>
      <c r="J66" s="128"/>
      <c r="K66" s="128"/>
      <c r="L66" s="12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32"/>
      <c r="B67" s="137"/>
      <c r="C67" s="125">
        <f t="shared" si="2"/>
        <v>0</v>
      </c>
      <c r="D67" s="128"/>
      <c r="E67" s="128"/>
      <c r="F67" s="128"/>
      <c r="G67" s="128"/>
      <c r="H67" s="128"/>
      <c r="I67" s="128"/>
      <c r="J67" s="128"/>
      <c r="K67" s="128"/>
      <c r="L67" s="12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32"/>
      <c r="B68" s="138"/>
      <c r="C68" s="125">
        <f t="shared" si="2"/>
        <v>0</v>
      </c>
      <c r="D68" s="128"/>
      <c r="E68" s="128"/>
      <c r="F68" s="128"/>
      <c r="G68" s="128"/>
      <c r="H68" s="128"/>
      <c r="I68" s="128"/>
      <c r="J68" s="128"/>
      <c r="K68" s="128"/>
      <c r="L68" s="12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104"/>
      <c r="C69" s="3"/>
      <c r="D69" s="104"/>
      <c r="E69" s="104"/>
      <c r="F69" s="104"/>
      <c r="G69" s="104"/>
      <c r="H69" s="104"/>
      <c r="I69" s="104"/>
      <c r="J69" s="104"/>
      <c r="K69" s="104"/>
      <c r="L69" s="10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04"/>
      <c r="C70" s="3"/>
      <c r="D70" s="104"/>
      <c r="E70" s="104"/>
      <c r="F70" s="104"/>
      <c r="G70" s="104"/>
      <c r="H70" s="104"/>
      <c r="I70" s="104"/>
      <c r="J70" s="104"/>
      <c r="K70" s="104"/>
      <c r="L70" s="10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04"/>
      <c r="C71" s="3"/>
      <c r="D71" s="104"/>
      <c r="E71" s="104"/>
      <c r="F71" s="104"/>
      <c r="G71" s="104"/>
      <c r="H71" s="104"/>
      <c r="I71" s="104"/>
      <c r="J71" s="104"/>
      <c r="K71" s="104"/>
      <c r="L71" s="10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04"/>
      <c r="C72" s="3"/>
      <c r="D72" s="104"/>
      <c r="E72" s="104"/>
      <c r="F72" s="104"/>
      <c r="G72" s="104"/>
      <c r="H72" s="104"/>
      <c r="I72" s="104"/>
      <c r="J72" s="104"/>
      <c r="K72" s="104"/>
      <c r="L72" s="10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04"/>
      <c r="C73" s="3"/>
      <c r="D73" s="104"/>
      <c r="E73" s="104"/>
      <c r="F73" s="104"/>
      <c r="G73" s="104"/>
      <c r="H73" s="104"/>
      <c r="I73" s="104"/>
      <c r="J73" s="104"/>
      <c r="K73" s="104"/>
      <c r="L73" s="10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04"/>
      <c r="C74" s="3"/>
      <c r="D74" s="104"/>
      <c r="E74" s="104"/>
      <c r="F74" s="104"/>
      <c r="G74" s="104"/>
      <c r="H74" s="104"/>
      <c r="I74" s="104"/>
      <c r="J74" s="104"/>
      <c r="K74" s="104"/>
      <c r="L74" s="10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04"/>
      <c r="C75" s="3"/>
      <c r="D75" s="104"/>
      <c r="E75" s="104"/>
      <c r="F75" s="104"/>
      <c r="G75" s="104"/>
      <c r="H75" s="104"/>
      <c r="I75" s="104"/>
      <c r="J75" s="104"/>
      <c r="K75" s="104"/>
      <c r="L75" s="10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04"/>
      <c r="C76" s="3"/>
      <c r="D76" s="104"/>
      <c r="E76" s="104"/>
      <c r="F76" s="104"/>
      <c r="G76" s="104"/>
      <c r="H76" s="104"/>
      <c r="I76" s="104"/>
      <c r="J76" s="104"/>
      <c r="K76" s="104"/>
      <c r="L76" s="10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04"/>
      <c r="C77" s="3"/>
      <c r="D77" s="104"/>
      <c r="E77" s="104"/>
      <c r="F77" s="104"/>
      <c r="G77" s="104"/>
      <c r="H77" s="104"/>
      <c r="I77" s="104"/>
      <c r="J77" s="104"/>
      <c r="K77" s="104"/>
      <c r="L77" s="10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04"/>
      <c r="C78" s="3"/>
      <c r="D78" s="104"/>
      <c r="E78" s="104"/>
      <c r="F78" s="104"/>
      <c r="G78" s="104"/>
      <c r="H78" s="104"/>
      <c r="I78" s="104"/>
      <c r="J78" s="104"/>
      <c r="K78" s="104"/>
      <c r="L78" s="10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04"/>
      <c r="C79" s="3"/>
      <c r="D79" s="104"/>
      <c r="E79" s="104"/>
      <c r="F79" s="104"/>
      <c r="G79" s="104"/>
      <c r="H79" s="104"/>
      <c r="I79" s="104"/>
      <c r="J79" s="104"/>
      <c r="K79" s="104"/>
      <c r="L79" s="10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04"/>
      <c r="C80" s="3"/>
      <c r="D80" s="104"/>
      <c r="E80" s="104"/>
      <c r="F80" s="104"/>
      <c r="G80" s="104"/>
      <c r="H80" s="104"/>
      <c r="I80" s="104"/>
      <c r="J80" s="104"/>
      <c r="K80" s="104"/>
      <c r="L80" s="10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04"/>
      <c r="C81" s="3"/>
      <c r="D81" s="104"/>
      <c r="E81" s="104"/>
      <c r="F81" s="104"/>
      <c r="G81" s="104"/>
      <c r="H81" s="104"/>
      <c r="I81" s="104"/>
      <c r="J81" s="104"/>
      <c r="K81" s="104"/>
      <c r="L81" s="10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04"/>
      <c r="C82" s="3"/>
      <c r="D82" s="104"/>
      <c r="E82" s="104"/>
      <c r="F82" s="104"/>
      <c r="G82" s="104"/>
      <c r="H82" s="104"/>
      <c r="I82" s="104"/>
      <c r="J82" s="104"/>
      <c r="K82" s="104"/>
      <c r="L82" s="10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04"/>
      <c r="C83" s="3"/>
      <c r="D83" s="104"/>
      <c r="E83" s="104"/>
      <c r="F83" s="104"/>
      <c r="G83" s="104"/>
      <c r="H83" s="104"/>
      <c r="I83" s="104"/>
      <c r="J83" s="104"/>
      <c r="K83" s="104"/>
      <c r="L83" s="10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04"/>
      <c r="C84" s="3"/>
      <c r="D84" s="104"/>
      <c r="E84" s="104"/>
      <c r="F84" s="104"/>
      <c r="G84" s="104"/>
      <c r="H84" s="104"/>
      <c r="I84" s="104"/>
      <c r="J84" s="104"/>
      <c r="K84" s="104"/>
      <c r="L84" s="10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04"/>
      <c r="C85" s="3"/>
      <c r="D85" s="104"/>
      <c r="E85" s="104"/>
      <c r="F85" s="104"/>
      <c r="G85" s="104"/>
      <c r="H85" s="104"/>
      <c r="I85" s="104"/>
      <c r="J85" s="104"/>
      <c r="K85" s="104"/>
      <c r="L85" s="10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04"/>
      <c r="C86" s="3"/>
      <c r="D86" s="104"/>
      <c r="E86" s="104"/>
      <c r="F86" s="104"/>
      <c r="G86" s="104"/>
      <c r="H86" s="104"/>
      <c r="I86" s="104"/>
      <c r="J86" s="104"/>
      <c r="K86" s="104"/>
      <c r="L86" s="10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04"/>
      <c r="C87" s="3"/>
      <c r="D87" s="104"/>
      <c r="E87" s="104"/>
      <c r="F87" s="104"/>
      <c r="G87" s="104"/>
      <c r="H87" s="104"/>
      <c r="I87" s="104"/>
      <c r="J87" s="104"/>
      <c r="K87" s="104"/>
      <c r="L87" s="10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04"/>
      <c r="C88" s="3"/>
      <c r="D88" s="104"/>
      <c r="E88" s="104"/>
      <c r="F88" s="104"/>
      <c r="G88" s="104"/>
      <c r="H88" s="104"/>
      <c r="I88" s="104"/>
      <c r="J88" s="104"/>
      <c r="K88" s="104"/>
      <c r="L88" s="10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04"/>
      <c r="C89" s="3"/>
      <c r="D89" s="104"/>
      <c r="E89" s="104"/>
      <c r="F89" s="104"/>
      <c r="G89" s="104"/>
      <c r="H89" s="104"/>
      <c r="I89" s="104"/>
      <c r="J89" s="104"/>
      <c r="K89" s="104"/>
      <c r="L89" s="10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04"/>
      <c r="C90" s="3"/>
      <c r="D90" s="104"/>
      <c r="E90" s="104"/>
      <c r="F90" s="104"/>
      <c r="G90" s="104"/>
      <c r="H90" s="104"/>
      <c r="I90" s="104"/>
      <c r="J90" s="104"/>
      <c r="K90" s="104"/>
      <c r="L90" s="10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04"/>
      <c r="C91" s="3"/>
      <c r="D91" s="104"/>
      <c r="E91" s="104"/>
      <c r="F91" s="104"/>
      <c r="G91" s="104"/>
      <c r="H91" s="104"/>
      <c r="I91" s="104"/>
      <c r="J91" s="104"/>
      <c r="K91" s="104"/>
      <c r="L91" s="10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04"/>
      <c r="C92" s="3"/>
      <c r="D92" s="104"/>
      <c r="E92" s="104"/>
      <c r="F92" s="104"/>
      <c r="G92" s="104"/>
      <c r="H92" s="104"/>
      <c r="I92" s="104"/>
      <c r="J92" s="104"/>
      <c r="K92" s="104"/>
      <c r="L92" s="10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04"/>
      <c r="C93" s="3"/>
      <c r="D93" s="104"/>
      <c r="E93" s="104"/>
      <c r="F93" s="104"/>
      <c r="G93" s="104"/>
      <c r="H93" s="104"/>
      <c r="I93" s="104"/>
      <c r="J93" s="104"/>
      <c r="K93" s="104"/>
      <c r="L93" s="10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04"/>
      <c r="C94" s="3"/>
      <c r="D94" s="104"/>
      <c r="E94" s="104"/>
      <c r="F94" s="104"/>
      <c r="G94" s="104"/>
      <c r="H94" s="104"/>
      <c r="I94" s="104"/>
      <c r="J94" s="104"/>
      <c r="K94" s="104"/>
      <c r="L94" s="10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04"/>
      <c r="C95" s="3"/>
      <c r="D95" s="104"/>
      <c r="E95" s="104"/>
      <c r="F95" s="104"/>
      <c r="G95" s="104"/>
      <c r="H95" s="104"/>
      <c r="I95" s="104"/>
      <c r="J95" s="104"/>
      <c r="K95" s="104"/>
      <c r="L95" s="10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04"/>
      <c r="C96" s="3"/>
      <c r="D96" s="104"/>
      <c r="E96" s="104"/>
      <c r="F96" s="104"/>
      <c r="G96" s="104"/>
      <c r="H96" s="104"/>
      <c r="I96" s="104"/>
      <c r="J96" s="104"/>
      <c r="K96" s="104"/>
      <c r="L96" s="10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04"/>
      <c r="C97" s="3"/>
      <c r="D97" s="104"/>
      <c r="E97" s="104"/>
      <c r="F97" s="104"/>
      <c r="G97" s="104"/>
      <c r="H97" s="104"/>
      <c r="I97" s="104"/>
      <c r="J97" s="104"/>
      <c r="K97" s="104"/>
      <c r="L97" s="10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04"/>
      <c r="C98" s="3"/>
      <c r="D98" s="104"/>
      <c r="E98" s="104"/>
      <c r="F98" s="104"/>
      <c r="G98" s="104"/>
      <c r="H98" s="104"/>
      <c r="I98" s="104"/>
      <c r="J98" s="104"/>
      <c r="K98" s="104"/>
      <c r="L98" s="10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04"/>
      <c r="C99" s="3"/>
      <c r="D99" s="104"/>
      <c r="E99" s="104"/>
      <c r="F99" s="104"/>
      <c r="G99" s="104"/>
      <c r="H99" s="104"/>
      <c r="I99" s="104"/>
      <c r="J99" s="104"/>
      <c r="K99" s="104"/>
      <c r="L99" s="10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04"/>
      <c r="C100" s="3"/>
      <c r="D100" s="104"/>
      <c r="E100" s="104"/>
      <c r="F100" s="104"/>
      <c r="G100" s="104"/>
      <c r="H100" s="104"/>
      <c r="I100" s="104"/>
      <c r="J100" s="104"/>
      <c r="K100" s="104"/>
      <c r="L100" s="10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04"/>
      <c r="C101" s="3"/>
      <c r="D101" s="104"/>
      <c r="E101" s="104"/>
      <c r="F101" s="104"/>
      <c r="G101" s="104"/>
      <c r="H101" s="104"/>
      <c r="I101" s="104"/>
      <c r="J101" s="104"/>
      <c r="K101" s="104"/>
      <c r="L101" s="10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04"/>
      <c r="C102" s="3"/>
      <c r="D102" s="104"/>
      <c r="E102" s="104"/>
      <c r="F102" s="104"/>
      <c r="G102" s="104"/>
      <c r="H102" s="104"/>
      <c r="I102" s="104"/>
      <c r="J102" s="104"/>
      <c r="K102" s="104"/>
      <c r="L102" s="10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04"/>
      <c r="C103" s="3"/>
      <c r="D103" s="104"/>
      <c r="E103" s="104"/>
      <c r="F103" s="104"/>
      <c r="G103" s="104"/>
      <c r="H103" s="104"/>
      <c r="I103" s="104"/>
      <c r="J103" s="104"/>
      <c r="K103" s="104"/>
      <c r="L103" s="10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04"/>
      <c r="C104" s="3"/>
      <c r="D104" s="104"/>
      <c r="E104" s="104"/>
      <c r="F104" s="104"/>
      <c r="G104" s="104"/>
      <c r="H104" s="104"/>
      <c r="I104" s="104"/>
      <c r="J104" s="104"/>
      <c r="K104" s="104"/>
      <c r="L104" s="10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04"/>
      <c r="C105" s="3"/>
      <c r="D105" s="104"/>
      <c r="E105" s="104"/>
      <c r="F105" s="104"/>
      <c r="G105" s="104"/>
      <c r="H105" s="104"/>
      <c r="I105" s="104"/>
      <c r="J105" s="104"/>
      <c r="K105" s="104"/>
      <c r="L105" s="10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04"/>
      <c r="C106" s="3"/>
      <c r="D106" s="104"/>
      <c r="E106" s="104"/>
      <c r="F106" s="104"/>
      <c r="G106" s="104"/>
      <c r="H106" s="104"/>
      <c r="I106" s="104"/>
      <c r="J106" s="104"/>
      <c r="K106" s="104"/>
      <c r="L106" s="10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04"/>
      <c r="C107" s="3"/>
      <c r="D107" s="104"/>
      <c r="E107" s="104"/>
      <c r="F107" s="104"/>
      <c r="G107" s="104"/>
      <c r="H107" s="104"/>
      <c r="I107" s="104"/>
      <c r="J107" s="104"/>
      <c r="K107" s="104"/>
      <c r="L107" s="10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04"/>
      <c r="C108" s="3"/>
      <c r="D108" s="104"/>
      <c r="E108" s="104"/>
      <c r="F108" s="104"/>
      <c r="G108" s="104"/>
      <c r="H108" s="104"/>
      <c r="I108" s="104"/>
      <c r="J108" s="104"/>
      <c r="K108" s="104"/>
      <c r="L108" s="10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04"/>
      <c r="C109" s="3"/>
      <c r="D109" s="104"/>
      <c r="E109" s="104"/>
      <c r="F109" s="104"/>
      <c r="G109" s="104"/>
      <c r="H109" s="104"/>
      <c r="I109" s="104"/>
      <c r="J109" s="104"/>
      <c r="K109" s="104"/>
      <c r="L109" s="10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04"/>
      <c r="C110" s="3"/>
      <c r="D110" s="104"/>
      <c r="E110" s="104"/>
      <c r="F110" s="104"/>
      <c r="G110" s="104"/>
      <c r="H110" s="104"/>
      <c r="I110" s="104"/>
      <c r="J110" s="104"/>
      <c r="K110" s="104"/>
      <c r="L110" s="10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04"/>
      <c r="C111" s="3"/>
      <c r="D111" s="104"/>
      <c r="E111" s="104"/>
      <c r="F111" s="104"/>
      <c r="G111" s="104"/>
      <c r="H111" s="104"/>
      <c r="I111" s="104"/>
      <c r="J111" s="104"/>
      <c r="K111" s="104"/>
      <c r="L111" s="10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04"/>
      <c r="C112" s="3"/>
      <c r="D112" s="104"/>
      <c r="E112" s="104"/>
      <c r="F112" s="104"/>
      <c r="G112" s="104"/>
      <c r="H112" s="104"/>
      <c r="I112" s="104"/>
      <c r="J112" s="104"/>
      <c r="K112" s="104"/>
      <c r="L112" s="10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04"/>
      <c r="C113" s="3"/>
      <c r="D113" s="104"/>
      <c r="E113" s="104"/>
      <c r="F113" s="104"/>
      <c r="G113" s="104"/>
      <c r="H113" s="104"/>
      <c r="I113" s="104"/>
      <c r="J113" s="104"/>
      <c r="K113" s="104"/>
      <c r="L113" s="10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04"/>
      <c r="C114" s="3"/>
      <c r="D114" s="104"/>
      <c r="E114" s="104"/>
      <c r="F114" s="104"/>
      <c r="G114" s="104"/>
      <c r="H114" s="104"/>
      <c r="I114" s="104"/>
      <c r="J114" s="104"/>
      <c r="K114" s="104"/>
      <c r="L114" s="10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04"/>
      <c r="C115" s="3"/>
      <c r="D115" s="104"/>
      <c r="E115" s="104"/>
      <c r="F115" s="104"/>
      <c r="G115" s="104"/>
      <c r="H115" s="104"/>
      <c r="I115" s="104"/>
      <c r="J115" s="104"/>
      <c r="K115" s="104"/>
      <c r="L115" s="10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04"/>
      <c r="C116" s="3"/>
      <c r="D116" s="104"/>
      <c r="E116" s="104"/>
      <c r="F116" s="104"/>
      <c r="G116" s="104"/>
      <c r="H116" s="104"/>
      <c r="I116" s="104"/>
      <c r="J116" s="104"/>
      <c r="K116" s="104"/>
      <c r="L116" s="10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04"/>
      <c r="C117" s="3"/>
      <c r="D117" s="104"/>
      <c r="E117" s="104"/>
      <c r="F117" s="104"/>
      <c r="G117" s="104"/>
      <c r="H117" s="104"/>
      <c r="I117" s="104"/>
      <c r="J117" s="104"/>
      <c r="K117" s="104"/>
      <c r="L117" s="10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04"/>
      <c r="C118" s="3"/>
      <c r="D118" s="104"/>
      <c r="E118" s="104"/>
      <c r="F118" s="104"/>
      <c r="G118" s="104"/>
      <c r="H118" s="104"/>
      <c r="I118" s="104"/>
      <c r="J118" s="104"/>
      <c r="K118" s="104"/>
      <c r="L118" s="10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04"/>
      <c r="C119" s="3"/>
      <c r="D119" s="104"/>
      <c r="E119" s="104"/>
      <c r="F119" s="104"/>
      <c r="G119" s="104"/>
      <c r="H119" s="104"/>
      <c r="I119" s="104"/>
      <c r="J119" s="104"/>
      <c r="K119" s="104"/>
      <c r="L119" s="10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04"/>
      <c r="C120" s="3"/>
      <c r="D120" s="104"/>
      <c r="E120" s="104"/>
      <c r="F120" s="104"/>
      <c r="G120" s="104"/>
      <c r="H120" s="104"/>
      <c r="I120" s="104"/>
      <c r="J120" s="104"/>
      <c r="K120" s="104"/>
      <c r="L120" s="10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04"/>
      <c r="C121" s="3"/>
      <c r="D121" s="104"/>
      <c r="E121" s="104"/>
      <c r="F121" s="104"/>
      <c r="G121" s="104"/>
      <c r="H121" s="104"/>
      <c r="I121" s="104"/>
      <c r="J121" s="104"/>
      <c r="K121" s="104"/>
      <c r="L121" s="10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04"/>
      <c r="C122" s="3"/>
      <c r="D122" s="104"/>
      <c r="E122" s="104"/>
      <c r="F122" s="104"/>
      <c r="G122" s="104"/>
      <c r="H122" s="104"/>
      <c r="I122" s="104"/>
      <c r="J122" s="104"/>
      <c r="K122" s="104"/>
      <c r="L122" s="10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04"/>
      <c r="C123" s="3"/>
      <c r="D123" s="104"/>
      <c r="E123" s="104"/>
      <c r="F123" s="104"/>
      <c r="G123" s="104"/>
      <c r="H123" s="104"/>
      <c r="I123" s="104"/>
      <c r="J123" s="104"/>
      <c r="K123" s="104"/>
      <c r="L123" s="10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04"/>
      <c r="C124" s="3"/>
      <c r="D124" s="104"/>
      <c r="E124" s="104"/>
      <c r="F124" s="104"/>
      <c r="G124" s="104"/>
      <c r="H124" s="104"/>
      <c r="I124" s="104"/>
      <c r="J124" s="104"/>
      <c r="K124" s="104"/>
      <c r="L124" s="10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04"/>
      <c r="C125" s="3"/>
      <c r="D125" s="104"/>
      <c r="E125" s="104"/>
      <c r="F125" s="104"/>
      <c r="G125" s="104"/>
      <c r="H125" s="104"/>
      <c r="I125" s="104"/>
      <c r="J125" s="104"/>
      <c r="K125" s="104"/>
      <c r="L125" s="10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04"/>
      <c r="C126" s="3"/>
      <c r="D126" s="104"/>
      <c r="E126" s="104"/>
      <c r="F126" s="104"/>
      <c r="G126" s="104"/>
      <c r="H126" s="104"/>
      <c r="I126" s="104"/>
      <c r="J126" s="104"/>
      <c r="K126" s="104"/>
      <c r="L126" s="10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04"/>
      <c r="C127" s="3"/>
      <c r="D127" s="104"/>
      <c r="E127" s="104"/>
      <c r="F127" s="104"/>
      <c r="G127" s="104"/>
      <c r="H127" s="104"/>
      <c r="I127" s="104"/>
      <c r="J127" s="104"/>
      <c r="K127" s="104"/>
      <c r="L127" s="10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04"/>
      <c r="C128" s="3"/>
      <c r="D128" s="104"/>
      <c r="E128" s="104"/>
      <c r="F128" s="104"/>
      <c r="G128" s="104"/>
      <c r="H128" s="104"/>
      <c r="I128" s="104"/>
      <c r="J128" s="104"/>
      <c r="K128" s="104"/>
      <c r="L128" s="10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04"/>
      <c r="C129" s="3"/>
      <c r="D129" s="104"/>
      <c r="E129" s="104"/>
      <c r="F129" s="104"/>
      <c r="G129" s="104"/>
      <c r="H129" s="104"/>
      <c r="I129" s="104"/>
      <c r="J129" s="104"/>
      <c r="K129" s="104"/>
      <c r="L129" s="10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04"/>
      <c r="C130" s="3"/>
      <c r="D130" s="104"/>
      <c r="E130" s="104"/>
      <c r="F130" s="104"/>
      <c r="G130" s="104"/>
      <c r="H130" s="104"/>
      <c r="I130" s="104"/>
      <c r="J130" s="104"/>
      <c r="K130" s="104"/>
      <c r="L130" s="10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04"/>
      <c r="C131" s="3"/>
      <c r="D131" s="104"/>
      <c r="E131" s="104"/>
      <c r="F131" s="104"/>
      <c r="G131" s="104"/>
      <c r="H131" s="104"/>
      <c r="I131" s="104"/>
      <c r="J131" s="104"/>
      <c r="K131" s="104"/>
      <c r="L131" s="10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04"/>
      <c r="C132" s="3"/>
      <c r="D132" s="104"/>
      <c r="E132" s="104"/>
      <c r="F132" s="104"/>
      <c r="G132" s="104"/>
      <c r="H132" s="104"/>
      <c r="I132" s="104"/>
      <c r="J132" s="104"/>
      <c r="K132" s="104"/>
      <c r="L132" s="10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04"/>
      <c r="C133" s="3"/>
      <c r="D133" s="104"/>
      <c r="E133" s="104"/>
      <c r="F133" s="104"/>
      <c r="G133" s="104"/>
      <c r="H133" s="104"/>
      <c r="I133" s="104"/>
      <c r="J133" s="104"/>
      <c r="K133" s="104"/>
      <c r="L133" s="10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04"/>
      <c r="C134" s="3"/>
      <c r="D134" s="104"/>
      <c r="E134" s="104"/>
      <c r="F134" s="104"/>
      <c r="G134" s="104"/>
      <c r="H134" s="104"/>
      <c r="I134" s="104"/>
      <c r="J134" s="104"/>
      <c r="K134" s="104"/>
      <c r="L134" s="10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04"/>
      <c r="C135" s="3"/>
      <c r="D135" s="104"/>
      <c r="E135" s="104"/>
      <c r="F135" s="104"/>
      <c r="G135" s="104"/>
      <c r="H135" s="104"/>
      <c r="I135" s="104"/>
      <c r="J135" s="104"/>
      <c r="K135" s="104"/>
      <c r="L135" s="10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04"/>
      <c r="C136" s="3"/>
      <c r="D136" s="104"/>
      <c r="E136" s="104"/>
      <c r="F136" s="104"/>
      <c r="G136" s="104"/>
      <c r="H136" s="104"/>
      <c r="I136" s="104"/>
      <c r="J136" s="104"/>
      <c r="K136" s="104"/>
      <c r="L136" s="10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04"/>
      <c r="C137" s="3"/>
      <c r="D137" s="104"/>
      <c r="E137" s="104"/>
      <c r="F137" s="104"/>
      <c r="G137" s="104"/>
      <c r="H137" s="104"/>
      <c r="I137" s="104"/>
      <c r="J137" s="104"/>
      <c r="K137" s="104"/>
      <c r="L137" s="10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04"/>
      <c r="C138" s="3"/>
      <c r="D138" s="104"/>
      <c r="E138" s="104"/>
      <c r="F138" s="104"/>
      <c r="G138" s="104"/>
      <c r="H138" s="104"/>
      <c r="I138" s="104"/>
      <c r="J138" s="104"/>
      <c r="K138" s="104"/>
      <c r="L138" s="10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04"/>
      <c r="C139" s="3"/>
      <c r="D139" s="104"/>
      <c r="E139" s="104"/>
      <c r="F139" s="104"/>
      <c r="G139" s="104"/>
      <c r="H139" s="104"/>
      <c r="I139" s="104"/>
      <c r="J139" s="104"/>
      <c r="K139" s="104"/>
      <c r="L139" s="10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04"/>
      <c r="C140" s="3"/>
      <c r="D140" s="104"/>
      <c r="E140" s="104"/>
      <c r="F140" s="104"/>
      <c r="G140" s="104"/>
      <c r="H140" s="104"/>
      <c r="I140" s="104"/>
      <c r="J140" s="104"/>
      <c r="K140" s="104"/>
      <c r="L140" s="10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04"/>
      <c r="C141" s="3"/>
      <c r="D141" s="104"/>
      <c r="E141" s="104"/>
      <c r="F141" s="104"/>
      <c r="G141" s="104"/>
      <c r="H141" s="104"/>
      <c r="I141" s="104"/>
      <c r="J141" s="104"/>
      <c r="K141" s="104"/>
      <c r="L141" s="10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04"/>
      <c r="C142" s="3"/>
      <c r="D142" s="104"/>
      <c r="E142" s="104"/>
      <c r="F142" s="104"/>
      <c r="G142" s="104"/>
      <c r="H142" s="104"/>
      <c r="I142" s="104"/>
      <c r="J142" s="104"/>
      <c r="K142" s="104"/>
      <c r="L142" s="10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04"/>
      <c r="C143" s="3"/>
      <c r="D143" s="104"/>
      <c r="E143" s="104"/>
      <c r="F143" s="104"/>
      <c r="G143" s="104"/>
      <c r="H143" s="104"/>
      <c r="I143" s="104"/>
      <c r="J143" s="104"/>
      <c r="K143" s="104"/>
      <c r="L143" s="10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04"/>
      <c r="C144" s="3"/>
      <c r="D144" s="104"/>
      <c r="E144" s="104"/>
      <c r="F144" s="104"/>
      <c r="G144" s="104"/>
      <c r="H144" s="104"/>
      <c r="I144" s="104"/>
      <c r="J144" s="104"/>
      <c r="K144" s="104"/>
      <c r="L144" s="10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04"/>
      <c r="C145" s="3"/>
      <c r="D145" s="104"/>
      <c r="E145" s="104"/>
      <c r="F145" s="104"/>
      <c r="G145" s="104"/>
      <c r="H145" s="104"/>
      <c r="I145" s="104"/>
      <c r="J145" s="104"/>
      <c r="K145" s="104"/>
      <c r="L145" s="10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04"/>
      <c r="C146" s="3"/>
      <c r="D146" s="104"/>
      <c r="E146" s="104"/>
      <c r="F146" s="104"/>
      <c r="G146" s="104"/>
      <c r="H146" s="104"/>
      <c r="I146" s="104"/>
      <c r="J146" s="104"/>
      <c r="K146" s="104"/>
      <c r="L146" s="10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04"/>
      <c r="C147" s="3"/>
      <c r="D147" s="104"/>
      <c r="E147" s="104"/>
      <c r="F147" s="104"/>
      <c r="G147" s="104"/>
      <c r="H147" s="104"/>
      <c r="I147" s="104"/>
      <c r="J147" s="104"/>
      <c r="K147" s="104"/>
      <c r="L147" s="10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04"/>
      <c r="C148" s="3"/>
      <c r="D148" s="104"/>
      <c r="E148" s="104"/>
      <c r="F148" s="104"/>
      <c r="G148" s="104"/>
      <c r="H148" s="104"/>
      <c r="I148" s="104"/>
      <c r="J148" s="104"/>
      <c r="K148" s="104"/>
      <c r="L148" s="10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04"/>
      <c r="C149" s="3"/>
      <c r="D149" s="104"/>
      <c r="E149" s="104"/>
      <c r="F149" s="104"/>
      <c r="G149" s="104"/>
      <c r="H149" s="104"/>
      <c r="I149" s="104"/>
      <c r="J149" s="104"/>
      <c r="K149" s="104"/>
      <c r="L149" s="10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04"/>
      <c r="C150" s="3"/>
      <c r="D150" s="104"/>
      <c r="E150" s="104"/>
      <c r="F150" s="104"/>
      <c r="G150" s="104"/>
      <c r="H150" s="104"/>
      <c r="I150" s="104"/>
      <c r="J150" s="104"/>
      <c r="K150" s="104"/>
      <c r="L150" s="10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04"/>
      <c r="C151" s="3"/>
      <c r="D151" s="104"/>
      <c r="E151" s="104"/>
      <c r="F151" s="104"/>
      <c r="G151" s="104"/>
      <c r="H151" s="104"/>
      <c r="I151" s="104"/>
      <c r="J151" s="104"/>
      <c r="K151" s="104"/>
      <c r="L151" s="10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04"/>
      <c r="C152" s="3"/>
      <c r="D152" s="104"/>
      <c r="E152" s="104"/>
      <c r="F152" s="104"/>
      <c r="G152" s="104"/>
      <c r="H152" s="104"/>
      <c r="I152" s="104"/>
      <c r="J152" s="104"/>
      <c r="K152" s="104"/>
      <c r="L152" s="10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04"/>
      <c r="C153" s="3"/>
      <c r="D153" s="104"/>
      <c r="E153" s="104"/>
      <c r="F153" s="104"/>
      <c r="G153" s="104"/>
      <c r="H153" s="104"/>
      <c r="I153" s="104"/>
      <c r="J153" s="104"/>
      <c r="K153" s="104"/>
      <c r="L153" s="10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04"/>
      <c r="C154" s="3"/>
      <c r="D154" s="104"/>
      <c r="E154" s="104"/>
      <c r="F154" s="104"/>
      <c r="G154" s="104"/>
      <c r="H154" s="104"/>
      <c r="I154" s="104"/>
      <c r="J154" s="104"/>
      <c r="K154" s="104"/>
      <c r="L154" s="10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04"/>
      <c r="C155" s="3"/>
      <c r="D155" s="104"/>
      <c r="E155" s="104"/>
      <c r="F155" s="104"/>
      <c r="G155" s="104"/>
      <c r="H155" s="104"/>
      <c r="I155" s="104"/>
      <c r="J155" s="104"/>
      <c r="K155" s="104"/>
      <c r="L155" s="10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04"/>
      <c r="C156" s="3"/>
      <c r="D156" s="104"/>
      <c r="E156" s="104"/>
      <c r="F156" s="104"/>
      <c r="G156" s="104"/>
      <c r="H156" s="104"/>
      <c r="I156" s="104"/>
      <c r="J156" s="104"/>
      <c r="K156" s="104"/>
      <c r="L156" s="10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04"/>
      <c r="C157" s="3"/>
      <c r="D157" s="104"/>
      <c r="E157" s="104"/>
      <c r="F157" s="104"/>
      <c r="G157" s="104"/>
      <c r="H157" s="104"/>
      <c r="I157" s="104"/>
      <c r="J157" s="104"/>
      <c r="K157" s="104"/>
      <c r="L157" s="10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04"/>
      <c r="C158" s="3"/>
      <c r="D158" s="104"/>
      <c r="E158" s="104"/>
      <c r="F158" s="104"/>
      <c r="G158" s="104"/>
      <c r="H158" s="104"/>
      <c r="I158" s="104"/>
      <c r="J158" s="104"/>
      <c r="K158" s="104"/>
      <c r="L158" s="10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04"/>
      <c r="C159" s="3"/>
      <c r="D159" s="104"/>
      <c r="E159" s="104"/>
      <c r="F159" s="104"/>
      <c r="G159" s="104"/>
      <c r="H159" s="104"/>
      <c r="I159" s="104"/>
      <c r="J159" s="104"/>
      <c r="K159" s="104"/>
      <c r="L159" s="10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04"/>
      <c r="C160" s="3"/>
      <c r="D160" s="104"/>
      <c r="E160" s="104"/>
      <c r="F160" s="104"/>
      <c r="G160" s="104"/>
      <c r="H160" s="104"/>
      <c r="I160" s="104"/>
      <c r="J160" s="104"/>
      <c r="K160" s="104"/>
      <c r="L160" s="10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04"/>
      <c r="C161" s="3"/>
      <c r="D161" s="104"/>
      <c r="E161" s="104"/>
      <c r="F161" s="104"/>
      <c r="G161" s="104"/>
      <c r="H161" s="104"/>
      <c r="I161" s="104"/>
      <c r="J161" s="104"/>
      <c r="K161" s="104"/>
      <c r="L161" s="10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04"/>
      <c r="C162" s="3"/>
      <c r="D162" s="104"/>
      <c r="E162" s="104"/>
      <c r="F162" s="104"/>
      <c r="G162" s="104"/>
      <c r="H162" s="104"/>
      <c r="I162" s="104"/>
      <c r="J162" s="104"/>
      <c r="K162" s="104"/>
      <c r="L162" s="10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04"/>
      <c r="C163" s="3"/>
      <c r="D163" s="104"/>
      <c r="E163" s="104"/>
      <c r="F163" s="104"/>
      <c r="G163" s="104"/>
      <c r="H163" s="104"/>
      <c r="I163" s="104"/>
      <c r="J163" s="104"/>
      <c r="K163" s="104"/>
      <c r="L163" s="10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04"/>
      <c r="C164" s="3"/>
      <c r="D164" s="104"/>
      <c r="E164" s="104"/>
      <c r="F164" s="104"/>
      <c r="G164" s="104"/>
      <c r="H164" s="104"/>
      <c r="I164" s="104"/>
      <c r="J164" s="104"/>
      <c r="K164" s="104"/>
      <c r="L164" s="10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04"/>
      <c r="C165" s="3"/>
      <c r="D165" s="104"/>
      <c r="E165" s="104"/>
      <c r="F165" s="104"/>
      <c r="G165" s="104"/>
      <c r="H165" s="104"/>
      <c r="I165" s="104"/>
      <c r="J165" s="104"/>
      <c r="K165" s="104"/>
      <c r="L165" s="10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04"/>
      <c r="C166" s="3"/>
      <c r="D166" s="104"/>
      <c r="E166" s="104"/>
      <c r="F166" s="104"/>
      <c r="G166" s="104"/>
      <c r="H166" s="104"/>
      <c r="I166" s="104"/>
      <c r="J166" s="104"/>
      <c r="K166" s="104"/>
      <c r="L166" s="10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04"/>
      <c r="C167" s="3"/>
      <c r="D167" s="104"/>
      <c r="E167" s="104"/>
      <c r="F167" s="104"/>
      <c r="G167" s="104"/>
      <c r="H167" s="104"/>
      <c r="I167" s="104"/>
      <c r="J167" s="104"/>
      <c r="K167" s="104"/>
      <c r="L167" s="10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04"/>
      <c r="C168" s="3"/>
      <c r="D168" s="104"/>
      <c r="E168" s="104"/>
      <c r="F168" s="104"/>
      <c r="G168" s="104"/>
      <c r="H168" s="104"/>
      <c r="I168" s="104"/>
      <c r="J168" s="104"/>
      <c r="K168" s="104"/>
      <c r="L168" s="10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04"/>
      <c r="C169" s="3"/>
      <c r="D169" s="104"/>
      <c r="E169" s="104"/>
      <c r="F169" s="104"/>
      <c r="G169" s="104"/>
      <c r="H169" s="104"/>
      <c r="I169" s="104"/>
      <c r="J169" s="104"/>
      <c r="K169" s="104"/>
      <c r="L169" s="10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04"/>
      <c r="C170" s="3"/>
      <c r="D170" s="104"/>
      <c r="E170" s="104"/>
      <c r="F170" s="104"/>
      <c r="G170" s="104"/>
      <c r="H170" s="104"/>
      <c r="I170" s="104"/>
      <c r="J170" s="104"/>
      <c r="K170" s="104"/>
      <c r="L170" s="10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04"/>
      <c r="C171" s="3"/>
      <c r="D171" s="104"/>
      <c r="E171" s="104"/>
      <c r="F171" s="104"/>
      <c r="G171" s="104"/>
      <c r="H171" s="104"/>
      <c r="I171" s="104"/>
      <c r="J171" s="104"/>
      <c r="K171" s="104"/>
      <c r="L171" s="10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04"/>
      <c r="C172" s="3"/>
      <c r="D172" s="104"/>
      <c r="E172" s="104"/>
      <c r="F172" s="104"/>
      <c r="G172" s="104"/>
      <c r="H172" s="104"/>
      <c r="I172" s="104"/>
      <c r="J172" s="104"/>
      <c r="K172" s="104"/>
      <c r="L172" s="10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04"/>
      <c r="C173" s="3"/>
      <c r="D173" s="104"/>
      <c r="E173" s="104"/>
      <c r="F173" s="104"/>
      <c r="G173" s="104"/>
      <c r="H173" s="104"/>
      <c r="I173" s="104"/>
      <c r="J173" s="104"/>
      <c r="K173" s="104"/>
      <c r="L173" s="10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04"/>
      <c r="C174" s="3"/>
      <c r="D174" s="104"/>
      <c r="E174" s="104"/>
      <c r="F174" s="104"/>
      <c r="G174" s="104"/>
      <c r="H174" s="104"/>
      <c r="I174" s="104"/>
      <c r="J174" s="104"/>
      <c r="K174" s="104"/>
      <c r="L174" s="10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04"/>
      <c r="C175" s="3"/>
      <c r="D175" s="104"/>
      <c r="E175" s="104"/>
      <c r="F175" s="104"/>
      <c r="G175" s="104"/>
      <c r="H175" s="104"/>
      <c r="I175" s="104"/>
      <c r="J175" s="104"/>
      <c r="K175" s="104"/>
      <c r="L175" s="10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04"/>
      <c r="C176" s="3"/>
      <c r="D176" s="104"/>
      <c r="E176" s="104"/>
      <c r="F176" s="104"/>
      <c r="G176" s="104"/>
      <c r="H176" s="104"/>
      <c r="I176" s="104"/>
      <c r="J176" s="104"/>
      <c r="K176" s="104"/>
      <c r="L176" s="10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04"/>
      <c r="C177" s="3"/>
      <c r="D177" s="104"/>
      <c r="E177" s="104"/>
      <c r="F177" s="104"/>
      <c r="G177" s="104"/>
      <c r="H177" s="104"/>
      <c r="I177" s="104"/>
      <c r="J177" s="104"/>
      <c r="K177" s="104"/>
      <c r="L177" s="10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04"/>
      <c r="C178" s="3"/>
      <c r="D178" s="104"/>
      <c r="E178" s="104"/>
      <c r="F178" s="104"/>
      <c r="G178" s="104"/>
      <c r="H178" s="104"/>
      <c r="I178" s="104"/>
      <c r="J178" s="104"/>
      <c r="K178" s="104"/>
      <c r="L178" s="10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04"/>
      <c r="C179" s="3"/>
      <c r="D179" s="104"/>
      <c r="E179" s="104"/>
      <c r="F179" s="104"/>
      <c r="G179" s="104"/>
      <c r="H179" s="104"/>
      <c r="I179" s="104"/>
      <c r="J179" s="104"/>
      <c r="K179" s="104"/>
      <c r="L179" s="10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04"/>
      <c r="C180" s="3"/>
      <c r="D180" s="104"/>
      <c r="E180" s="104"/>
      <c r="F180" s="104"/>
      <c r="G180" s="104"/>
      <c r="H180" s="104"/>
      <c r="I180" s="104"/>
      <c r="J180" s="104"/>
      <c r="K180" s="104"/>
      <c r="L180" s="10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04"/>
      <c r="C181" s="3"/>
      <c r="D181" s="104"/>
      <c r="E181" s="104"/>
      <c r="F181" s="104"/>
      <c r="G181" s="104"/>
      <c r="H181" s="104"/>
      <c r="I181" s="104"/>
      <c r="J181" s="104"/>
      <c r="K181" s="104"/>
      <c r="L181" s="10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04"/>
      <c r="C182" s="3"/>
      <c r="D182" s="104"/>
      <c r="E182" s="104"/>
      <c r="F182" s="104"/>
      <c r="G182" s="104"/>
      <c r="H182" s="104"/>
      <c r="I182" s="104"/>
      <c r="J182" s="104"/>
      <c r="K182" s="104"/>
      <c r="L182" s="10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04"/>
      <c r="C183" s="3"/>
      <c r="D183" s="104"/>
      <c r="E183" s="104"/>
      <c r="F183" s="104"/>
      <c r="G183" s="104"/>
      <c r="H183" s="104"/>
      <c r="I183" s="104"/>
      <c r="J183" s="104"/>
      <c r="K183" s="104"/>
      <c r="L183" s="10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04"/>
      <c r="C184" s="3"/>
      <c r="D184" s="104"/>
      <c r="E184" s="104"/>
      <c r="F184" s="104"/>
      <c r="G184" s="104"/>
      <c r="H184" s="104"/>
      <c r="I184" s="104"/>
      <c r="J184" s="104"/>
      <c r="K184" s="104"/>
      <c r="L184" s="10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04"/>
      <c r="C185" s="3"/>
      <c r="D185" s="104"/>
      <c r="E185" s="104"/>
      <c r="F185" s="104"/>
      <c r="G185" s="104"/>
      <c r="H185" s="104"/>
      <c r="I185" s="104"/>
      <c r="J185" s="104"/>
      <c r="K185" s="104"/>
      <c r="L185" s="10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04"/>
      <c r="C186" s="3"/>
      <c r="D186" s="104"/>
      <c r="E186" s="104"/>
      <c r="F186" s="104"/>
      <c r="G186" s="104"/>
      <c r="H186" s="104"/>
      <c r="I186" s="104"/>
      <c r="J186" s="104"/>
      <c r="K186" s="104"/>
      <c r="L186" s="10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04"/>
      <c r="C187" s="3"/>
      <c r="D187" s="104"/>
      <c r="E187" s="104"/>
      <c r="F187" s="104"/>
      <c r="G187" s="104"/>
      <c r="H187" s="104"/>
      <c r="I187" s="104"/>
      <c r="J187" s="104"/>
      <c r="K187" s="104"/>
      <c r="L187" s="10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04"/>
      <c r="C188" s="3"/>
      <c r="D188" s="104"/>
      <c r="E188" s="104"/>
      <c r="F188" s="104"/>
      <c r="G188" s="104"/>
      <c r="H188" s="104"/>
      <c r="I188" s="104"/>
      <c r="J188" s="104"/>
      <c r="K188" s="104"/>
      <c r="L188" s="10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04"/>
      <c r="C189" s="3"/>
      <c r="D189" s="104"/>
      <c r="E189" s="104"/>
      <c r="F189" s="104"/>
      <c r="G189" s="104"/>
      <c r="H189" s="104"/>
      <c r="I189" s="104"/>
      <c r="J189" s="104"/>
      <c r="K189" s="104"/>
      <c r="L189" s="10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04"/>
      <c r="C190" s="3"/>
      <c r="D190" s="104"/>
      <c r="E190" s="104"/>
      <c r="F190" s="104"/>
      <c r="G190" s="104"/>
      <c r="H190" s="104"/>
      <c r="I190" s="104"/>
      <c r="J190" s="104"/>
      <c r="K190" s="104"/>
      <c r="L190" s="10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04"/>
      <c r="C191" s="3"/>
      <c r="D191" s="104"/>
      <c r="E191" s="104"/>
      <c r="F191" s="104"/>
      <c r="G191" s="104"/>
      <c r="H191" s="104"/>
      <c r="I191" s="104"/>
      <c r="J191" s="104"/>
      <c r="K191" s="104"/>
      <c r="L191" s="10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04"/>
      <c r="C192" s="3"/>
      <c r="D192" s="104"/>
      <c r="E192" s="104"/>
      <c r="F192" s="104"/>
      <c r="G192" s="104"/>
      <c r="H192" s="104"/>
      <c r="I192" s="104"/>
      <c r="J192" s="104"/>
      <c r="K192" s="104"/>
      <c r="L192" s="10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04"/>
      <c r="C193" s="3"/>
      <c r="D193" s="104"/>
      <c r="E193" s="104"/>
      <c r="F193" s="104"/>
      <c r="G193" s="104"/>
      <c r="H193" s="104"/>
      <c r="I193" s="104"/>
      <c r="J193" s="104"/>
      <c r="K193" s="104"/>
      <c r="L193" s="10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04"/>
      <c r="C194" s="3"/>
      <c r="D194" s="104"/>
      <c r="E194" s="104"/>
      <c r="F194" s="104"/>
      <c r="G194" s="104"/>
      <c r="H194" s="104"/>
      <c r="I194" s="104"/>
      <c r="J194" s="104"/>
      <c r="K194" s="104"/>
      <c r="L194" s="10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04"/>
      <c r="C195" s="3"/>
      <c r="D195" s="104"/>
      <c r="E195" s="104"/>
      <c r="F195" s="104"/>
      <c r="G195" s="104"/>
      <c r="H195" s="104"/>
      <c r="I195" s="104"/>
      <c r="J195" s="104"/>
      <c r="K195" s="104"/>
      <c r="L195" s="10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04"/>
      <c r="C196" s="3"/>
      <c r="D196" s="104"/>
      <c r="E196" s="104"/>
      <c r="F196" s="104"/>
      <c r="G196" s="104"/>
      <c r="H196" s="104"/>
      <c r="I196" s="104"/>
      <c r="J196" s="104"/>
      <c r="K196" s="104"/>
      <c r="L196" s="10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04"/>
      <c r="C197" s="3"/>
      <c r="D197" s="104"/>
      <c r="E197" s="104"/>
      <c r="F197" s="104"/>
      <c r="G197" s="104"/>
      <c r="H197" s="104"/>
      <c r="I197" s="104"/>
      <c r="J197" s="104"/>
      <c r="K197" s="104"/>
      <c r="L197" s="10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04"/>
      <c r="C198" s="3"/>
      <c r="D198" s="104"/>
      <c r="E198" s="104"/>
      <c r="F198" s="104"/>
      <c r="G198" s="104"/>
      <c r="H198" s="104"/>
      <c r="I198" s="104"/>
      <c r="J198" s="104"/>
      <c r="K198" s="104"/>
      <c r="L198" s="10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04"/>
      <c r="C199" s="3"/>
      <c r="D199" s="104"/>
      <c r="E199" s="104"/>
      <c r="F199" s="104"/>
      <c r="G199" s="104"/>
      <c r="H199" s="104"/>
      <c r="I199" s="104"/>
      <c r="J199" s="104"/>
      <c r="K199" s="104"/>
      <c r="L199" s="10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04"/>
      <c r="C200" s="3"/>
      <c r="D200" s="104"/>
      <c r="E200" s="104"/>
      <c r="F200" s="104"/>
      <c r="G200" s="104"/>
      <c r="H200" s="104"/>
      <c r="I200" s="104"/>
      <c r="J200" s="104"/>
      <c r="K200" s="104"/>
      <c r="L200" s="10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04"/>
      <c r="C201" s="3"/>
      <c r="D201" s="104"/>
      <c r="E201" s="104"/>
      <c r="F201" s="104"/>
      <c r="G201" s="104"/>
      <c r="H201" s="104"/>
      <c r="I201" s="104"/>
      <c r="J201" s="104"/>
      <c r="K201" s="104"/>
      <c r="L201" s="10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04"/>
      <c r="C202" s="3"/>
      <c r="D202" s="104"/>
      <c r="E202" s="104"/>
      <c r="F202" s="104"/>
      <c r="G202" s="104"/>
      <c r="H202" s="104"/>
      <c r="I202" s="104"/>
      <c r="J202" s="104"/>
      <c r="K202" s="104"/>
      <c r="L202" s="10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04"/>
      <c r="C203" s="3"/>
      <c r="D203" s="104"/>
      <c r="E203" s="104"/>
      <c r="F203" s="104"/>
      <c r="G203" s="104"/>
      <c r="H203" s="104"/>
      <c r="I203" s="104"/>
      <c r="J203" s="104"/>
      <c r="K203" s="104"/>
      <c r="L203" s="10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04"/>
      <c r="C204" s="3"/>
      <c r="D204" s="104"/>
      <c r="E204" s="104"/>
      <c r="F204" s="104"/>
      <c r="G204" s="104"/>
      <c r="H204" s="104"/>
      <c r="I204" s="104"/>
      <c r="J204" s="104"/>
      <c r="K204" s="104"/>
      <c r="L204" s="10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04"/>
      <c r="C205" s="3"/>
      <c r="D205" s="104"/>
      <c r="E205" s="104"/>
      <c r="F205" s="104"/>
      <c r="G205" s="104"/>
      <c r="H205" s="104"/>
      <c r="I205" s="104"/>
      <c r="J205" s="104"/>
      <c r="K205" s="104"/>
      <c r="L205" s="10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04"/>
      <c r="C206" s="3"/>
      <c r="D206" s="104"/>
      <c r="E206" s="104"/>
      <c r="F206" s="104"/>
      <c r="G206" s="104"/>
      <c r="H206" s="104"/>
      <c r="I206" s="104"/>
      <c r="J206" s="104"/>
      <c r="K206" s="104"/>
      <c r="L206" s="10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04"/>
      <c r="C207" s="3"/>
      <c r="D207" s="104"/>
      <c r="E207" s="104"/>
      <c r="F207" s="104"/>
      <c r="G207" s="104"/>
      <c r="H207" s="104"/>
      <c r="I207" s="104"/>
      <c r="J207" s="104"/>
      <c r="K207" s="104"/>
      <c r="L207" s="10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04"/>
      <c r="C208" s="3"/>
      <c r="D208" s="104"/>
      <c r="E208" s="104"/>
      <c r="F208" s="104"/>
      <c r="G208" s="104"/>
      <c r="H208" s="104"/>
      <c r="I208" s="104"/>
      <c r="J208" s="104"/>
      <c r="K208" s="104"/>
      <c r="L208" s="10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04"/>
      <c r="C209" s="3"/>
      <c r="D209" s="104"/>
      <c r="E209" s="104"/>
      <c r="F209" s="104"/>
      <c r="G209" s="104"/>
      <c r="H209" s="104"/>
      <c r="I209" s="104"/>
      <c r="J209" s="104"/>
      <c r="K209" s="104"/>
      <c r="L209" s="10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04"/>
      <c r="C210" s="3"/>
      <c r="D210" s="104"/>
      <c r="E210" s="104"/>
      <c r="F210" s="104"/>
      <c r="G210" s="104"/>
      <c r="H210" s="104"/>
      <c r="I210" s="104"/>
      <c r="J210" s="104"/>
      <c r="K210" s="104"/>
      <c r="L210" s="10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04"/>
      <c r="C211" s="3"/>
      <c r="D211" s="104"/>
      <c r="E211" s="104"/>
      <c r="F211" s="104"/>
      <c r="G211" s="104"/>
      <c r="H211" s="104"/>
      <c r="I211" s="104"/>
      <c r="J211" s="104"/>
      <c r="K211" s="104"/>
      <c r="L211" s="10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04"/>
      <c r="C212" s="3"/>
      <c r="D212" s="104"/>
      <c r="E212" s="104"/>
      <c r="F212" s="104"/>
      <c r="G212" s="104"/>
      <c r="H212" s="104"/>
      <c r="I212" s="104"/>
      <c r="J212" s="104"/>
      <c r="K212" s="104"/>
      <c r="L212" s="10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04"/>
      <c r="C213" s="3"/>
      <c r="D213" s="104"/>
      <c r="E213" s="104"/>
      <c r="F213" s="104"/>
      <c r="G213" s="104"/>
      <c r="H213" s="104"/>
      <c r="I213" s="104"/>
      <c r="J213" s="104"/>
      <c r="K213" s="104"/>
      <c r="L213" s="10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04"/>
      <c r="C214" s="3"/>
      <c r="D214" s="104"/>
      <c r="E214" s="104"/>
      <c r="F214" s="104"/>
      <c r="G214" s="104"/>
      <c r="H214" s="104"/>
      <c r="I214" s="104"/>
      <c r="J214" s="104"/>
      <c r="K214" s="104"/>
      <c r="L214" s="10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04"/>
      <c r="C215" s="3"/>
      <c r="D215" s="104"/>
      <c r="E215" s="104"/>
      <c r="F215" s="104"/>
      <c r="G215" s="104"/>
      <c r="H215" s="104"/>
      <c r="I215" s="104"/>
      <c r="J215" s="104"/>
      <c r="K215" s="104"/>
      <c r="L215" s="10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04"/>
      <c r="C216" s="3"/>
      <c r="D216" s="104"/>
      <c r="E216" s="104"/>
      <c r="F216" s="104"/>
      <c r="G216" s="104"/>
      <c r="H216" s="104"/>
      <c r="I216" s="104"/>
      <c r="J216" s="104"/>
      <c r="K216" s="104"/>
      <c r="L216" s="10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04"/>
      <c r="C217" s="3"/>
      <c r="D217" s="104"/>
      <c r="E217" s="104"/>
      <c r="F217" s="104"/>
      <c r="G217" s="104"/>
      <c r="H217" s="104"/>
      <c r="I217" s="104"/>
      <c r="J217" s="104"/>
      <c r="K217" s="104"/>
      <c r="L217" s="10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104"/>
      <c r="C218" s="3"/>
      <c r="D218" s="104"/>
      <c r="E218" s="104"/>
      <c r="F218" s="104"/>
      <c r="G218" s="104"/>
      <c r="H218" s="104"/>
      <c r="I218" s="104"/>
      <c r="J218" s="104"/>
      <c r="K218" s="104"/>
      <c r="L218" s="10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104"/>
      <c r="C219" s="3"/>
      <c r="D219" s="104"/>
      <c r="E219" s="104"/>
      <c r="F219" s="104"/>
      <c r="G219" s="104"/>
      <c r="H219" s="104"/>
      <c r="I219" s="104"/>
      <c r="J219" s="104"/>
      <c r="K219" s="104"/>
      <c r="L219" s="10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104"/>
      <c r="E220" s="104"/>
      <c r="F220" s="104"/>
      <c r="G220" s="104"/>
      <c r="H220" s="104"/>
      <c r="I220" s="104"/>
      <c r="J220" s="104"/>
      <c r="K220" s="104"/>
      <c r="L220" s="10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D1:L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1.22" defaultRowHeight="15.0"/>
  <cols>
    <col customWidth="1" min="1" max="1" width="13.33"/>
    <col customWidth="1" min="2" max="2" width="30.0"/>
    <col customWidth="1" min="3" max="3" width="20.0"/>
    <col customWidth="1" min="4" max="12" width="18.33"/>
    <col customWidth="1" min="13" max="19" width="8.33"/>
    <col customWidth="1" min="20" max="26" width="11.11"/>
  </cols>
  <sheetData>
    <row r="1" ht="18.0" customHeight="1">
      <c r="A1" s="105"/>
      <c r="B1" s="106"/>
      <c r="C1" s="105"/>
      <c r="D1" s="107">
        <v>2026.0</v>
      </c>
      <c r="E1" s="108"/>
      <c r="F1" s="108"/>
      <c r="G1" s="108"/>
      <c r="H1" s="108"/>
      <c r="I1" s="108"/>
      <c r="J1" s="108"/>
      <c r="K1" s="108"/>
      <c r="L1" s="109"/>
      <c r="M1" s="17"/>
      <c r="N1" s="17"/>
      <c r="O1" s="17"/>
      <c r="P1" s="17"/>
      <c r="Q1" s="17"/>
      <c r="R1" s="17"/>
      <c r="S1" s="17"/>
      <c r="T1" s="3"/>
      <c r="U1" s="3"/>
      <c r="V1" s="3"/>
      <c r="W1" s="3"/>
      <c r="X1" s="3"/>
      <c r="Y1" s="3"/>
      <c r="Z1" s="3"/>
    </row>
    <row r="2" ht="15.75" customHeight="1">
      <c r="A2" s="110" t="s">
        <v>72</v>
      </c>
      <c r="B2" s="106"/>
      <c r="C2" s="105"/>
      <c r="D2" s="139" t="s">
        <v>33</v>
      </c>
      <c r="E2" s="139" t="s">
        <v>34</v>
      </c>
      <c r="F2" s="139" t="s">
        <v>35</v>
      </c>
      <c r="G2" s="139" t="s">
        <v>36</v>
      </c>
      <c r="H2" s="139" t="s">
        <v>37</v>
      </c>
      <c r="I2" s="139" t="s">
        <v>38</v>
      </c>
      <c r="J2" s="139" t="s">
        <v>39</v>
      </c>
      <c r="K2" s="139" t="s">
        <v>40</v>
      </c>
      <c r="L2" s="139" t="s">
        <v>41</v>
      </c>
      <c r="M2" s="17"/>
      <c r="N2" s="17"/>
      <c r="O2" s="17"/>
      <c r="P2" s="17"/>
      <c r="Q2" s="17"/>
      <c r="R2" s="17"/>
      <c r="S2" s="17"/>
      <c r="T2" s="3"/>
      <c r="U2" s="3"/>
      <c r="V2" s="3"/>
      <c r="W2" s="3"/>
      <c r="X2" s="3"/>
      <c r="Y2" s="3"/>
      <c r="Z2" s="3"/>
    </row>
    <row r="3" ht="15.75" customHeight="1">
      <c r="A3" s="140"/>
      <c r="B3" s="141" t="s">
        <v>80</v>
      </c>
      <c r="C3" s="142">
        <f t="shared" ref="C3:C8" si="1">SUM(D3:L3)</f>
        <v>810000</v>
      </c>
      <c r="D3" s="143"/>
      <c r="E3" s="143">
        <v>40000.0</v>
      </c>
      <c r="F3" s="143">
        <v>95000.0</v>
      </c>
      <c r="G3" s="143">
        <v>120000.0</v>
      </c>
      <c r="H3" s="143">
        <v>145000.0</v>
      </c>
      <c r="I3" s="143">
        <v>140000.0</v>
      </c>
      <c r="J3" s="143">
        <v>135000.0</v>
      </c>
      <c r="K3" s="143">
        <v>75000.0</v>
      </c>
      <c r="L3" s="143">
        <v>60000.0</v>
      </c>
      <c r="M3" s="17"/>
      <c r="N3" s="17"/>
      <c r="O3" s="17"/>
      <c r="P3" s="17"/>
      <c r="Q3" s="17"/>
      <c r="R3" s="17"/>
      <c r="S3" s="17"/>
      <c r="T3" s="3"/>
      <c r="U3" s="3"/>
      <c r="V3" s="3"/>
      <c r="W3" s="3"/>
      <c r="X3" s="3"/>
      <c r="Y3" s="3"/>
      <c r="Z3" s="3"/>
    </row>
    <row r="4" ht="16.5" customHeight="1">
      <c r="A4" s="114"/>
      <c r="B4" s="115" t="s">
        <v>81</v>
      </c>
      <c r="C4" s="115">
        <f t="shared" si="1"/>
        <v>120166.27</v>
      </c>
      <c r="D4" s="116">
        <f t="shared" ref="D4:L4" si="2">SUM(D5:D185)</f>
        <v>0</v>
      </c>
      <c r="E4" s="116">
        <f t="shared" si="2"/>
        <v>49324.14</v>
      </c>
      <c r="F4" s="116">
        <f t="shared" si="2"/>
        <v>37011.15</v>
      </c>
      <c r="G4" s="116">
        <f t="shared" si="2"/>
        <v>22544.44</v>
      </c>
      <c r="H4" s="116">
        <f t="shared" si="2"/>
        <v>11286.54</v>
      </c>
      <c r="I4" s="116">
        <f t="shared" si="2"/>
        <v>0</v>
      </c>
      <c r="J4" s="116">
        <f t="shared" si="2"/>
        <v>0</v>
      </c>
      <c r="K4" s="116">
        <f t="shared" si="2"/>
        <v>0</v>
      </c>
      <c r="L4" s="116">
        <f t="shared" si="2"/>
        <v>0</v>
      </c>
      <c r="M4" s="63"/>
      <c r="N4" s="63"/>
      <c r="O4" s="63"/>
      <c r="P4" s="63"/>
      <c r="Q4" s="63"/>
      <c r="R4" s="63"/>
      <c r="S4" s="63"/>
      <c r="T4" s="3"/>
      <c r="U4" s="3"/>
      <c r="V4" s="3"/>
      <c r="W4" s="3"/>
      <c r="X4" s="3"/>
      <c r="Y4" s="3"/>
      <c r="Z4" s="3"/>
    </row>
    <row r="5" ht="16.5" customHeight="1">
      <c r="A5" s="132">
        <v>801.0</v>
      </c>
      <c r="B5" s="138" t="s">
        <v>82</v>
      </c>
      <c r="C5" s="119">
        <f t="shared" si="1"/>
        <v>0</v>
      </c>
      <c r="D5" s="144"/>
      <c r="E5" s="144"/>
      <c r="F5" s="144"/>
      <c r="G5" s="144"/>
      <c r="H5" s="144"/>
      <c r="I5" s="144"/>
      <c r="J5" s="144"/>
      <c r="K5" s="123"/>
      <c r="L5" s="12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32">
        <v>281.0</v>
      </c>
      <c r="B6" s="138" t="s">
        <v>83</v>
      </c>
      <c r="C6" s="125">
        <f t="shared" si="1"/>
        <v>0</v>
      </c>
      <c r="D6" s="144"/>
      <c r="E6" s="144"/>
      <c r="F6" s="144"/>
      <c r="G6" s="144"/>
      <c r="H6" s="144"/>
      <c r="I6" s="144"/>
      <c r="J6" s="144"/>
      <c r="K6" s="128"/>
      <c r="L6" s="12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32">
        <v>1183.0</v>
      </c>
      <c r="B7" s="138" t="s">
        <v>84</v>
      </c>
      <c r="C7" s="125">
        <f t="shared" si="1"/>
        <v>160.38</v>
      </c>
      <c r="D7" s="144"/>
      <c r="E7" s="145">
        <v>160.38</v>
      </c>
      <c r="F7" s="144"/>
      <c r="G7" s="144"/>
      <c r="H7" s="144"/>
      <c r="I7" s="144"/>
      <c r="J7" s="144"/>
      <c r="K7" s="128"/>
      <c r="L7" s="12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32">
        <v>412.0</v>
      </c>
      <c r="B8" s="138" t="s">
        <v>85</v>
      </c>
      <c r="C8" s="125">
        <f t="shared" si="1"/>
        <v>1752.84</v>
      </c>
      <c r="D8" s="144"/>
      <c r="E8" s="144">
        <v>876.42</v>
      </c>
      <c r="F8" s="144">
        <v>876.42</v>
      </c>
      <c r="G8" s="144"/>
      <c r="H8" s="144"/>
      <c r="I8" s="144"/>
      <c r="J8" s="144"/>
      <c r="K8" s="128"/>
      <c r="L8" s="12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32">
        <v>1589.0</v>
      </c>
      <c r="B9" s="138" t="s">
        <v>86</v>
      </c>
      <c r="C9" s="125"/>
      <c r="D9" s="144"/>
      <c r="E9" s="145">
        <v>1650.48</v>
      </c>
      <c r="F9" s="144"/>
      <c r="G9" s="144"/>
      <c r="H9" s="144"/>
      <c r="I9" s="144"/>
      <c r="J9" s="144"/>
      <c r="K9" s="128"/>
      <c r="L9" s="12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32">
        <v>92.0</v>
      </c>
      <c r="B10" s="138" t="s">
        <v>87</v>
      </c>
      <c r="C10" s="125">
        <f>SUM(D10:L10)</f>
        <v>14333.14</v>
      </c>
      <c r="D10" s="144"/>
      <c r="E10" s="144"/>
      <c r="F10" s="144">
        <v>1122.76</v>
      </c>
      <c r="G10" s="144">
        <v>6384.75</v>
      </c>
      <c r="H10" s="144">
        <f>131.81+121.08+6522.34+50.4</f>
        <v>6825.63</v>
      </c>
      <c r="I10" s="144"/>
      <c r="J10" s="144"/>
      <c r="K10" s="128"/>
      <c r="L10" s="12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46">
        <v>1720.0</v>
      </c>
      <c r="B11" s="147" t="s">
        <v>88</v>
      </c>
      <c r="C11" s="125"/>
      <c r="D11" s="144"/>
      <c r="E11" s="145">
        <v>219.6</v>
      </c>
      <c r="F11" s="144"/>
      <c r="G11" s="144"/>
      <c r="H11" s="144"/>
      <c r="I11" s="144"/>
      <c r="J11" s="144"/>
      <c r="K11" s="128"/>
      <c r="L11" s="12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2">
        <v>131.0</v>
      </c>
      <c r="B12" s="138" t="s">
        <v>89</v>
      </c>
      <c r="C12" s="125">
        <f t="shared" ref="C12:C44" si="3">SUM(D12:L12)</f>
        <v>2000.8</v>
      </c>
      <c r="D12" s="144"/>
      <c r="E12" s="145">
        <v>2000.8</v>
      </c>
      <c r="F12" s="144"/>
      <c r="G12" s="144"/>
      <c r="H12" s="144"/>
      <c r="I12" s="144"/>
      <c r="J12" s="144"/>
      <c r="K12" s="128"/>
      <c r="L12" s="12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32">
        <v>147.0</v>
      </c>
      <c r="B13" s="138" t="s">
        <v>90</v>
      </c>
      <c r="C13" s="125">
        <f t="shared" si="3"/>
        <v>0</v>
      </c>
      <c r="D13" s="144"/>
      <c r="E13" s="144"/>
      <c r="F13" s="144"/>
      <c r="G13" s="144"/>
      <c r="H13" s="144"/>
      <c r="I13" s="144"/>
      <c r="J13" s="144"/>
      <c r="K13" s="128"/>
      <c r="L13" s="12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32">
        <v>325.0</v>
      </c>
      <c r="B14" s="138" t="s">
        <v>91</v>
      </c>
      <c r="C14" s="125">
        <f t="shared" si="3"/>
        <v>0</v>
      </c>
      <c r="D14" s="144"/>
      <c r="E14" s="144"/>
      <c r="F14" s="144"/>
      <c r="G14" s="144"/>
      <c r="H14" s="144"/>
      <c r="I14" s="144"/>
      <c r="J14" s="144"/>
      <c r="K14" s="128"/>
      <c r="L14" s="12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32">
        <v>916.0</v>
      </c>
      <c r="B15" s="138" t="s">
        <v>92</v>
      </c>
      <c r="C15" s="125">
        <f t="shared" si="3"/>
        <v>0</v>
      </c>
      <c r="D15" s="144"/>
      <c r="E15" s="144"/>
      <c r="F15" s="144"/>
      <c r="G15" s="144"/>
      <c r="H15" s="144"/>
      <c r="I15" s="144"/>
      <c r="J15" s="144"/>
      <c r="K15" s="128"/>
      <c r="L15" s="12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32">
        <v>790.0</v>
      </c>
      <c r="B16" s="138" t="s">
        <v>93</v>
      </c>
      <c r="C16" s="125">
        <f t="shared" si="3"/>
        <v>367.38</v>
      </c>
      <c r="D16" s="128"/>
      <c r="E16" s="127">
        <v>367.38</v>
      </c>
      <c r="F16" s="128"/>
      <c r="G16" s="128"/>
      <c r="H16" s="128"/>
      <c r="I16" s="128"/>
      <c r="J16" s="128"/>
      <c r="K16" s="128"/>
      <c r="L16" s="12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32">
        <v>1260.0</v>
      </c>
      <c r="B17" s="138" t="s">
        <v>94</v>
      </c>
      <c r="C17" s="125">
        <f t="shared" si="3"/>
        <v>0</v>
      </c>
      <c r="D17" s="128"/>
      <c r="E17" s="128"/>
      <c r="F17" s="128"/>
      <c r="G17" s="128"/>
      <c r="H17" s="128"/>
      <c r="I17" s="128"/>
      <c r="J17" s="128"/>
      <c r="K17" s="128"/>
      <c r="L17" s="12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32">
        <v>667.0</v>
      </c>
      <c r="B18" s="138" t="s">
        <v>95</v>
      </c>
      <c r="C18" s="125">
        <f t="shared" si="3"/>
        <v>0</v>
      </c>
      <c r="D18" s="128"/>
      <c r="E18" s="128"/>
      <c r="F18" s="128"/>
      <c r="G18" s="128"/>
      <c r="H18" s="128"/>
      <c r="I18" s="128"/>
      <c r="J18" s="128"/>
      <c r="K18" s="128"/>
      <c r="L18" s="12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32">
        <v>1298.0</v>
      </c>
      <c r="B19" s="138" t="s">
        <v>96</v>
      </c>
      <c r="C19" s="125">
        <f t="shared" si="3"/>
        <v>0</v>
      </c>
      <c r="D19" s="128"/>
      <c r="E19" s="128"/>
      <c r="F19" s="128"/>
      <c r="G19" s="128"/>
      <c r="H19" s="128"/>
      <c r="I19" s="128"/>
      <c r="J19" s="128"/>
      <c r="K19" s="128"/>
      <c r="L19" s="12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32">
        <v>758.0</v>
      </c>
      <c r="B20" s="138" t="s">
        <v>97</v>
      </c>
      <c r="C20" s="125">
        <f t="shared" si="3"/>
        <v>0</v>
      </c>
      <c r="D20" s="128"/>
      <c r="E20" s="128"/>
      <c r="F20" s="128"/>
      <c r="G20" s="128"/>
      <c r="H20" s="128"/>
      <c r="I20" s="128"/>
      <c r="J20" s="128"/>
      <c r="K20" s="128"/>
      <c r="L20" s="12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2">
        <v>74.0</v>
      </c>
      <c r="B21" s="138" t="s">
        <v>98</v>
      </c>
      <c r="C21" s="125">
        <f t="shared" si="3"/>
        <v>3537.31</v>
      </c>
      <c r="D21" s="128"/>
      <c r="E21" s="128"/>
      <c r="F21" s="127">
        <v>3537.31</v>
      </c>
      <c r="G21" s="128"/>
      <c r="H21" s="128"/>
      <c r="I21" s="128"/>
      <c r="J21" s="128"/>
      <c r="K21" s="128"/>
      <c r="L21" s="12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2">
        <v>399.0</v>
      </c>
      <c r="B22" s="138" t="s">
        <v>99</v>
      </c>
      <c r="C22" s="125">
        <f t="shared" si="3"/>
        <v>0</v>
      </c>
      <c r="D22" s="128"/>
      <c r="E22" s="128"/>
      <c r="F22" s="128"/>
      <c r="G22" s="128"/>
      <c r="H22" s="128"/>
      <c r="I22" s="128"/>
      <c r="J22" s="128"/>
      <c r="K22" s="128"/>
      <c r="L22" s="12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32">
        <v>864.0</v>
      </c>
      <c r="B23" s="138" t="s">
        <v>100</v>
      </c>
      <c r="C23" s="125">
        <f t="shared" si="3"/>
        <v>80</v>
      </c>
      <c r="D23" s="128"/>
      <c r="E23" s="128">
        <v>80.0</v>
      </c>
      <c r="F23" s="128"/>
      <c r="G23" s="128"/>
      <c r="H23" s="128"/>
      <c r="I23" s="128"/>
      <c r="J23" s="128"/>
      <c r="K23" s="128"/>
      <c r="L23" s="12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2">
        <v>208.0</v>
      </c>
      <c r="B24" s="138" t="s">
        <v>101</v>
      </c>
      <c r="C24" s="125">
        <f t="shared" si="3"/>
        <v>666.12</v>
      </c>
      <c r="D24" s="128"/>
      <c r="E24" s="128"/>
      <c r="F24" s="128"/>
      <c r="G24" s="128">
        <v>666.12</v>
      </c>
      <c r="H24" s="128"/>
      <c r="I24" s="128"/>
      <c r="J24" s="128"/>
      <c r="K24" s="128"/>
      <c r="L24" s="12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2">
        <v>1137.0</v>
      </c>
      <c r="B25" s="138" t="s">
        <v>102</v>
      </c>
      <c r="C25" s="125">
        <f t="shared" si="3"/>
        <v>0</v>
      </c>
      <c r="D25" s="128"/>
      <c r="E25" s="128"/>
      <c r="F25" s="128"/>
      <c r="G25" s="128"/>
      <c r="H25" s="128"/>
      <c r="I25" s="128"/>
      <c r="J25" s="128"/>
      <c r="K25" s="128"/>
      <c r="L25" s="12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2">
        <v>125.0</v>
      </c>
      <c r="B26" s="138" t="s">
        <v>103</v>
      </c>
      <c r="C26" s="125">
        <f t="shared" si="3"/>
        <v>1086</v>
      </c>
      <c r="D26" s="128"/>
      <c r="E26" s="128"/>
      <c r="F26" s="127">
        <v>1086.0</v>
      </c>
      <c r="G26" s="128"/>
      <c r="H26" s="128"/>
      <c r="I26" s="128"/>
      <c r="J26" s="128"/>
      <c r="K26" s="128"/>
      <c r="L26" s="12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2">
        <v>315.0</v>
      </c>
      <c r="B27" s="138" t="s">
        <v>104</v>
      </c>
      <c r="C27" s="125">
        <f t="shared" si="3"/>
        <v>0</v>
      </c>
      <c r="D27" s="128"/>
      <c r="E27" s="128"/>
      <c r="F27" s="128"/>
      <c r="G27" s="128"/>
      <c r="H27" s="128"/>
      <c r="I27" s="128"/>
      <c r="J27" s="128"/>
      <c r="K27" s="128"/>
      <c r="L27" s="12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2">
        <v>423.0</v>
      </c>
      <c r="B28" s="138" t="s">
        <v>105</v>
      </c>
      <c r="C28" s="125">
        <f t="shared" si="3"/>
        <v>2650.14</v>
      </c>
      <c r="D28" s="128"/>
      <c r="E28" s="128">
        <f>400.13+338.94</f>
        <v>739.07</v>
      </c>
      <c r="F28" s="128">
        <f>78.98+64.3+568.07+749.38</f>
        <v>1460.73</v>
      </c>
      <c r="G28" s="127">
        <f>63.25+387.09</f>
        <v>450.34</v>
      </c>
      <c r="H28" s="128"/>
      <c r="I28" s="128"/>
      <c r="J28" s="128"/>
      <c r="K28" s="128"/>
      <c r="L28" s="12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2">
        <v>417.0</v>
      </c>
      <c r="B29" s="138" t="s">
        <v>106</v>
      </c>
      <c r="C29" s="125">
        <f t="shared" si="3"/>
        <v>51.48</v>
      </c>
      <c r="D29" s="128"/>
      <c r="E29" s="128">
        <v>51.48</v>
      </c>
      <c r="F29" s="128"/>
      <c r="G29" s="128"/>
      <c r="H29" s="128"/>
      <c r="I29" s="128"/>
      <c r="J29" s="128"/>
      <c r="K29" s="128"/>
      <c r="L29" s="12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32">
        <v>369.0</v>
      </c>
      <c r="B30" s="138" t="s">
        <v>107</v>
      </c>
      <c r="C30" s="125">
        <f t="shared" si="3"/>
        <v>0</v>
      </c>
      <c r="D30" s="128"/>
      <c r="E30" s="128"/>
      <c r="F30" s="128"/>
      <c r="G30" s="128"/>
      <c r="H30" s="128"/>
      <c r="I30" s="128"/>
      <c r="J30" s="128"/>
      <c r="K30" s="128"/>
      <c r="L30" s="12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2">
        <v>1003.0</v>
      </c>
      <c r="B31" s="138" t="s">
        <v>108</v>
      </c>
      <c r="C31" s="125">
        <f t="shared" si="3"/>
        <v>0</v>
      </c>
      <c r="D31" s="128"/>
      <c r="E31" s="128"/>
      <c r="F31" s="128"/>
      <c r="G31" s="128"/>
      <c r="H31" s="128"/>
      <c r="I31" s="128"/>
      <c r="J31" s="128"/>
      <c r="K31" s="128"/>
      <c r="L31" s="12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46">
        <v>226.0</v>
      </c>
      <c r="B32" s="147" t="s">
        <v>109</v>
      </c>
      <c r="C32" s="125">
        <f t="shared" si="3"/>
        <v>768.94</v>
      </c>
      <c r="D32" s="128"/>
      <c r="E32" s="127">
        <v>768.94</v>
      </c>
      <c r="F32" s="128"/>
      <c r="G32" s="128"/>
      <c r="H32" s="128"/>
      <c r="I32" s="128"/>
      <c r="J32" s="128"/>
      <c r="K32" s="128"/>
      <c r="L32" s="12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2">
        <v>7.0</v>
      </c>
      <c r="B33" s="138" t="s">
        <v>110</v>
      </c>
      <c r="C33" s="125">
        <f t="shared" si="3"/>
        <v>0</v>
      </c>
      <c r="D33" s="128"/>
      <c r="E33" s="128"/>
      <c r="F33" s="128"/>
      <c r="G33" s="128"/>
      <c r="H33" s="128"/>
      <c r="I33" s="128"/>
      <c r="J33" s="128"/>
      <c r="K33" s="128"/>
      <c r="L33" s="12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2">
        <v>161.0</v>
      </c>
      <c r="B34" s="138" t="s">
        <v>111</v>
      </c>
      <c r="C34" s="125">
        <f t="shared" si="3"/>
        <v>11086.18</v>
      </c>
      <c r="D34" s="128"/>
      <c r="E34" s="128">
        <v>7289.58</v>
      </c>
      <c r="F34" s="128">
        <f>9241.54-E34</f>
        <v>1951.96</v>
      </c>
      <c r="G34" s="127">
        <v>1844.64</v>
      </c>
      <c r="H34" s="128"/>
      <c r="I34" s="128"/>
      <c r="J34" s="128"/>
      <c r="K34" s="128"/>
      <c r="L34" s="12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32">
        <v>32.0</v>
      </c>
      <c r="B35" s="138" t="s">
        <v>112</v>
      </c>
      <c r="C35" s="125">
        <f t="shared" si="3"/>
        <v>0</v>
      </c>
      <c r="D35" s="128"/>
      <c r="E35" s="128"/>
      <c r="F35" s="128"/>
      <c r="G35" s="128"/>
      <c r="H35" s="128"/>
      <c r="I35" s="128"/>
      <c r="J35" s="128"/>
      <c r="K35" s="128"/>
      <c r="L35" s="12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32">
        <v>1003.0</v>
      </c>
      <c r="B36" s="138" t="s">
        <v>108</v>
      </c>
      <c r="C36" s="125">
        <f t="shared" si="3"/>
        <v>0</v>
      </c>
      <c r="D36" s="128"/>
      <c r="E36" s="128"/>
      <c r="F36" s="128"/>
      <c r="G36" s="128"/>
      <c r="H36" s="128"/>
      <c r="I36" s="128"/>
      <c r="J36" s="128"/>
      <c r="K36" s="128"/>
      <c r="L36" s="12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32">
        <v>133.0</v>
      </c>
      <c r="B37" s="138" t="s">
        <v>113</v>
      </c>
      <c r="C37" s="125">
        <f t="shared" si="3"/>
        <v>5951.6</v>
      </c>
      <c r="D37" s="128"/>
      <c r="E37" s="128"/>
      <c r="F37" s="128">
        <v>543.4</v>
      </c>
      <c r="G37" s="128">
        <f>4664.63-F37</f>
        <v>4121.23</v>
      </c>
      <c r="H37" s="128">
        <v>1286.97</v>
      </c>
      <c r="I37" s="128"/>
      <c r="J37" s="128"/>
      <c r="K37" s="128"/>
      <c r="L37" s="12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2">
        <v>672.0</v>
      </c>
      <c r="B38" s="138" t="s">
        <v>114</v>
      </c>
      <c r="C38" s="125">
        <f t="shared" si="3"/>
        <v>0</v>
      </c>
      <c r="D38" s="128"/>
      <c r="E38" s="128"/>
      <c r="F38" s="128"/>
      <c r="G38" s="128"/>
      <c r="H38" s="128"/>
      <c r="I38" s="128"/>
      <c r="J38" s="128"/>
      <c r="K38" s="128"/>
      <c r="L38" s="12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32">
        <v>127.0</v>
      </c>
      <c r="B39" s="138" t="s">
        <v>115</v>
      </c>
      <c r="C39" s="125">
        <f t="shared" si="3"/>
        <v>969.9</v>
      </c>
      <c r="D39" s="128"/>
      <c r="E39" s="127">
        <v>969.9</v>
      </c>
      <c r="F39" s="128"/>
      <c r="G39" s="128"/>
      <c r="H39" s="128"/>
      <c r="I39" s="128"/>
      <c r="J39" s="128"/>
      <c r="K39" s="128"/>
      <c r="L39" s="12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32">
        <v>179.0</v>
      </c>
      <c r="B40" s="138" t="s">
        <v>116</v>
      </c>
      <c r="C40" s="125">
        <f t="shared" si="3"/>
        <v>891</v>
      </c>
      <c r="D40" s="128"/>
      <c r="E40" s="127">
        <v>891.0</v>
      </c>
      <c r="F40" s="128"/>
      <c r="G40" s="128"/>
      <c r="H40" s="128"/>
      <c r="I40" s="128"/>
      <c r="J40" s="128"/>
      <c r="K40" s="128"/>
      <c r="L40" s="12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32">
        <v>158.0</v>
      </c>
      <c r="B41" s="138" t="s">
        <v>117</v>
      </c>
      <c r="C41" s="125">
        <f t="shared" si="3"/>
        <v>170</v>
      </c>
      <c r="D41" s="128"/>
      <c r="E41" s="128"/>
      <c r="F41" s="127">
        <v>85.0</v>
      </c>
      <c r="G41" s="128">
        <v>85.0</v>
      </c>
      <c r="H41" s="128"/>
      <c r="I41" s="128"/>
      <c r="J41" s="128"/>
      <c r="K41" s="128"/>
      <c r="L41" s="12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32">
        <v>4.0</v>
      </c>
      <c r="B42" s="138" t="s">
        <v>118</v>
      </c>
      <c r="C42" s="125">
        <f t="shared" si="3"/>
        <v>395.9</v>
      </c>
      <c r="D42" s="128"/>
      <c r="E42" s="128">
        <v>117.51</v>
      </c>
      <c r="F42" s="127">
        <v>278.39</v>
      </c>
      <c r="G42" s="128"/>
      <c r="H42" s="128"/>
      <c r="I42" s="128"/>
      <c r="J42" s="128"/>
      <c r="K42" s="128"/>
      <c r="L42" s="12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32">
        <v>353.0</v>
      </c>
      <c r="B43" s="138" t="s">
        <v>119</v>
      </c>
      <c r="C43" s="125">
        <f t="shared" si="3"/>
        <v>0</v>
      </c>
      <c r="D43" s="136"/>
      <c r="E43" s="128"/>
      <c r="F43" s="128"/>
      <c r="G43" s="128"/>
      <c r="H43" s="128"/>
      <c r="I43" s="128"/>
      <c r="J43" s="128"/>
      <c r="K43" s="128"/>
      <c r="L43" s="12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32">
        <v>732.0</v>
      </c>
      <c r="B44" s="138" t="s">
        <v>120</v>
      </c>
      <c r="C44" s="125">
        <f t="shared" si="3"/>
        <v>0</v>
      </c>
      <c r="D44" s="128"/>
      <c r="E44" s="128"/>
      <c r="F44" s="128"/>
      <c r="G44" s="128"/>
      <c r="H44" s="128"/>
      <c r="I44" s="128"/>
      <c r="J44" s="128"/>
      <c r="K44" s="128"/>
      <c r="L44" s="12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46">
        <v>1091.0</v>
      </c>
      <c r="B45" s="147" t="s">
        <v>121</v>
      </c>
      <c r="C45" s="125"/>
      <c r="D45" s="128"/>
      <c r="E45" s="127">
        <v>3416.0</v>
      </c>
      <c r="F45" s="128"/>
      <c r="G45" s="128"/>
      <c r="H45" s="128"/>
      <c r="I45" s="128"/>
      <c r="J45" s="128"/>
      <c r="K45" s="128"/>
      <c r="L45" s="12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32">
        <v>145.0</v>
      </c>
      <c r="B46" s="138" t="s">
        <v>122</v>
      </c>
      <c r="C46" s="125">
        <f t="shared" ref="C46:C65" si="4">SUM(D46:L46)</f>
        <v>7002.86</v>
      </c>
      <c r="D46" s="128"/>
      <c r="E46" s="128"/>
      <c r="F46" s="128">
        <v>7002.86</v>
      </c>
      <c r="G46" s="128"/>
      <c r="H46" s="128"/>
      <c r="I46" s="128"/>
      <c r="J46" s="128"/>
      <c r="K46" s="128"/>
      <c r="L46" s="12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32">
        <v>1104.0</v>
      </c>
      <c r="B47" s="138" t="s">
        <v>123</v>
      </c>
      <c r="C47" s="125">
        <f t="shared" si="4"/>
        <v>3985.15</v>
      </c>
      <c r="D47" s="128"/>
      <c r="E47" s="128">
        <v>457.04</v>
      </c>
      <c r="F47" s="128">
        <f>2414.94-E47</f>
        <v>1957.9</v>
      </c>
      <c r="G47" s="128">
        <f>3985.15-F47-E47</f>
        <v>1570.21</v>
      </c>
      <c r="H47" s="128"/>
      <c r="I47" s="128"/>
      <c r="J47" s="128"/>
      <c r="K47" s="128"/>
      <c r="L47" s="12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32">
        <v>921.0</v>
      </c>
      <c r="B48" s="138" t="s">
        <v>124</v>
      </c>
      <c r="C48" s="125">
        <f t="shared" si="4"/>
        <v>0</v>
      </c>
      <c r="D48" s="128"/>
      <c r="E48" s="128"/>
      <c r="F48" s="128"/>
      <c r="G48" s="128"/>
      <c r="H48" s="128"/>
      <c r="I48" s="128"/>
      <c r="J48" s="128"/>
      <c r="K48" s="128"/>
      <c r="L48" s="12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32">
        <v>815.0</v>
      </c>
      <c r="B49" s="138" t="s">
        <v>125</v>
      </c>
      <c r="C49" s="125">
        <f t="shared" si="4"/>
        <v>0</v>
      </c>
      <c r="D49" s="128"/>
      <c r="E49" s="128"/>
      <c r="F49" s="128"/>
      <c r="G49" s="128"/>
      <c r="H49" s="128"/>
      <c r="I49" s="128"/>
      <c r="J49" s="128"/>
      <c r="K49" s="128"/>
      <c r="L49" s="12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46">
        <v>1706.0</v>
      </c>
      <c r="B50" s="147" t="s">
        <v>126</v>
      </c>
      <c r="C50" s="125">
        <f t="shared" si="4"/>
        <v>1144.74</v>
      </c>
      <c r="D50" s="128"/>
      <c r="E50" s="127">
        <v>1144.74</v>
      </c>
      <c r="F50" s="128"/>
      <c r="G50" s="128"/>
      <c r="H50" s="128"/>
      <c r="I50" s="128"/>
      <c r="J50" s="128"/>
      <c r="K50" s="128"/>
      <c r="L50" s="12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46">
        <v>929.0</v>
      </c>
      <c r="B51" s="147" t="s">
        <v>127</v>
      </c>
      <c r="C51" s="125">
        <f t="shared" si="4"/>
        <v>681.98</v>
      </c>
      <c r="D51" s="128"/>
      <c r="E51" s="127">
        <v>681.98</v>
      </c>
      <c r="F51" s="128"/>
      <c r="G51" s="128"/>
      <c r="H51" s="128"/>
      <c r="I51" s="128"/>
      <c r="J51" s="128"/>
      <c r="K51" s="128"/>
      <c r="L51" s="12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32">
        <v>1153.0</v>
      </c>
      <c r="B52" s="138" t="s">
        <v>128</v>
      </c>
      <c r="C52" s="125">
        <f t="shared" si="4"/>
        <v>0</v>
      </c>
      <c r="D52" s="128"/>
      <c r="E52" s="128"/>
      <c r="F52" s="128"/>
      <c r="G52" s="128"/>
      <c r="H52" s="128"/>
      <c r="I52" s="128"/>
      <c r="J52" s="128"/>
      <c r="K52" s="128"/>
      <c r="L52" s="12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32">
        <v>718.0</v>
      </c>
      <c r="B53" s="138" t="s">
        <v>129</v>
      </c>
      <c r="C53" s="125">
        <f t="shared" si="4"/>
        <v>0</v>
      </c>
      <c r="D53" s="128"/>
      <c r="E53" s="128"/>
      <c r="F53" s="128"/>
      <c r="G53" s="128"/>
      <c r="H53" s="128"/>
      <c r="I53" s="128"/>
      <c r="J53" s="128"/>
      <c r="K53" s="128"/>
      <c r="L53" s="12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32">
        <v>1303.0</v>
      </c>
      <c r="B54" s="138" t="s">
        <v>130</v>
      </c>
      <c r="C54" s="125">
        <f t="shared" si="4"/>
        <v>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32">
        <v>1.0</v>
      </c>
      <c r="B55" s="138" t="s">
        <v>131</v>
      </c>
      <c r="C55" s="125">
        <f t="shared" si="4"/>
        <v>24287.38</v>
      </c>
      <c r="D55" s="128"/>
      <c r="E55" s="128">
        <v>14277.13</v>
      </c>
      <c r="F55" s="128">
        <f>19617.59-E55</f>
        <v>5340.46</v>
      </c>
      <c r="G55" s="128">
        <f>24287.38-F55-E55</f>
        <v>4669.79</v>
      </c>
      <c r="H55" s="128"/>
      <c r="I55" s="128"/>
      <c r="J55" s="128"/>
      <c r="K55" s="128"/>
      <c r="L55" s="12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32">
        <v>497.0</v>
      </c>
      <c r="B56" s="138" t="s">
        <v>132</v>
      </c>
      <c r="C56" s="125">
        <f t="shared" si="4"/>
        <v>0</v>
      </c>
      <c r="D56" s="128"/>
      <c r="E56" s="128"/>
      <c r="F56" s="128"/>
      <c r="G56" s="128"/>
      <c r="H56" s="128"/>
      <c r="I56" s="128"/>
      <c r="J56" s="128"/>
      <c r="K56" s="128"/>
      <c r="L56" s="12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32">
        <v>186.0</v>
      </c>
      <c r="B57" s="138" t="s">
        <v>133</v>
      </c>
      <c r="C57" s="125">
        <f t="shared" si="4"/>
        <v>2745</v>
      </c>
      <c r="D57" s="128"/>
      <c r="E57" s="128">
        <v>2135.0</v>
      </c>
      <c r="F57" s="127">
        <v>0.0</v>
      </c>
      <c r="G57" s="128">
        <v>610.0</v>
      </c>
      <c r="H57" s="128"/>
      <c r="I57" s="128"/>
      <c r="J57" s="128"/>
      <c r="K57" s="128"/>
      <c r="L57" s="12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32">
        <v>791.0</v>
      </c>
      <c r="B58" s="138" t="s">
        <v>134</v>
      </c>
      <c r="C58" s="125">
        <f t="shared" si="4"/>
        <v>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32">
        <v>146.0</v>
      </c>
      <c r="B59" s="138" t="s">
        <v>135</v>
      </c>
      <c r="C59" s="125">
        <f t="shared" si="4"/>
        <v>149.01</v>
      </c>
      <c r="D59" s="128"/>
      <c r="E59" s="128">
        <v>114.0</v>
      </c>
      <c r="F59" s="127">
        <v>35.01</v>
      </c>
      <c r="G59" s="128"/>
      <c r="H59" s="128"/>
      <c r="I59" s="128"/>
      <c r="J59" s="128"/>
      <c r="K59" s="128"/>
      <c r="L59" s="12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32">
        <v>554.0</v>
      </c>
      <c r="B60" s="138" t="s">
        <v>136</v>
      </c>
      <c r="C60" s="125">
        <f t="shared" si="4"/>
        <v>0</v>
      </c>
      <c r="D60" s="128"/>
      <c r="E60" s="128"/>
      <c r="F60" s="128"/>
      <c r="G60" s="128"/>
      <c r="H60" s="128"/>
      <c r="I60" s="128"/>
      <c r="J60" s="128"/>
      <c r="K60" s="128"/>
      <c r="L60" s="12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32">
        <v>104.0</v>
      </c>
      <c r="B61" s="138" t="s">
        <v>137</v>
      </c>
      <c r="C61" s="125">
        <f t="shared" si="4"/>
        <v>140</v>
      </c>
      <c r="D61" s="128"/>
      <c r="E61" s="128"/>
      <c r="F61" s="127">
        <v>140.0</v>
      </c>
      <c r="G61" s="128"/>
      <c r="H61" s="128"/>
      <c r="I61" s="128"/>
      <c r="J61" s="128"/>
      <c r="K61" s="128"/>
      <c r="L61" s="12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32">
        <v>64.0</v>
      </c>
      <c r="B62" s="138" t="s">
        <v>138</v>
      </c>
      <c r="C62" s="125">
        <f t="shared" si="4"/>
        <v>2257.01</v>
      </c>
      <c r="D62" s="128"/>
      <c r="E62" s="127">
        <v>1952.0</v>
      </c>
      <c r="F62" s="127">
        <v>305.01</v>
      </c>
      <c r="G62" s="128"/>
      <c r="H62" s="128"/>
      <c r="I62" s="128"/>
      <c r="J62" s="128"/>
      <c r="K62" s="128"/>
      <c r="L62" s="12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32">
        <v>137.0</v>
      </c>
      <c r="B63" s="138" t="s">
        <v>139</v>
      </c>
      <c r="C63" s="125">
        <f t="shared" si="4"/>
        <v>0</v>
      </c>
      <c r="D63" s="128"/>
      <c r="E63" s="128"/>
      <c r="F63" s="128"/>
      <c r="G63" s="128"/>
      <c r="H63" s="128"/>
      <c r="I63" s="128"/>
      <c r="J63" s="128"/>
      <c r="K63" s="128"/>
      <c r="L63" s="12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32">
        <v>80.0</v>
      </c>
      <c r="B64" s="138" t="s">
        <v>140</v>
      </c>
      <c r="C64" s="125">
        <f t="shared" si="4"/>
        <v>0</v>
      </c>
      <c r="D64" s="128"/>
      <c r="E64" s="128"/>
      <c r="F64" s="128"/>
      <c r="G64" s="128"/>
      <c r="H64" s="128"/>
      <c r="I64" s="128"/>
      <c r="J64" s="128"/>
      <c r="K64" s="128"/>
      <c r="L64" s="12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32">
        <v>123.0</v>
      </c>
      <c r="B65" s="138" t="s">
        <v>141</v>
      </c>
      <c r="C65" s="125">
        <f t="shared" si="4"/>
        <v>6316.88</v>
      </c>
      <c r="D65" s="128"/>
      <c r="E65" s="127">
        <v>408.89</v>
      </c>
      <c r="F65" s="127">
        <f>6316.88-E65</f>
        <v>5907.99</v>
      </c>
      <c r="G65" s="128"/>
      <c r="H65" s="128"/>
      <c r="I65" s="128"/>
      <c r="J65" s="128"/>
      <c r="K65" s="128"/>
      <c r="L65" s="12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46">
        <v>1714.0</v>
      </c>
      <c r="B66" s="147" t="s">
        <v>142</v>
      </c>
      <c r="C66" s="125"/>
      <c r="D66" s="136"/>
      <c r="E66" s="127">
        <v>77.06</v>
      </c>
      <c r="F66" s="128"/>
      <c r="G66" s="128"/>
      <c r="H66" s="128"/>
      <c r="I66" s="128"/>
      <c r="J66" s="128"/>
      <c r="K66" s="128"/>
      <c r="L66" s="12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32">
        <v>1565.0</v>
      </c>
      <c r="B67" s="138" t="s">
        <v>143</v>
      </c>
      <c r="C67" s="125">
        <f t="shared" ref="C67:C113" si="5">SUM(D67:L67)</f>
        <v>240</v>
      </c>
      <c r="D67" s="136"/>
      <c r="E67" s="128">
        <v>240.0</v>
      </c>
      <c r="F67" s="128"/>
      <c r="G67" s="128"/>
      <c r="H67" s="128"/>
      <c r="I67" s="128"/>
      <c r="J67" s="128"/>
      <c r="K67" s="128"/>
      <c r="L67" s="12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32">
        <v>1156.0</v>
      </c>
      <c r="B68" s="138" t="s">
        <v>144</v>
      </c>
      <c r="C68" s="125">
        <f t="shared" si="5"/>
        <v>0</v>
      </c>
      <c r="D68" s="128"/>
      <c r="E68" s="128"/>
      <c r="F68" s="128"/>
      <c r="G68" s="128"/>
      <c r="H68" s="128"/>
      <c r="I68" s="128"/>
      <c r="J68" s="128"/>
      <c r="K68" s="128"/>
      <c r="L68" s="12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32">
        <v>1543.0</v>
      </c>
      <c r="B69" s="138" t="s">
        <v>145</v>
      </c>
      <c r="C69" s="125">
        <f t="shared" si="5"/>
        <v>0</v>
      </c>
      <c r="D69" s="128"/>
      <c r="E69" s="128"/>
      <c r="F69" s="128"/>
      <c r="G69" s="128"/>
      <c r="H69" s="128"/>
      <c r="I69" s="128"/>
      <c r="J69" s="128"/>
      <c r="K69" s="128"/>
      <c r="L69" s="128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32">
        <v>1230.0</v>
      </c>
      <c r="B70" s="138" t="s">
        <v>146</v>
      </c>
      <c r="C70" s="125">
        <f t="shared" si="5"/>
        <v>0</v>
      </c>
      <c r="D70" s="128"/>
      <c r="E70" s="128"/>
      <c r="F70" s="128"/>
      <c r="G70" s="128"/>
      <c r="H70" s="128"/>
      <c r="I70" s="128"/>
      <c r="J70" s="128"/>
      <c r="K70" s="128"/>
      <c r="L70" s="128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32">
        <v>83.0</v>
      </c>
      <c r="B71" s="138" t="s">
        <v>147</v>
      </c>
      <c r="C71" s="125">
        <f t="shared" si="5"/>
        <v>0</v>
      </c>
      <c r="D71" s="128"/>
      <c r="E71" s="128"/>
      <c r="F71" s="128"/>
      <c r="G71" s="128"/>
      <c r="H71" s="128"/>
      <c r="I71" s="128"/>
      <c r="J71" s="128"/>
      <c r="K71" s="128"/>
      <c r="L71" s="128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46">
        <v>275.0</v>
      </c>
      <c r="B72" s="147" t="s">
        <v>148</v>
      </c>
      <c r="C72" s="125">
        <f t="shared" si="5"/>
        <v>1663.1</v>
      </c>
      <c r="D72" s="128"/>
      <c r="E72" s="127">
        <v>1663.1</v>
      </c>
      <c r="F72" s="128"/>
      <c r="G72" s="128"/>
      <c r="H72" s="128"/>
      <c r="I72" s="128"/>
      <c r="J72" s="128"/>
      <c r="K72" s="128"/>
      <c r="L72" s="128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46">
        <v>132.0</v>
      </c>
      <c r="B73" s="147" t="s">
        <v>149</v>
      </c>
      <c r="C73" s="125">
        <f t="shared" si="5"/>
        <v>1091.9</v>
      </c>
      <c r="D73" s="128"/>
      <c r="E73" s="127">
        <v>1091.9</v>
      </c>
      <c r="F73" s="128"/>
      <c r="G73" s="128"/>
      <c r="H73" s="128"/>
      <c r="I73" s="128"/>
      <c r="J73" s="128"/>
      <c r="K73" s="128"/>
      <c r="L73" s="128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32">
        <v>126.0</v>
      </c>
      <c r="B74" s="138" t="s">
        <v>150</v>
      </c>
      <c r="C74" s="125">
        <f t="shared" si="5"/>
        <v>2274.08</v>
      </c>
      <c r="D74" s="128"/>
      <c r="E74" s="127">
        <v>2274.08</v>
      </c>
      <c r="F74" s="128"/>
      <c r="G74" s="128"/>
      <c r="H74" s="128"/>
      <c r="I74" s="128"/>
      <c r="J74" s="128"/>
      <c r="K74" s="128"/>
      <c r="L74" s="128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32">
        <v>1145.0</v>
      </c>
      <c r="B75" s="148" t="s">
        <v>151</v>
      </c>
      <c r="C75" s="125">
        <f t="shared" si="5"/>
        <v>0</v>
      </c>
      <c r="D75" s="128"/>
      <c r="E75" s="128"/>
      <c r="F75" s="128"/>
      <c r="G75" s="128"/>
      <c r="H75" s="128"/>
      <c r="I75" s="128"/>
      <c r="J75" s="128"/>
      <c r="K75" s="128"/>
      <c r="L75" s="128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32">
        <v>71.0</v>
      </c>
      <c r="B76" s="137" t="s">
        <v>152</v>
      </c>
      <c r="C76" s="125">
        <f t="shared" si="5"/>
        <v>0</v>
      </c>
      <c r="D76" s="128"/>
      <c r="E76" s="128"/>
      <c r="F76" s="128"/>
      <c r="G76" s="128"/>
      <c r="H76" s="128"/>
      <c r="I76" s="128"/>
      <c r="J76" s="128"/>
      <c r="K76" s="128"/>
      <c r="L76" s="128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32">
        <v>1306.0</v>
      </c>
      <c r="B77" s="137" t="s">
        <v>153</v>
      </c>
      <c r="C77" s="125">
        <f t="shared" si="5"/>
        <v>6269.37</v>
      </c>
      <c r="D77" s="128"/>
      <c r="E77" s="127">
        <v>85.4</v>
      </c>
      <c r="F77" s="127">
        <f>1408.75-85.4</f>
        <v>1323.35</v>
      </c>
      <c r="G77" s="127">
        <v>1686.68</v>
      </c>
      <c r="H77" s="127">
        <v>3173.94</v>
      </c>
      <c r="I77" s="128"/>
      <c r="J77" s="128"/>
      <c r="K77" s="128"/>
      <c r="L77" s="128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32">
        <v>1222.0</v>
      </c>
      <c r="B78" s="137" t="s">
        <v>154</v>
      </c>
      <c r="C78" s="125">
        <f t="shared" si="5"/>
        <v>753.48</v>
      </c>
      <c r="D78" s="128"/>
      <c r="E78" s="127">
        <v>753.48</v>
      </c>
      <c r="F78" s="128"/>
      <c r="G78" s="128"/>
      <c r="H78" s="128"/>
      <c r="I78" s="128"/>
      <c r="J78" s="128"/>
      <c r="K78" s="128"/>
      <c r="L78" s="128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32">
        <v>6.0</v>
      </c>
      <c r="B79" s="137" t="s">
        <v>155</v>
      </c>
      <c r="C79" s="125">
        <f t="shared" si="5"/>
        <v>0</v>
      </c>
      <c r="D79" s="128"/>
      <c r="E79" s="128"/>
      <c r="F79" s="128"/>
      <c r="G79" s="128"/>
      <c r="H79" s="128"/>
      <c r="I79" s="128"/>
      <c r="J79" s="128"/>
      <c r="K79" s="128"/>
      <c r="L79" s="128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32">
        <v>612.0</v>
      </c>
      <c r="B80" s="137" t="s">
        <v>156</v>
      </c>
      <c r="C80" s="125">
        <f t="shared" si="5"/>
        <v>0</v>
      </c>
      <c r="D80" s="128"/>
      <c r="E80" s="128"/>
      <c r="F80" s="128"/>
      <c r="G80" s="128"/>
      <c r="H80" s="128"/>
      <c r="I80" s="128"/>
      <c r="J80" s="128"/>
      <c r="K80" s="128"/>
      <c r="L80" s="128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32">
        <v>1190.0</v>
      </c>
      <c r="B81" s="137" t="s">
        <v>157</v>
      </c>
      <c r="C81" s="125">
        <f t="shared" si="5"/>
        <v>0</v>
      </c>
      <c r="D81" s="128"/>
      <c r="E81" s="128"/>
      <c r="F81" s="128"/>
      <c r="G81" s="128"/>
      <c r="H81" s="128"/>
      <c r="I81" s="128"/>
      <c r="J81" s="128"/>
      <c r="K81" s="128"/>
      <c r="L81" s="128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32">
        <v>68.0</v>
      </c>
      <c r="B82" s="137" t="s">
        <v>158</v>
      </c>
      <c r="C82" s="125">
        <f t="shared" si="5"/>
        <v>0</v>
      </c>
      <c r="D82" s="128"/>
      <c r="E82" s="128"/>
      <c r="F82" s="128"/>
      <c r="G82" s="128"/>
      <c r="H82" s="128"/>
      <c r="I82" s="128"/>
      <c r="J82" s="128"/>
      <c r="K82" s="128"/>
      <c r="L82" s="128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32">
        <v>1144.0</v>
      </c>
      <c r="B83" s="137" t="s">
        <v>159</v>
      </c>
      <c r="C83" s="125">
        <f t="shared" si="5"/>
        <v>0</v>
      </c>
      <c r="D83" s="128"/>
      <c r="E83" s="128"/>
      <c r="F83" s="128"/>
      <c r="G83" s="128"/>
      <c r="H83" s="128"/>
      <c r="I83" s="128"/>
      <c r="J83" s="128"/>
      <c r="K83" s="128"/>
      <c r="L83" s="128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32">
        <v>1515.0</v>
      </c>
      <c r="B84" s="137" t="s">
        <v>160</v>
      </c>
      <c r="C84" s="125">
        <f t="shared" si="5"/>
        <v>0</v>
      </c>
      <c r="D84" s="128"/>
      <c r="E84" s="128"/>
      <c r="F84" s="128"/>
      <c r="G84" s="128"/>
      <c r="H84" s="128"/>
      <c r="I84" s="128"/>
      <c r="J84" s="128"/>
      <c r="K84" s="128"/>
      <c r="L84" s="128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32">
        <v>121.0</v>
      </c>
      <c r="B85" s="137" t="s">
        <v>161</v>
      </c>
      <c r="C85" s="125">
        <f t="shared" si="5"/>
        <v>0</v>
      </c>
      <c r="D85" s="128"/>
      <c r="E85" s="128"/>
      <c r="F85" s="128"/>
      <c r="G85" s="128"/>
      <c r="H85" s="128"/>
      <c r="I85" s="128"/>
      <c r="J85" s="128"/>
      <c r="K85" s="128"/>
      <c r="L85" s="128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32">
        <v>1269.0</v>
      </c>
      <c r="B86" s="137" t="s">
        <v>162</v>
      </c>
      <c r="C86" s="125">
        <f t="shared" si="5"/>
        <v>0</v>
      </c>
      <c r="D86" s="128"/>
      <c r="E86" s="128"/>
      <c r="F86" s="128"/>
      <c r="G86" s="128"/>
      <c r="H86" s="128"/>
      <c r="I86" s="128"/>
      <c r="J86" s="128"/>
      <c r="K86" s="128"/>
      <c r="L86" s="128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32">
        <v>1279.0</v>
      </c>
      <c r="B87" s="137" t="s">
        <v>163</v>
      </c>
      <c r="C87" s="125">
        <f t="shared" si="5"/>
        <v>0</v>
      </c>
      <c r="D87" s="128"/>
      <c r="E87" s="128"/>
      <c r="F87" s="128"/>
      <c r="G87" s="128"/>
      <c r="H87" s="128"/>
      <c r="I87" s="128"/>
      <c r="J87" s="128"/>
      <c r="K87" s="128"/>
      <c r="L87" s="128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32">
        <v>1058.0</v>
      </c>
      <c r="B88" s="137" t="s">
        <v>164</v>
      </c>
      <c r="C88" s="125">
        <f t="shared" si="5"/>
        <v>0</v>
      </c>
      <c r="D88" s="128"/>
      <c r="E88" s="128"/>
      <c r="F88" s="128"/>
      <c r="G88" s="128"/>
      <c r="H88" s="128"/>
      <c r="I88" s="128"/>
      <c r="J88" s="128"/>
      <c r="K88" s="128"/>
      <c r="L88" s="128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32">
        <v>1438.0</v>
      </c>
      <c r="B89" s="137" t="s">
        <v>165</v>
      </c>
      <c r="C89" s="125">
        <f t="shared" si="5"/>
        <v>0</v>
      </c>
      <c r="D89" s="128"/>
      <c r="E89" s="127">
        <v>0.0</v>
      </c>
      <c r="F89" s="127">
        <v>0.0</v>
      </c>
      <c r="G89" s="128"/>
      <c r="H89" s="128"/>
      <c r="I89" s="128"/>
      <c r="J89" s="128"/>
      <c r="K89" s="128"/>
      <c r="L89" s="128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32">
        <v>138.0</v>
      </c>
      <c r="B90" s="137" t="s">
        <v>166</v>
      </c>
      <c r="C90" s="125">
        <f t="shared" si="5"/>
        <v>122</v>
      </c>
      <c r="D90" s="128"/>
      <c r="E90" s="127">
        <v>122.0</v>
      </c>
      <c r="F90" s="128"/>
      <c r="G90" s="128"/>
      <c r="H90" s="128"/>
      <c r="I90" s="128"/>
      <c r="J90" s="128"/>
      <c r="K90" s="128"/>
      <c r="L90" s="128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32">
        <v>82.0</v>
      </c>
      <c r="B91" s="137" t="s">
        <v>167</v>
      </c>
      <c r="C91" s="125">
        <f t="shared" si="5"/>
        <v>0</v>
      </c>
      <c r="D91" s="128"/>
      <c r="E91" s="128"/>
      <c r="F91" s="128"/>
      <c r="G91" s="128"/>
      <c r="H91" s="128"/>
      <c r="I91" s="128"/>
      <c r="J91" s="128"/>
      <c r="K91" s="128"/>
      <c r="L91" s="128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32">
        <v>10.0</v>
      </c>
      <c r="B92" s="137" t="s">
        <v>168</v>
      </c>
      <c r="C92" s="125">
        <f t="shared" si="5"/>
        <v>0</v>
      </c>
      <c r="D92" s="128"/>
      <c r="E92" s="128"/>
      <c r="F92" s="128"/>
      <c r="G92" s="128"/>
      <c r="H92" s="128"/>
      <c r="I92" s="128"/>
      <c r="J92" s="128"/>
      <c r="K92" s="128"/>
      <c r="L92" s="128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32">
        <v>1050.0</v>
      </c>
      <c r="B93" s="137" t="s">
        <v>169</v>
      </c>
      <c r="C93" s="125">
        <f t="shared" si="5"/>
        <v>1332.68</v>
      </c>
      <c r="D93" s="128"/>
      <c r="E93" s="128"/>
      <c r="F93" s="127">
        <v>1332.68</v>
      </c>
      <c r="G93" s="128"/>
      <c r="H93" s="128"/>
      <c r="I93" s="128"/>
      <c r="J93" s="128"/>
      <c r="K93" s="128"/>
      <c r="L93" s="128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32"/>
      <c r="B94" s="137" t="s">
        <v>170</v>
      </c>
      <c r="C94" s="125">
        <f t="shared" si="5"/>
        <v>0</v>
      </c>
      <c r="D94" s="128"/>
      <c r="E94" s="128"/>
      <c r="F94" s="128"/>
      <c r="G94" s="128"/>
      <c r="H94" s="128"/>
      <c r="I94" s="128"/>
      <c r="J94" s="128"/>
      <c r="K94" s="128"/>
      <c r="L94" s="128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32">
        <v>745.0</v>
      </c>
      <c r="B95" s="137" t="s">
        <v>171</v>
      </c>
      <c r="C95" s="125">
        <f t="shared" si="5"/>
        <v>0</v>
      </c>
      <c r="D95" s="128"/>
      <c r="E95" s="128"/>
      <c r="F95" s="128"/>
      <c r="G95" s="128"/>
      <c r="H95" s="128"/>
      <c r="I95" s="128"/>
      <c r="J95" s="128"/>
      <c r="K95" s="128"/>
      <c r="L95" s="128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32">
        <v>985.0</v>
      </c>
      <c r="B96" s="137" t="s">
        <v>172</v>
      </c>
      <c r="C96" s="125">
        <f t="shared" si="5"/>
        <v>0</v>
      </c>
      <c r="D96" s="128"/>
      <c r="E96" s="128"/>
      <c r="F96" s="128"/>
      <c r="G96" s="128"/>
      <c r="H96" s="128"/>
      <c r="I96" s="128"/>
      <c r="J96" s="128"/>
      <c r="K96" s="128"/>
      <c r="L96" s="128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32">
        <v>19.0</v>
      </c>
      <c r="B97" s="137" t="s">
        <v>173</v>
      </c>
      <c r="C97" s="125">
        <f t="shared" si="5"/>
        <v>0</v>
      </c>
      <c r="D97" s="128"/>
      <c r="E97" s="128"/>
      <c r="F97" s="128"/>
      <c r="G97" s="128"/>
      <c r="H97" s="128"/>
      <c r="I97" s="128"/>
      <c r="J97" s="128"/>
      <c r="K97" s="128"/>
      <c r="L97" s="128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32">
        <v>498.0</v>
      </c>
      <c r="B98" s="138" t="s">
        <v>174</v>
      </c>
      <c r="C98" s="125">
        <f t="shared" si="5"/>
        <v>0</v>
      </c>
      <c r="D98" s="128"/>
      <c r="E98" s="128"/>
      <c r="F98" s="128"/>
      <c r="G98" s="128"/>
      <c r="H98" s="128"/>
      <c r="I98" s="128"/>
      <c r="J98" s="128"/>
      <c r="K98" s="128"/>
      <c r="L98" s="128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32">
        <v>14.0</v>
      </c>
      <c r="B99" s="138" t="s">
        <v>175</v>
      </c>
      <c r="C99" s="125">
        <f t="shared" si="5"/>
        <v>99</v>
      </c>
      <c r="D99" s="128"/>
      <c r="E99" s="128">
        <v>99.0</v>
      </c>
      <c r="F99" s="128"/>
      <c r="G99" s="128"/>
      <c r="H99" s="128"/>
      <c r="I99" s="128"/>
      <c r="J99" s="128"/>
      <c r="K99" s="128"/>
      <c r="L99" s="128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32">
        <v>1595.0</v>
      </c>
      <c r="B100" s="138" t="s">
        <v>176</v>
      </c>
      <c r="C100" s="125">
        <f t="shared" si="5"/>
        <v>0</v>
      </c>
      <c r="D100" s="128"/>
      <c r="E100" s="128"/>
      <c r="F100" s="128"/>
      <c r="G100" s="128"/>
      <c r="H100" s="128"/>
      <c r="I100" s="128"/>
      <c r="J100" s="128"/>
      <c r="K100" s="128"/>
      <c r="L100" s="128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32">
        <v>1597.0</v>
      </c>
      <c r="B101" s="138" t="s">
        <v>177</v>
      </c>
      <c r="C101" s="125">
        <f t="shared" si="5"/>
        <v>0</v>
      </c>
      <c r="D101" s="128"/>
      <c r="E101" s="128"/>
      <c r="F101" s="128"/>
      <c r="G101" s="128"/>
      <c r="H101" s="128"/>
      <c r="I101" s="128"/>
      <c r="J101" s="128"/>
      <c r="K101" s="128"/>
      <c r="L101" s="128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32">
        <v>1168.0</v>
      </c>
      <c r="B102" s="138" t="s">
        <v>178</v>
      </c>
      <c r="C102" s="125">
        <f t="shared" si="5"/>
        <v>0</v>
      </c>
      <c r="D102" s="128"/>
      <c r="E102" s="128"/>
      <c r="F102" s="128"/>
      <c r="G102" s="128"/>
      <c r="H102" s="128"/>
      <c r="I102" s="128"/>
      <c r="J102" s="128"/>
      <c r="K102" s="128"/>
      <c r="L102" s="128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32">
        <v>1557.0</v>
      </c>
      <c r="B103" s="138" t="s">
        <v>179</v>
      </c>
      <c r="C103" s="125">
        <f t="shared" si="5"/>
        <v>0</v>
      </c>
      <c r="D103" s="128"/>
      <c r="E103" s="128"/>
      <c r="F103" s="128"/>
      <c r="G103" s="128"/>
      <c r="H103" s="128"/>
      <c r="I103" s="128"/>
      <c r="J103" s="128"/>
      <c r="K103" s="128"/>
      <c r="L103" s="128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32">
        <v>1035.0</v>
      </c>
      <c r="B104" s="138" t="s">
        <v>180</v>
      </c>
      <c r="C104" s="125">
        <f t="shared" si="5"/>
        <v>0</v>
      </c>
      <c r="D104" s="128"/>
      <c r="E104" s="128"/>
      <c r="F104" s="128"/>
      <c r="G104" s="128"/>
      <c r="H104" s="128"/>
      <c r="I104" s="128"/>
      <c r="J104" s="128"/>
      <c r="K104" s="128"/>
      <c r="L104" s="128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32">
        <v>1598.0</v>
      </c>
      <c r="B105" s="138" t="s">
        <v>181</v>
      </c>
      <c r="C105" s="125">
        <f t="shared" si="5"/>
        <v>0</v>
      </c>
      <c r="D105" s="128"/>
      <c r="E105" s="127">
        <v>0.0</v>
      </c>
      <c r="F105" s="127">
        <v>0.0</v>
      </c>
      <c r="G105" s="128"/>
      <c r="H105" s="128"/>
      <c r="I105" s="128"/>
      <c r="J105" s="128"/>
      <c r="K105" s="128"/>
      <c r="L105" s="128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32">
        <v>1233.0</v>
      </c>
      <c r="B106" s="138" t="s">
        <v>182</v>
      </c>
      <c r="C106" s="125">
        <f t="shared" si="5"/>
        <v>0</v>
      </c>
      <c r="D106" s="128"/>
      <c r="E106" s="127">
        <v>0.0</v>
      </c>
      <c r="F106" s="128"/>
      <c r="G106" s="128"/>
      <c r="H106" s="128"/>
      <c r="I106" s="128"/>
      <c r="J106" s="128"/>
      <c r="K106" s="128"/>
      <c r="L106" s="128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0" customHeight="1">
      <c r="A107" s="132">
        <v>1008.0</v>
      </c>
      <c r="B107" s="138" t="s">
        <v>183</v>
      </c>
      <c r="C107" s="125">
        <f t="shared" si="5"/>
        <v>1913.03</v>
      </c>
      <c r="D107" s="128"/>
      <c r="E107" s="128">
        <v>1913.03</v>
      </c>
      <c r="F107" s="128"/>
      <c r="G107" s="128"/>
      <c r="H107" s="128"/>
      <c r="I107" s="128"/>
      <c r="J107" s="128"/>
      <c r="K107" s="128"/>
      <c r="L107" s="128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32">
        <v>1627.0</v>
      </c>
      <c r="B108" s="138" t="s">
        <v>184</v>
      </c>
      <c r="C108" s="125">
        <f t="shared" si="5"/>
        <v>0</v>
      </c>
      <c r="D108" s="128"/>
      <c r="E108" s="127">
        <v>0.0</v>
      </c>
      <c r="F108" s="127">
        <v>0.0</v>
      </c>
      <c r="G108" s="128"/>
      <c r="H108" s="128"/>
      <c r="I108" s="128"/>
      <c r="J108" s="128"/>
      <c r="K108" s="128"/>
      <c r="L108" s="128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32">
        <v>1603.0</v>
      </c>
      <c r="B109" s="138" t="s">
        <v>185</v>
      </c>
      <c r="C109" s="125">
        <f t="shared" si="5"/>
        <v>0</v>
      </c>
      <c r="D109" s="128"/>
      <c r="E109" s="127">
        <v>0.0</v>
      </c>
      <c r="F109" s="127">
        <v>0.0</v>
      </c>
      <c r="G109" s="128"/>
      <c r="H109" s="128"/>
      <c r="I109" s="128"/>
      <c r="J109" s="128"/>
      <c r="K109" s="128"/>
      <c r="L109" s="128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32">
        <v>1602.0</v>
      </c>
      <c r="B110" s="138" t="s">
        <v>186</v>
      </c>
      <c r="C110" s="125">
        <f t="shared" si="5"/>
        <v>443.82</v>
      </c>
      <c r="D110" s="128"/>
      <c r="E110" s="128">
        <v>221.91</v>
      </c>
      <c r="F110" s="128">
        <v>221.91</v>
      </c>
      <c r="G110" s="128"/>
      <c r="H110" s="128"/>
      <c r="I110" s="128"/>
      <c r="J110" s="128"/>
      <c r="K110" s="128"/>
      <c r="L110" s="128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32">
        <v>1699.0</v>
      </c>
      <c r="B111" s="138" t="s">
        <v>187</v>
      </c>
      <c r="C111" s="125">
        <f t="shared" si="5"/>
        <v>13.86</v>
      </c>
      <c r="D111" s="128"/>
      <c r="E111" s="128">
        <v>13.86</v>
      </c>
      <c r="F111" s="128"/>
      <c r="G111" s="128"/>
      <c r="H111" s="128"/>
      <c r="I111" s="128"/>
      <c r="J111" s="128"/>
      <c r="K111" s="128"/>
      <c r="L111" s="128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32">
        <v>142.0</v>
      </c>
      <c r="B112" s="138" t="s">
        <v>188</v>
      </c>
      <c r="C112" s="125">
        <f t="shared" si="5"/>
        <v>273.24</v>
      </c>
      <c r="D112" s="128"/>
      <c r="E112" s="128"/>
      <c r="F112" s="128">
        <v>273.24</v>
      </c>
      <c r="G112" s="128"/>
      <c r="H112" s="128"/>
      <c r="I112" s="128"/>
      <c r="J112" s="128"/>
      <c r="K112" s="128"/>
      <c r="L112" s="128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32">
        <v>1697.0</v>
      </c>
      <c r="B113" s="138" t="s">
        <v>189</v>
      </c>
      <c r="C113" s="125">
        <f t="shared" si="5"/>
        <v>2684.45</v>
      </c>
      <c r="D113" s="128"/>
      <c r="E113" s="128"/>
      <c r="F113" s="128">
        <v>2228.77</v>
      </c>
      <c r="G113" s="127">
        <v>455.68</v>
      </c>
      <c r="H113" s="128"/>
      <c r="I113" s="128"/>
      <c r="J113" s="128"/>
      <c r="K113" s="128"/>
      <c r="L113" s="128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32"/>
      <c r="B114" s="138"/>
      <c r="C114" s="149"/>
      <c r="D114" s="128"/>
      <c r="E114" s="128"/>
      <c r="F114" s="128"/>
      <c r="G114" s="128"/>
      <c r="H114" s="128"/>
      <c r="I114" s="128"/>
      <c r="J114" s="128"/>
      <c r="K114" s="128"/>
      <c r="L114" s="128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32"/>
      <c r="B115" s="138"/>
      <c r="C115" s="149"/>
      <c r="D115" s="128"/>
      <c r="E115" s="128"/>
      <c r="F115" s="128"/>
      <c r="G115" s="128"/>
      <c r="H115" s="128"/>
      <c r="I115" s="128"/>
      <c r="J115" s="128"/>
      <c r="K115" s="128"/>
      <c r="L115" s="128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32"/>
      <c r="B116" s="138"/>
      <c r="C116" s="149"/>
      <c r="D116" s="128"/>
      <c r="E116" s="128"/>
      <c r="F116" s="128"/>
      <c r="G116" s="128"/>
      <c r="H116" s="128"/>
      <c r="I116" s="128"/>
      <c r="J116" s="128"/>
      <c r="K116" s="128"/>
      <c r="L116" s="128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32"/>
      <c r="B117" s="138"/>
      <c r="C117" s="149"/>
      <c r="D117" s="128"/>
      <c r="E117" s="128"/>
      <c r="F117" s="128"/>
      <c r="G117" s="128"/>
      <c r="H117" s="128"/>
      <c r="I117" s="128"/>
      <c r="J117" s="128"/>
      <c r="K117" s="128"/>
      <c r="L117" s="128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32"/>
      <c r="B118" s="138"/>
      <c r="C118" s="149"/>
      <c r="D118" s="128"/>
      <c r="E118" s="128"/>
      <c r="F118" s="128"/>
      <c r="G118" s="128"/>
      <c r="H118" s="128"/>
      <c r="I118" s="128"/>
      <c r="J118" s="128"/>
      <c r="K118" s="128"/>
      <c r="L118" s="128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32"/>
      <c r="B119" s="138"/>
      <c r="C119" s="149"/>
      <c r="D119" s="128"/>
      <c r="E119" s="128"/>
      <c r="F119" s="128"/>
      <c r="G119" s="128"/>
      <c r="H119" s="128"/>
      <c r="I119" s="128"/>
      <c r="J119" s="128"/>
      <c r="K119" s="128"/>
      <c r="L119" s="128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04"/>
      <c r="C120" s="3"/>
      <c r="D120" s="104"/>
      <c r="E120" s="104"/>
      <c r="F120" s="104"/>
      <c r="G120" s="104"/>
      <c r="H120" s="104"/>
      <c r="I120" s="104"/>
      <c r="J120" s="104"/>
      <c r="K120" s="104"/>
      <c r="L120" s="10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04"/>
      <c r="C121" s="3"/>
      <c r="D121" s="104"/>
      <c r="E121" s="104"/>
      <c r="F121" s="104"/>
      <c r="G121" s="104"/>
      <c r="H121" s="104"/>
      <c r="I121" s="104"/>
      <c r="J121" s="104"/>
      <c r="K121" s="104"/>
      <c r="L121" s="10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04"/>
      <c r="C122" s="3"/>
      <c r="D122" s="104"/>
      <c r="E122" s="104"/>
      <c r="F122" s="104"/>
      <c r="G122" s="104"/>
      <c r="H122" s="104"/>
      <c r="I122" s="104"/>
      <c r="J122" s="104"/>
      <c r="K122" s="104"/>
      <c r="L122" s="10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04"/>
      <c r="C123" s="3"/>
      <c r="D123" s="104"/>
      <c r="E123" s="104"/>
      <c r="F123" s="104"/>
      <c r="G123" s="104"/>
      <c r="H123" s="104"/>
      <c r="I123" s="104"/>
      <c r="J123" s="104"/>
      <c r="K123" s="104"/>
      <c r="L123" s="10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04"/>
      <c r="C124" s="3"/>
      <c r="D124" s="104"/>
      <c r="E124" s="104"/>
      <c r="F124" s="104"/>
      <c r="G124" s="104"/>
      <c r="H124" s="104"/>
      <c r="I124" s="104"/>
      <c r="J124" s="104"/>
      <c r="K124" s="104"/>
      <c r="L124" s="10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04"/>
      <c r="C125" s="3"/>
      <c r="D125" s="104"/>
      <c r="E125" s="104"/>
      <c r="F125" s="104"/>
      <c r="G125" s="104"/>
      <c r="H125" s="104"/>
      <c r="I125" s="104"/>
      <c r="J125" s="104"/>
      <c r="K125" s="104"/>
      <c r="L125" s="10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04"/>
      <c r="C126" s="3"/>
      <c r="D126" s="104"/>
      <c r="E126" s="104"/>
      <c r="F126" s="104"/>
      <c r="G126" s="104"/>
      <c r="H126" s="104"/>
      <c r="I126" s="104"/>
      <c r="J126" s="104"/>
      <c r="K126" s="104"/>
      <c r="L126" s="10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04"/>
      <c r="C127" s="3"/>
      <c r="D127" s="104"/>
      <c r="E127" s="104"/>
      <c r="F127" s="104"/>
      <c r="G127" s="104"/>
      <c r="H127" s="104"/>
      <c r="I127" s="104"/>
      <c r="J127" s="104"/>
      <c r="K127" s="104"/>
      <c r="L127" s="10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04"/>
      <c r="C128" s="3"/>
      <c r="D128" s="104"/>
      <c r="E128" s="104"/>
      <c r="F128" s="104"/>
      <c r="G128" s="104"/>
      <c r="H128" s="104"/>
      <c r="I128" s="104"/>
      <c r="J128" s="104"/>
      <c r="K128" s="104"/>
      <c r="L128" s="10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04"/>
      <c r="C129" s="3"/>
      <c r="D129" s="104"/>
      <c r="E129" s="104"/>
      <c r="F129" s="104"/>
      <c r="G129" s="104"/>
      <c r="H129" s="104"/>
      <c r="I129" s="104"/>
      <c r="J129" s="104"/>
      <c r="K129" s="104"/>
      <c r="L129" s="10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04"/>
      <c r="C130" s="3"/>
      <c r="D130" s="104"/>
      <c r="E130" s="104"/>
      <c r="F130" s="104"/>
      <c r="G130" s="104"/>
      <c r="H130" s="104"/>
      <c r="I130" s="104"/>
      <c r="J130" s="104"/>
      <c r="K130" s="104"/>
      <c r="L130" s="10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04"/>
      <c r="C131" s="3"/>
      <c r="D131" s="104"/>
      <c r="E131" s="104"/>
      <c r="F131" s="104"/>
      <c r="G131" s="104"/>
      <c r="H131" s="104"/>
      <c r="I131" s="104"/>
      <c r="J131" s="104"/>
      <c r="K131" s="104"/>
      <c r="L131" s="10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04"/>
      <c r="C132" s="3"/>
      <c r="D132" s="104"/>
      <c r="E132" s="104"/>
      <c r="F132" s="104"/>
      <c r="G132" s="104"/>
      <c r="H132" s="104"/>
      <c r="I132" s="104"/>
      <c r="J132" s="104"/>
      <c r="K132" s="104"/>
      <c r="L132" s="10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04"/>
      <c r="C133" s="3"/>
      <c r="D133" s="104"/>
      <c r="E133" s="104"/>
      <c r="F133" s="104"/>
      <c r="G133" s="104"/>
      <c r="H133" s="104"/>
      <c r="I133" s="104"/>
      <c r="J133" s="104"/>
      <c r="K133" s="104"/>
      <c r="L133" s="10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04"/>
      <c r="C134" s="3"/>
      <c r="D134" s="104"/>
      <c r="E134" s="104"/>
      <c r="F134" s="104"/>
      <c r="G134" s="104"/>
      <c r="H134" s="104"/>
      <c r="I134" s="104"/>
      <c r="J134" s="104"/>
      <c r="K134" s="104"/>
      <c r="L134" s="10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04"/>
      <c r="C135" s="3"/>
      <c r="D135" s="104"/>
      <c r="E135" s="104"/>
      <c r="F135" s="104"/>
      <c r="G135" s="104"/>
      <c r="H135" s="104"/>
      <c r="I135" s="104"/>
      <c r="J135" s="104"/>
      <c r="K135" s="104"/>
      <c r="L135" s="10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04"/>
      <c r="C136" s="3"/>
      <c r="D136" s="104"/>
      <c r="E136" s="104"/>
      <c r="F136" s="104"/>
      <c r="G136" s="104"/>
      <c r="H136" s="104"/>
      <c r="I136" s="104"/>
      <c r="J136" s="104"/>
      <c r="K136" s="104"/>
      <c r="L136" s="10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04"/>
      <c r="C137" s="3"/>
      <c r="D137" s="104"/>
      <c r="E137" s="104"/>
      <c r="F137" s="104"/>
      <c r="G137" s="104"/>
      <c r="H137" s="104"/>
      <c r="I137" s="104"/>
      <c r="J137" s="104"/>
      <c r="K137" s="104"/>
      <c r="L137" s="10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04"/>
      <c r="C138" s="3"/>
      <c r="D138" s="104"/>
      <c r="E138" s="104"/>
      <c r="F138" s="104"/>
      <c r="G138" s="104"/>
      <c r="H138" s="104"/>
      <c r="I138" s="104"/>
      <c r="J138" s="104"/>
      <c r="K138" s="104"/>
      <c r="L138" s="10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04"/>
      <c r="C139" s="3"/>
      <c r="D139" s="104"/>
      <c r="E139" s="104"/>
      <c r="F139" s="104"/>
      <c r="G139" s="104"/>
      <c r="H139" s="104"/>
      <c r="I139" s="104"/>
      <c r="J139" s="104"/>
      <c r="K139" s="104"/>
      <c r="L139" s="10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04"/>
      <c r="C140" s="3"/>
      <c r="D140" s="104"/>
      <c r="E140" s="104"/>
      <c r="F140" s="104"/>
      <c r="G140" s="104"/>
      <c r="H140" s="104"/>
      <c r="I140" s="104"/>
      <c r="J140" s="104"/>
      <c r="K140" s="104"/>
      <c r="L140" s="10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04"/>
      <c r="C141" s="3"/>
      <c r="D141" s="104"/>
      <c r="E141" s="104"/>
      <c r="F141" s="104"/>
      <c r="G141" s="104"/>
      <c r="H141" s="104"/>
      <c r="I141" s="104"/>
      <c r="J141" s="104"/>
      <c r="K141" s="104"/>
      <c r="L141" s="10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04"/>
      <c r="C142" s="3"/>
      <c r="D142" s="104"/>
      <c r="E142" s="104"/>
      <c r="F142" s="104"/>
      <c r="G142" s="104"/>
      <c r="H142" s="104"/>
      <c r="I142" s="104"/>
      <c r="J142" s="104"/>
      <c r="K142" s="104"/>
      <c r="L142" s="10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04"/>
      <c r="C143" s="3"/>
      <c r="D143" s="104"/>
      <c r="E143" s="104"/>
      <c r="F143" s="104"/>
      <c r="G143" s="104"/>
      <c r="H143" s="104"/>
      <c r="I143" s="104"/>
      <c r="J143" s="104"/>
      <c r="K143" s="104"/>
      <c r="L143" s="10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04"/>
      <c r="C144" s="3"/>
      <c r="D144" s="104"/>
      <c r="E144" s="104"/>
      <c r="F144" s="104"/>
      <c r="G144" s="104"/>
      <c r="H144" s="104"/>
      <c r="I144" s="104"/>
      <c r="J144" s="104"/>
      <c r="K144" s="104"/>
      <c r="L144" s="10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04"/>
      <c r="C145" s="3"/>
      <c r="D145" s="104"/>
      <c r="E145" s="104"/>
      <c r="F145" s="104"/>
      <c r="G145" s="104"/>
      <c r="H145" s="104"/>
      <c r="I145" s="104"/>
      <c r="J145" s="104"/>
      <c r="K145" s="104"/>
      <c r="L145" s="10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04"/>
      <c r="C146" s="3"/>
      <c r="D146" s="104"/>
      <c r="E146" s="104"/>
      <c r="F146" s="104"/>
      <c r="G146" s="104"/>
      <c r="H146" s="104"/>
      <c r="I146" s="104"/>
      <c r="J146" s="104"/>
      <c r="K146" s="104"/>
      <c r="L146" s="10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04"/>
      <c r="C147" s="3"/>
      <c r="D147" s="104"/>
      <c r="E147" s="104"/>
      <c r="F147" s="104"/>
      <c r="G147" s="104"/>
      <c r="H147" s="104"/>
      <c r="I147" s="104"/>
      <c r="J147" s="104"/>
      <c r="K147" s="104"/>
      <c r="L147" s="10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04"/>
      <c r="C148" s="3"/>
      <c r="D148" s="104"/>
      <c r="E148" s="104"/>
      <c r="F148" s="104"/>
      <c r="G148" s="104"/>
      <c r="H148" s="104"/>
      <c r="I148" s="104"/>
      <c r="J148" s="104"/>
      <c r="K148" s="104"/>
      <c r="L148" s="10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04"/>
      <c r="C149" s="3"/>
      <c r="D149" s="104"/>
      <c r="E149" s="104"/>
      <c r="F149" s="104"/>
      <c r="G149" s="104"/>
      <c r="H149" s="104"/>
      <c r="I149" s="104"/>
      <c r="J149" s="104"/>
      <c r="K149" s="104"/>
      <c r="L149" s="10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04"/>
      <c r="C150" s="3"/>
      <c r="D150" s="104"/>
      <c r="E150" s="104"/>
      <c r="F150" s="104"/>
      <c r="G150" s="104"/>
      <c r="H150" s="104"/>
      <c r="I150" s="104"/>
      <c r="J150" s="104"/>
      <c r="K150" s="104"/>
      <c r="L150" s="10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04"/>
      <c r="C151" s="3"/>
      <c r="D151" s="104"/>
      <c r="E151" s="104"/>
      <c r="F151" s="104"/>
      <c r="G151" s="104"/>
      <c r="H151" s="104"/>
      <c r="I151" s="104"/>
      <c r="J151" s="104"/>
      <c r="K151" s="104"/>
      <c r="L151" s="10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04"/>
      <c r="C152" s="3"/>
      <c r="D152" s="104"/>
      <c r="E152" s="104"/>
      <c r="F152" s="104"/>
      <c r="G152" s="104"/>
      <c r="H152" s="104"/>
      <c r="I152" s="104"/>
      <c r="J152" s="104"/>
      <c r="K152" s="104"/>
      <c r="L152" s="10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04"/>
      <c r="C153" s="3"/>
      <c r="D153" s="104"/>
      <c r="E153" s="104"/>
      <c r="F153" s="104"/>
      <c r="G153" s="104"/>
      <c r="H153" s="104"/>
      <c r="I153" s="104"/>
      <c r="J153" s="104"/>
      <c r="K153" s="104"/>
      <c r="L153" s="10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04"/>
      <c r="C154" s="3"/>
      <c r="D154" s="104"/>
      <c r="E154" s="104"/>
      <c r="F154" s="104"/>
      <c r="G154" s="104"/>
      <c r="H154" s="104"/>
      <c r="I154" s="104"/>
      <c r="J154" s="104"/>
      <c r="K154" s="104"/>
      <c r="L154" s="10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04"/>
      <c r="C155" s="3"/>
      <c r="D155" s="104"/>
      <c r="E155" s="104"/>
      <c r="F155" s="104"/>
      <c r="G155" s="104"/>
      <c r="H155" s="104"/>
      <c r="I155" s="104"/>
      <c r="J155" s="104"/>
      <c r="K155" s="104"/>
      <c r="L155" s="10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04"/>
      <c r="C156" s="3"/>
      <c r="D156" s="104"/>
      <c r="E156" s="104"/>
      <c r="F156" s="104"/>
      <c r="G156" s="104"/>
      <c r="H156" s="104"/>
      <c r="I156" s="104"/>
      <c r="J156" s="104"/>
      <c r="K156" s="104"/>
      <c r="L156" s="10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04"/>
      <c r="C157" s="3"/>
      <c r="D157" s="104"/>
      <c r="E157" s="104"/>
      <c r="F157" s="104"/>
      <c r="G157" s="104"/>
      <c r="H157" s="104"/>
      <c r="I157" s="104"/>
      <c r="J157" s="104"/>
      <c r="K157" s="104"/>
      <c r="L157" s="10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04"/>
      <c r="C158" s="3"/>
      <c r="D158" s="104"/>
      <c r="E158" s="104"/>
      <c r="F158" s="104"/>
      <c r="G158" s="104"/>
      <c r="H158" s="104"/>
      <c r="I158" s="104"/>
      <c r="J158" s="104"/>
      <c r="K158" s="104"/>
      <c r="L158" s="10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04"/>
      <c r="C159" s="3"/>
      <c r="D159" s="104"/>
      <c r="E159" s="104"/>
      <c r="F159" s="104"/>
      <c r="G159" s="104"/>
      <c r="H159" s="104"/>
      <c r="I159" s="104"/>
      <c r="J159" s="104"/>
      <c r="K159" s="104"/>
      <c r="L159" s="10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04"/>
      <c r="C160" s="3"/>
      <c r="D160" s="104"/>
      <c r="E160" s="104"/>
      <c r="F160" s="104"/>
      <c r="G160" s="104"/>
      <c r="H160" s="104"/>
      <c r="I160" s="104"/>
      <c r="J160" s="104"/>
      <c r="K160" s="104"/>
      <c r="L160" s="10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04"/>
      <c r="C161" s="3"/>
      <c r="D161" s="104"/>
      <c r="E161" s="104"/>
      <c r="F161" s="104"/>
      <c r="G161" s="104"/>
      <c r="H161" s="104"/>
      <c r="I161" s="104"/>
      <c r="J161" s="104"/>
      <c r="K161" s="104"/>
      <c r="L161" s="10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04"/>
      <c r="C162" s="3"/>
      <c r="D162" s="104"/>
      <c r="E162" s="104"/>
      <c r="F162" s="104"/>
      <c r="G162" s="104"/>
      <c r="H162" s="104"/>
      <c r="I162" s="104"/>
      <c r="J162" s="104"/>
      <c r="K162" s="104"/>
      <c r="L162" s="10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04"/>
      <c r="C163" s="3"/>
      <c r="D163" s="104"/>
      <c r="E163" s="104"/>
      <c r="F163" s="104"/>
      <c r="G163" s="104"/>
      <c r="H163" s="104"/>
      <c r="I163" s="104"/>
      <c r="J163" s="104"/>
      <c r="K163" s="104"/>
      <c r="L163" s="10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04"/>
      <c r="C164" s="3"/>
      <c r="D164" s="104"/>
      <c r="E164" s="104"/>
      <c r="F164" s="104"/>
      <c r="G164" s="104"/>
      <c r="H164" s="104"/>
      <c r="I164" s="104"/>
      <c r="J164" s="104"/>
      <c r="K164" s="104"/>
      <c r="L164" s="10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04"/>
      <c r="C165" s="3"/>
      <c r="D165" s="104"/>
      <c r="E165" s="104"/>
      <c r="F165" s="104"/>
      <c r="G165" s="104"/>
      <c r="H165" s="104"/>
      <c r="I165" s="104"/>
      <c r="J165" s="104"/>
      <c r="K165" s="104"/>
      <c r="L165" s="10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04"/>
      <c r="C166" s="3"/>
      <c r="D166" s="104"/>
      <c r="E166" s="104"/>
      <c r="F166" s="104"/>
      <c r="G166" s="104"/>
      <c r="H166" s="104"/>
      <c r="I166" s="104"/>
      <c r="J166" s="104"/>
      <c r="K166" s="104"/>
      <c r="L166" s="10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04"/>
      <c r="C167" s="3"/>
      <c r="D167" s="104"/>
      <c r="E167" s="104"/>
      <c r="F167" s="104"/>
      <c r="G167" s="104"/>
      <c r="H167" s="104"/>
      <c r="I167" s="104"/>
      <c r="J167" s="104"/>
      <c r="K167" s="104"/>
      <c r="L167" s="10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04"/>
      <c r="C168" s="3"/>
      <c r="D168" s="104"/>
      <c r="E168" s="104"/>
      <c r="F168" s="104"/>
      <c r="G168" s="104"/>
      <c r="H168" s="104"/>
      <c r="I168" s="104"/>
      <c r="J168" s="104"/>
      <c r="K168" s="104"/>
      <c r="L168" s="10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04"/>
      <c r="C169" s="3"/>
      <c r="D169" s="104"/>
      <c r="E169" s="104"/>
      <c r="F169" s="104"/>
      <c r="G169" s="104"/>
      <c r="H169" s="104"/>
      <c r="I169" s="104"/>
      <c r="J169" s="104"/>
      <c r="K169" s="104"/>
      <c r="L169" s="10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04"/>
      <c r="C170" s="3"/>
      <c r="D170" s="104"/>
      <c r="E170" s="104"/>
      <c r="F170" s="104"/>
      <c r="G170" s="104"/>
      <c r="H170" s="104"/>
      <c r="I170" s="104"/>
      <c r="J170" s="104"/>
      <c r="K170" s="104"/>
      <c r="L170" s="10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04"/>
      <c r="C171" s="3"/>
      <c r="D171" s="104"/>
      <c r="E171" s="104"/>
      <c r="F171" s="104"/>
      <c r="G171" s="104"/>
      <c r="H171" s="104"/>
      <c r="I171" s="104"/>
      <c r="J171" s="104"/>
      <c r="K171" s="104"/>
      <c r="L171" s="10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04"/>
      <c r="C172" s="3"/>
      <c r="D172" s="104"/>
      <c r="E172" s="104"/>
      <c r="F172" s="104"/>
      <c r="G172" s="104"/>
      <c r="H172" s="104"/>
      <c r="I172" s="104"/>
      <c r="J172" s="104"/>
      <c r="K172" s="104"/>
      <c r="L172" s="10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04"/>
      <c r="C173" s="3"/>
      <c r="D173" s="104"/>
      <c r="E173" s="104"/>
      <c r="F173" s="104"/>
      <c r="G173" s="104"/>
      <c r="H173" s="104"/>
      <c r="I173" s="104"/>
      <c r="J173" s="104"/>
      <c r="K173" s="104"/>
      <c r="L173" s="10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04"/>
      <c r="C174" s="3"/>
      <c r="D174" s="104"/>
      <c r="E174" s="104"/>
      <c r="F174" s="104"/>
      <c r="G174" s="104"/>
      <c r="H174" s="104"/>
      <c r="I174" s="104"/>
      <c r="J174" s="104"/>
      <c r="K174" s="104"/>
      <c r="L174" s="10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04"/>
      <c r="C175" s="3"/>
      <c r="D175" s="104"/>
      <c r="E175" s="104"/>
      <c r="F175" s="104"/>
      <c r="G175" s="104"/>
      <c r="H175" s="104"/>
      <c r="I175" s="104"/>
      <c r="J175" s="104"/>
      <c r="K175" s="104"/>
      <c r="L175" s="10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04"/>
      <c r="C176" s="3"/>
      <c r="D176" s="104"/>
      <c r="E176" s="104"/>
      <c r="F176" s="104"/>
      <c r="G176" s="104"/>
      <c r="H176" s="104"/>
      <c r="I176" s="104"/>
      <c r="J176" s="104"/>
      <c r="K176" s="104"/>
      <c r="L176" s="10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04"/>
      <c r="C177" s="3"/>
      <c r="D177" s="104"/>
      <c r="E177" s="104"/>
      <c r="F177" s="104"/>
      <c r="G177" s="104"/>
      <c r="H177" s="104"/>
      <c r="I177" s="104"/>
      <c r="J177" s="104"/>
      <c r="K177" s="104"/>
      <c r="L177" s="10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04"/>
      <c r="C178" s="3"/>
      <c r="D178" s="104"/>
      <c r="E178" s="104"/>
      <c r="F178" s="104"/>
      <c r="G178" s="104"/>
      <c r="H178" s="104"/>
      <c r="I178" s="104"/>
      <c r="J178" s="104"/>
      <c r="K178" s="104"/>
      <c r="L178" s="10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04"/>
      <c r="C179" s="3"/>
      <c r="D179" s="104"/>
      <c r="E179" s="104"/>
      <c r="F179" s="104"/>
      <c r="G179" s="104"/>
      <c r="H179" s="104"/>
      <c r="I179" s="104"/>
      <c r="J179" s="104"/>
      <c r="K179" s="104"/>
      <c r="L179" s="10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04"/>
      <c r="C180" s="3"/>
      <c r="D180" s="104"/>
      <c r="E180" s="104"/>
      <c r="F180" s="104"/>
      <c r="G180" s="104"/>
      <c r="H180" s="104"/>
      <c r="I180" s="104"/>
      <c r="J180" s="104"/>
      <c r="K180" s="104"/>
      <c r="L180" s="10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04"/>
      <c r="C181" s="3"/>
      <c r="D181" s="104"/>
      <c r="E181" s="104"/>
      <c r="F181" s="104"/>
      <c r="G181" s="104"/>
      <c r="H181" s="104"/>
      <c r="I181" s="104"/>
      <c r="J181" s="104"/>
      <c r="K181" s="104"/>
      <c r="L181" s="10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04"/>
      <c r="C182" s="3"/>
      <c r="D182" s="104"/>
      <c r="E182" s="104"/>
      <c r="F182" s="104"/>
      <c r="G182" s="104"/>
      <c r="H182" s="104"/>
      <c r="I182" s="104"/>
      <c r="J182" s="104"/>
      <c r="K182" s="104"/>
      <c r="L182" s="10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04"/>
      <c r="C183" s="3"/>
      <c r="D183" s="104"/>
      <c r="E183" s="104"/>
      <c r="F183" s="104"/>
      <c r="G183" s="104"/>
      <c r="H183" s="104"/>
      <c r="I183" s="104"/>
      <c r="J183" s="104"/>
      <c r="K183" s="104"/>
      <c r="L183" s="10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04"/>
      <c r="C184" s="3"/>
      <c r="D184" s="104"/>
      <c r="E184" s="104"/>
      <c r="F184" s="104"/>
      <c r="G184" s="104"/>
      <c r="H184" s="104"/>
      <c r="I184" s="104"/>
      <c r="J184" s="104"/>
      <c r="K184" s="104"/>
      <c r="L184" s="10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04"/>
      <c r="C185" s="3"/>
      <c r="D185" s="104"/>
      <c r="E185" s="104"/>
      <c r="F185" s="104"/>
      <c r="G185" s="104"/>
      <c r="H185" s="104"/>
      <c r="I185" s="104"/>
      <c r="J185" s="104"/>
      <c r="K185" s="104"/>
      <c r="L185" s="10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04"/>
      <c r="C186" s="3"/>
      <c r="D186" s="104"/>
      <c r="E186" s="104"/>
      <c r="F186" s="104"/>
      <c r="G186" s="104"/>
      <c r="H186" s="104"/>
      <c r="I186" s="104"/>
      <c r="J186" s="104"/>
      <c r="K186" s="104"/>
      <c r="L186" s="10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04"/>
      <c r="C187" s="3"/>
      <c r="D187" s="104"/>
      <c r="E187" s="104"/>
      <c r="F187" s="104"/>
      <c r="G187" s="104"/>
      <c r="H187" s="104"/>
      <c r="I187" s="104"/>
      <c r="J187" s="104"/>
      <c r="K187" s="104"/>
      <c r="L187" s="10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04"/>
      <c r="C188" s="3"/>
      <c r="D188" s="104"/>
      <c r="E188" s="104"/>
      <c r="F188" s="104"/>
      <c r="G188" s="104"/>
      <c r="H188" s="104"/>
      <c r="I188" s="104"/>
      <c r="J188" s="104"/>
      <c r="K188" s="104"/>
      <c r="L188" s="10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04"/>
      <c r="C189" s="3"/>
      <c r="D189" s="104"/>
      <c r="E189" s="104"/>
      <c r="F189" s="104"/>
      <c r="G189" s="104"/>
      <c r="H189" s="104"/>
      <c r="I189" s="104"/>
      <c r="J189" s="104"/>
      <c r="K189" s="104"/>
      <c r="L189" s="10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04"/>
      <c r="C190" s="3"/>
      <c r="D190" s="104"/>
      <c r="E190" s="104"/>
      <c r="F190" s="104"/>
      <c r="G190" s="104"/>
      <c r="H190" s="104"/>
      <c r="I190" s="104"/>
      <c r="J190" s="104"/>
      <c r="K190" s="104"/>
      <c r="L190" s="10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04"/>
      <c r="C191" s="3"/>
      <c r="D191" s="104"/>
      <c r="E191" s="104"/>
      <c r="F191" s="104"/>
      <c r="G191" s="104"/>
      <c r="H191" s="104"/>
      <c r="I191" s="104"/>
      <c r="J191" s="104"/>
      <c r="K191" s="104"/>
      <c r="L191" s="10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04"/>
      <c r="C192" s="3"/>
      <c r="D192" s="104"/>
      <c r="E192" s="104"/>
      <c r="F192" s="104"/>
      <c r="G192" s="104"/>
      <c r="H192" s="104"/>
      <c r="I192" s="104"/>
      <c r="J192" s="104"/>
      <c r="K192" s="104"/>
      <c r="L192" s="10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04"/>
      <c r="C193" s="3"/>
      <c r="D193" s="104"/>
      <c r="E193" s="104"/>
      <c r="F193" s="104"/>
      <c r="G193" s="104"/>
      <c r="H193" s="104"/>
      <c r="I193" s="104"/>
      <c r="J193" s="104"/>
      <c r="K193" s="104"/>
      <c r="L193" s="10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04"/>
      <c r="C194" s="3"/>
      <c r="D194" s="104"/>
      <c r="E194" s="104"/>
      <c r="F194" s="104"/>
      <c r="G194" s="104"/>
      <c r="H194" s="104"/>
      <c r="I194" s="104"/>
      <c r="J194" s="104"/>
      <c r="K194" s="104"/>
      <c r="L194" s="10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04"/>
      <c r="C195" s="3"/>
      <c r="D195" s="104"/>
      <c r="E195" s="104"/>
      <c r="F195" s="104"/>
      <c r="G195" s="104"/>
      <c r="H195" s="104"/>
      <c r="I195" s="104"/>
      <c r="J195" s="104"/>
      <c r="K195" s="104"/>
      <c r="L195" s="10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04"/>
      <c r="C196" s="3"/>
      <c r="D196" s="104"/>
      <c r="E196" s="104"/>
      <c r="F196" s="104"/>
      <c r="G196" s="104"/>
      <c r="H196" s="104"/>
      <c r="I196" s="104"/>
      <c r="J196" s="104"/>
      <c r="K196" s="104"/>
      <c r="L196" s="10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04"/>
      <c r="C197" s="3"/>
      <c r="D197" s="104"/>
      <c r="E197" s="104"/>
      <c r="F197" s="104"/>
      <c r="G197" s="104"/>
      <c r="H197" s="104"/>
      <c r="I197" s="104"/>
      <c r="J197" s="104"/>
      <c r="K197" s="104"/>
      <c r="L197" s="10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04"/>
      <c r="C198" s="3"/>
      <c r="D198" s="104"/>
      <c r="E198" s="104"/>
      <c r="F198" s="104"/>
      <c r="G198" s="104"/>
      <c r="H198" s="104"/>
      <c r="I198" s="104"/>
      <c r="J198" s="104"/>
      <c r="K198" s="104"/>
      <c r="L198" s="10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04"/>
      <c r="C199" s="3"/>
      <c r="D199" s="104"/>
      <c r="E199" s="104"/>
      <c r="F199" s="104"/>
      <c r="G199" s="104"/>
      <c r="H199" s="104"/>
      <c r="I199" s="104"/>
      <c r="J199" s="104"/>
      <c r="K199" s="104"/>
      <c r="L199" s="10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04"/>
      <c r="C200" s="3"/>
      <c r="D200" s="104"/>
      <c r="E200" s="104"/>
      <c r="F200" s="104"/>
      <c r="G200" s="104"/>
      <c r="H200" s="104"/>
      <c r="I200" s="104"/>
      <c r="J200" s="104"/>
      <c r="K200" s="104"/>
      <c r="L200" s="10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04"/>
      <c r="C201" s="3"/>
      <c r="D201" s="104"/>
      <c r="E201" s="104"/>
      <c r="F201" s="104"/>
      <c r="G201" s="104"/>
      <c r="H201" s="104"/>
      <c r="I201" s="104"/>
      <c r="J201" s="104"/>
      <c r="K201" s="104"/>
      <c r="L201" s="10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04"/>
      <c r="C202" s="3"/>
      <c r="D202" s="104"/>
      <c r="E202" s="104"/>
      <c r="F202" s="104"/>
      <c r="G202" s="104"/>
      <c r="H202" s="104"/>
      <c r="I202" s="104"/>
      <c r="J202" s="104"/>
      <c r="K202" s="104"/>
      <c r="L202" s="10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04"/>
      <c r="C203" s="3"/>
      <c r="D203" s="104"/>
      <c r="E203" s="104"/>
      <c r="F203" s="104"/>
      <c r="G203" s="104"/>
      <c r="H203" s="104"/>
      <c r="I203" s="104"/>
      <c r="J203" s="104"/>
      <c r="K203" s="104"/>
      <c r="L203" s="10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04"/>
      <c r="C204" s="3"/>
      <c r="D204" s="104"/>
      <c r="E204" s="104"/>
      <c r="F204" s="104"/>
      <c r="G204" s="104"/>
      <c r="H204" s="104"/>
      <c r="I204" s="104"/>
      <c r="J204" s="104"/>
      <c r="K204" s="104"/>
      <c r="L204" s="10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04"/>
      <c r="C205" s="3"/>
      <c r="D205" s="104"/>
      <c r="E205" s="104"/>
      <c r="F205" s="104"/>
      <c r="G205" s="104"/>
      <c r="H205" s="104"/>
      <c r="I205" s="104"/>
      <c r="J205" s="104"/>
      <c r="K205" s="104"/>
      <c r="L205" s="10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04"/>
      <c r="C206" s="3"/>
      <c r="D206" s="104"/>
      <c r="E206" s="104"/>
      <c r="F206" s="104"/>
      <c r="G206" s="104"/>
      <c r="H206" s="104"/>
      <c r="I206" s="104"/>
      <c r="J206" s="104"/>
      <c r="K206" s="104"/>
      <c r="L206" s="10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04"/>
      <c r="C207" s="3"/>
      <c r="D207" s="104"/>
      <c r="E207" s="104"/>
      <c r="F207" s="104"/>
      <c r="G207" s="104"/>
      <c r="H207" s="104"/>
      <c r="I207" s="104"/>
      <c r="J207" s="104"/>
      <c r="K207" s="104"/>
      <c r="L207" s="10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04"/>
      <c r="C208" s="3"/>
      <c r="D208" s="104"/>
      <c r="E208" s="104"/>
      <c r="F208" s="104"/>
      <c r="G208" s="104"/>
      <c r="H208" s="104"/>
      <c r="I208" s="104"/>
      <c r="J208" s="104"/>
      <c r="K208" s="104"/>
      <c r="L208" s="10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04"/>
      <c r="C209" s="3"/>
      <c r="D209" s="104"/>
      <c r="E209" s="104"/>
      <c r="F209" s="104"/>
      <c r="G209" s="104"/>
      <c r="H209" s="104"/>
      <c r="I209" s="104"/>
      <c r="J209" s="104"/>
      <c r="K209" s="104"/>
      <c r="L209" s="10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04"/>
      <c r="C210" s="3"/>
      <c r="D210" s="104"/>
      <c r="E210" s="104"/>
      <c r="F210" s="104"/>
      <c r="G210" s="104"/>
      <c r="H210" s="104"/>
      <c r="I210" s="104"/>
      <c r="J210" s="104"/>
      <c r="K210" s="104"/>
      <c r="L210" s="10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04"/>
      <c r="C211" s="3"/>
      <c r="D211" s="104"/>
      <c r="E211" s="104"/>
      <c r="F211" s="104"/>
      <c r="G211" s="104"/>
      <c r="H211" s="104"/>
      <c r="I211" s="104"/>
      <c r="J211" s="104"/>
      <c r="K211" s="104"/>
      <c r="L211" s="10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04"/>
      <c r="C212" s="3"/>
      <c r="D212" s="104"/>
      <c r="E212" s="104"/>
      <c r="F212" s="104"/>
      <c r="G212" s="104"/>
      <c r="H212" s="104"/>
      <c r="I212" s="104"/>
      <c r="J212" s="104"/>
      <c r="K212" s="104"/>
      <c r="L212" s="10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04"/>
      <c r="C213" s="3"/>
      <c r="D213" s="104"/>
      <c r="E213" s="104"/>
      <c r="F213" s="104"/>
      <c r="G213" s="104"/>
      <c r="H213" s="104"/>
      <c r="I213" s="104"/>
      <c r="J213" s="104"/>
      <c r="K213" s="104"/>
      <c r="L213" s="10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04"/>
      <c r="C214" s="3"/>
      <c r="D214" s="104"/>
      <c r="E214" s="104"/>
      <c r="F214" s="104"/>
      <c r="G214" s="104"/>
      <c r="H214" s="104"/>
      <c r="I214" s="104"/>
      <c r="J214" s="104"/>
      <c r="K214" s="104"/>
      <c r="L214" s="10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04"/>
      <c r="C215" s="3"/>
      <c r="D215" s="104"/>
      <c r="E215" s="104"/>
      <c r="F215" s="104"/>
      <c r="G215" s="104"/>
      <c r="H215" s="104"/>
      <c r="I215" s="104"/>
      <c r="J215" s="104"/>
      <c r="K215" s="104"/>
      <c r="L215" s="10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04"/>
      <c r="C216" s="3"/>
      <c r="D216" s="104"/>
      <c r="E216" s="104"/>
      <c r="F216" s="104"/>
      <c r="G216" s="104"/>
      <c r="H216" s="104"/>
      <c r="I216" s="104"/>
      <c r="J216" s="104"/>
      <c r="K216" s="104"/>
      <c r="L216" s="10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04"/>
      <c r="C217" s="3"/>
      <c r="D217" s="104"/>
      <c r="E217" s="104"/>
      <c r="F217" s="104"/>
      <c r="G217" s="104"/>
      <c r="H217" s="104"/>
      <c r="I217" s="104"/>
      <c r="J217" s="104"/>
      <c r="K217" s="104"/>
      <c r="L217" s="10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104"/>
      <c r="C218" s="3"/>
      <c r="D218" s="104"/>
      <c r="E218" s="104"/>
      <c r="F218" s="104"/>
      <c r="G218" s="104"/>
      <c r="H218" s="104"/>
      <c r="I218" s="104"/>
      <c r="J218" s="104"/>
      <c r="K218" s="104"/>
      <c r="L218" s="10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104"/>
      <c r="C219" s="3"/>
      <c r="D219" s="104"/>
      <c r="E219" s="104"/>
      <c r="F219" s="104"/>
      <c r="G219" s="104"/>
      <c r="H219" s="104"/>
      <c r="I219" s="104"/>
      <c r="J219" s="104"/>
      <c r="K219" s="104"/>
      <c r="L219" s="10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104"/>
      <c r="C220" s="3"/>
      <c r="D220" s="104"/>
      <c r="E220" s="104"/>
      <c r="F220" s="104"/>
      <c r="G220" s="104"/>
      <c r="H220" s="104"/>
      <c r="I220" s="104"/>
      <c r="J220" s="104"/>
      <c r="K220" s="104"/>
      <c r="L220" s="10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104"/>
      <c r="C221" s="3"/>
      <c r="D221" s="104"/>
      <c r="E221" s="104"/>
      <c r="F221" s="104"/>
      <c r="G221" s="104"/>
      <c r="H221" s="104"/>
      <c r="I221" s="104"/>
      <c r="J221" s="104"/>
      <c r="K221" s="104"/>
      <c r="L221" s="10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104"/>
      <c r="C222" s="3"/>
      <c r="D222" s="104"/>
      <c r="E222" s="104"/>
      <c r="F222" s="104"/>
      <c r="G222" s="104"/>
      <c r="H222" s="104"/>
      <c r="I222" s="104"/>
      <c r="J222" s="104"/>
      <c r="K222" s="104"/>
      <c r="L222" s="10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104"/>
      <c r="C223" s="3"/>
      <c r="D223" s="104"/>
      <c r="E223" s="104"/>
      <c r="F223" s="104"/>
      <c r="G223" s="104"/>
      <c r="H223" s="104"/>
      <c r="I223" s="104"/>
      <c r="J223" s="104"/>
      <c r="K223" s="104"/>
      <c r="L223" s="10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104"/>
      <c r="C224" s="3"/>
      <c r="D224" s="104"/>
      <c r="E224" s="104"/>
      <c r="F224" s="104"/>
      <c r="G224" s="104"/>
      <c r="H224" s="104"/>
      <c r="I224" s="104"/>
      <c r="J224" s="104"/>
      <c r="K224" s="104"/>
      <c r="L224" s="10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104"/>
      <c r="C225" s="3"/>
      <c r="D225" s="104"/>
      <c r="E225" s="104"/>
      <c r="F225" s="104"/>
      <c r="G225" s="104"/>
      <c r="H225" s="104"/>
      <c r="I225" s="104"/>
      <c r="J225" s="104"/>
      <c r="K225" s="104"/>
      <c r="L225" s="10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104"/>
      <c r="C226" s="3"/>
      <c r="D226" s="104"/>
      <c r="E226" s="104"/>
      <c r="F226" s="104"/>
      <c r="G226" s="104"/>
      <c r="H226" s="104"/>
      <c r="I226" s="104"/>
      <c r="J226" s="104"/>
      <c r="K226" s="104"/>
      <c r="L226" s="10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104"/>
      <c r="C227" s="3"/>
      <c r="D227" s="104"/>
      <c r="E227" s="104"/>
      <c r="F227" s="104"/>
      <c r="G227" s="104"/>
      <c r="H227" s="104"/>
      <c r="I227" s="104"/>
      <c r="J227" s="104"/>
      <c r="K227" s="104"/>
      <c r="L227" s="10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104"/>
      <c r="C228" s="3"/>
      <c r="D228" s="104"/>
      <c r="E228" s="104"/>
      <c r="F228" s="104"/>
      <c r="G228" s="104"/>
      <c r="H228" s="104"/>
      <c r="I228" s="104"/>
      <c r="J228" s="104"/>
      <c r="K228" s="104"/>
      <c r="L228" s="10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104"/>
      <c r="C229" s="3"/>
      <c r="D229" s="104"/>
      <c r="E229" s="104"/>
      <c r="F229" s="104"/>
      <c r="G229" s="104"/>
      <c r="H229" s="104"/>
      <c r="I229" s="104"/>
      <c r="J229" s="104"/>
      <c r="K229" s="104"/>
      <c r="L229" s="10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104"/>
      <c r="E230" s="104"/>
      <c r="F230" s="104"/>
      <c r="G230" s="104"/>
      <c r="H230" s="104"/>
      <c r="I230" s="104"/>
      <c r="J230" s="104"/>
      <c r="K230" s="104"/>
      <c r="L230" s="10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104"/>
      <c r="E231" s="104"/>
      <c r="F231" s="104"/>
      <c r="G231" s="104"/>
      <c r="H231" s="104"/>
      <c r="I231" s="104"/>
      <c r="J231" s="104"/>
      <c r="K231" s="104"/>
      <c r="L231" s="10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104"/>
      <c r="E232" s="104"/>
      <c r="F232" s="104"/>
      <c r="G232" s="104"/>
      <c r="H232" s="104"/>
      <c r="I232" s="104"/>
      <c r="J232" s="104"/>
      <c r="K232" s="104"/>
      <c r="L232" s="10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104"/>
      <c r="E233" s="104"/>
      <c r="F233" s="104"/>
      <c r="G233" s="104"/>
      <c r="H233" s="104"/>
      <c r="I233" s="104"/>
      <c r="J233" s="104"/>
      <c r="K233" s="104"/>
      <c r="L233" s="10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104"/>
      <c r="E234" s="104"/>
      <c r="F234" s="104"/>
      <c r="G234" s="104"/>
      <c r="H234" s="104"/>
      <c r="I234" s="104"/>
      <c r="J234" s="104"/>
      <c r="K234" s="104"/>
      <c r="L234" s="10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104"/>
      <c r="E235" s="104"/>
      <c r="F235" s="104"/>
      <c r="G235" s="104"/>
      <c r="H235" s="104"/>
      <c r="I235" s="104"/>
      <c r="J235" s="104"/>
      <c r="K235" s="104"/>
      <c r="L235" s="10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104"/>
      <c r="E236" s="104"/>
      <c r="F236" s="104"/>
      <c r="G236" s="104"/>
      <c r="H236" s="104"/>
      <c r="I236" s="104"/>
      <c r="J236" s="104"/>
      <c r="K236" s="104"/>
      <c r="L236" s="10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104"/>
      <c r="E237" s="104"/>
      <c r="F237" s="104"/>
      <c r="G237" s="104"/>
      <c r="H237" s="104"/>
      <c r="I237" s="104"/>
      <c r="J237" s="104"/>
      <c r="K237" s="104"/>
      <c r="L237" s="10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104"/>
      <c r="E238" s="104"/>
      <c r="F238" s="104"/>
      <c r="G238" s="104"/>
      <c r="H238" s="104"/>
      <c r="I238" s="104"/>
      <c r="J238" s="104"/>
      <c r="K238" s="104"/>
      <c r="L238" s="10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104"/>
      <c r="E239" s="104"/>
      <c r="F239" s="104"/>
      <c r="G239" s="104"/>
      <c r="H239" s="104"/>
      <c r="I239" s="104"/>
      <c r="J239" s="104"/>
      <c r="K239" s="104"/>
      <c r="L239" s="10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104"/>
      <c r="E240" s="104"/>
      <c r="F240" s="104"/>
      <c r="G240" s="104"/>
      <c r="H240" s="104"/>
      <c r="I240" s="104"/>
      <c r="J240" s="104"/>
      <c r="K240" s="104"/>
      <c r="L240" s="10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104"/>
      <c r="E241" s="104"/>
      <c r="F241" s="104"/>
      <c r="G241" s="104"/>
      <c r="H241" s="104"/>
      <c r="I241" s="104"/>
      <c r="J241" s="104"/>
      <c r="K241" s="104"/>
      <c r="L241" s="10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104"/>
      <c r="E242" s="104"/>
      <c r="F242" s="104"/>
      <c r="G242" s="104"/>
      <c r="H242" s="104"/>
      <c r="I242" s="104"/>
      <c r="J242" s="104"/>
      <c r="K242" s="104"/>
      <c r="L242" s="10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104"/>
      <c r="E243" s="104"/>
      <c r="F243" s="104"/>
      <c r="G243" s="104"/>
      <c r="H243" s="104"/>
      <c r="I243" s="104"/>
      <c r="J243" s="104"/>
      <c r="K243" s="104"/>
      <c r="L243" s="10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104"/>
      <c r="E244" s="104"/>
      <c r="F244" s="104"/>
      <c r="G244" s="104"/>
      <c r="H244" s="104"/>
      <c r="I244" s="104"/>
      <c r="J244" s="104"/>
      <c r="K244" s="104"/>
      <c r="L244" s="10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104"/>
      <c r="E245" s="104"/>
      <c r="F245" s="104"/>
      <c r="G245" s="104"/>
      <c r="H245" s="104"/>
      <c r="I245" s="104"/>
      <c r="J245" s="104"/>
      <c r="K245" s="104"/>
      <c r="L245" s="10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104"/>
      <c r="E246" s="104"/>
      <c r="F246" s="104"/>
      <c r="G246" s="104"/>
      <c r="H246" s="104"/>
      <c r="I246" s="104"/>
      <c r="J246" s="104"/>
      <c r="K246" s="104"/>
      <c r="L246" s="10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104"/>
      <c r="E247" s="104"/>
      <c r="F247" s="104"/>
      <c r="G247" s="104"/>
      <c r="H247" s="104"/>
      <c r="I247" s="104"/>
      <c r="J247" s="104"/>
      <c r="K247" s="104"/>
      <c r="L247" s="10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104"/>
      <c r="E248" s="104"/>
      <c r="F248" s="104"/>
      <c r="G248" s="104"/>
      <c r="H248" s="104"/>
      <c r="I248" s="104"/>
      <c r="J248" s="104"/>
      <c r="K248" s="104"/>
      <c r="L248" s="10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104"/>
      <c r="E249" s="104"/>
      <c r="F249" s="104"/>
      <c r="G249" s="104"/>
      <c r="H249" s="104"/>
      <c r="I249" s="104"/>
      <c r="J249" s="104"/>
      <c r="K249" s="104"/>
      <c r="L249" s="10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104"/>
      <c r="E250" s="104"/>
      <c r="F250" s="104"/>
      <c r="G250" s="104"/>
      <c r="H250" s="104"/>
      <c r="I250" s="104"/>
      <c r="J250" s="104"/>
      <c r="K250" s="104"/>
      <c r="L250" s="10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104"/>
      <c r="E251" s="104"/>
      <c r="F251" s="104"/>
      <c r="G251" s="104"/>
      <c r="H251" s="104"/>
      <c r="I251" s="104"/>
      <c r="J251" s="104"/>
      <c r="K251" s="104"/>
      <c r="L251" s="10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104"/>
      <c r="E252" s="104"/>
      <c r="F252" s="104"/>
      <c r="G252" s="104"/>
      <c r="H252" s="104"/>
      <c r="I252" s="104"/>
      <c r="J252" s="104"/>
      <c r="K252" s="104"/>
      <c r="L252" s="10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104"/>
      <c r="E253" s="104"/>
      <c r="F253" s="104"/>
      <c r="G253" s="104"/>
      <c r="H253" s="104"/>
      <c r="I253" s="104"/>
      <c r="J253" s="104"/>
      <c r="K253" s="104"/>
      <c r="L253" s="10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104"/>
      <c r="E254" s="104"/>
      <c r="F254" s="104"/>
      <c r="G254" s="104"/>
      <c r="H254" s="104"/>
      <c r="I254" s="104"/>
      <c r="J254" s="104"/>
      <c r="K254" s="104"/>
      <c r="L254" s="10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104"/>
      <c r="E255" s="104"/>
      <c r="F255" s="104"/>
      <c r="G255" s="104"/>
      <c r="H255" s="104"/>
      <c r="I255" s="104"/>
      <c r="J255" s="104"/>
      <c r="K255" s="104"/>
      <c r="L255" s="10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104"/>
      <c r="E256" s="104"/>
      <c r="F256" s="104"/>
      <c r="G256" s="104"/>
      <c r="H256" s="104"/>
      <c r="I256" s="104"/>
      <c r="J256" s="104"/>
      <c r="K256" s="104"/>
      <c r="L256" s="10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104"/>
      <c r="E257" s="104"/>
      <c r="F257" s="104"/>
      <c r="G257" s="104"/>
      <c r="H257" s="104"/>
      <c r="I257" s="104"/>
      <c r="J257" s="104"/>
      <c r="K257" s="104"/>
      <c r="L257" s="10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104"/>
      <c r="E258" s="104"/>
      <c r="F258" s="104"/>
      <c r="G258" s="104"/>
      <c r="H258" s="104"/>
      <c r="I258" s="104"/>
      <c r="J258" s="104"/>
      <c r="K258" s="104"/>
      <c r="L258" s="10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104"/>
      <c r="E259" s="104"/>
      <c r="F259" s="104"/>
      <c r="G259" s="104"/>
      <c r="H259" s="104"/>
      <c r="I259" s="104"/>
      <c r="J259" s="104"/>
      <c r="K259" s="104"/>
      <c r="L259" s="10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104"/>
      <c r="E260" s="104"/>
      <c r="F260" s="104"/>
      <c r="G260" s="104"/>
      <c r="H260" s="104"/>
      <c r="I260" s="104"/>
      <c r="J260" s="104"/>
      <c r="K260" s="104"/>
      <c r="L260" s="10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104"/>
      <c r="E261" s="104"/>
      <c r="F261" s="104"/>
      <c r="G261" s="104"/>
      <c r="H261" s="104"/>
      <c r="I261" s="104"/>
      <c r="J261" s="104"/>
      <c r="K261" s="104"/>
      <c r="L261" s="10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104"/>
      <c r="E262" s="104"/>
      <c r="F262" s="104"/>
      <c r="G262" s="104"/>
      <c r="H262" s="104"/>
      <c r="I262" s="104"/>
      <c r="J262" s="104"/>
      <c r="K262" s="104"/>
      <c r="L262" s="10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104"/>
      <c r="E263" s="104"/>
      <c r="F263" s="104"/>
      <c r="G263" s="104"/>
      <c r="H263" s="104"/>
      <c r="I263" s="104"/>
      <c r="J263" s="104"/>
      <c r="K263" s="104"/>
      <c r="L263" s="10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104"/>
      <c r="E264" s="104"/>
      <c r="F264" s="104"/>
      <c r="G264" s="104"/>
      <c r="H264" s="104"/>
      <c r="I264" s="104"/>
      <c r="J264" s="104"/>
      <c r="K264" s="104"/>
      <c r="L264" s="10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104"/>
      <c r="E265" s="104"/>
      <c r="F265" s="104"/>
      <c r="G265" s="104"/>
      <c r="H265" s="104"/>
      <c r="I265" s="104"/>
      <c r="J265" s="104"/>
      <c r="K265" s="104"/>
      <c r="L265" s="10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104"/>
      <c r="E266" s="104"/>
      <c r="F266" s="104"/>
      <c r="G266" s="104"/>
      <c r="H266" s="104"/>
      <c r="I266" s="104"/>
      <c r="J266" s="104"/>
      <c r="K266" s="104"/>
      <c r="L266" s="10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104"/>
      <c r="E267" s="104"/>
      <c r="F267" s="104"/>
      <c r="G267" s="104"/>
      <c r="H267" s="104"/>
      <c r="I267" s="104"/>
      <c r="J267" s="104"/>
      <c r="K267" s="104"/>
      <c r="L267" s="10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104"/>
      <c r="E268" s="104"/>
      <c r="F268" s="104"/>
      <c r="G268" s="104"/>
      <c r="H268" s="104"/>
      <c r="I268" s="104"/>
      <c r="J268" s="104"/>
      <c r="K268" s="104"/>
      <c r="L268" s="10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104"/>
      <c r="E269" s="104"/>
      <c r="F269" s="104"/>
      <c r="G269" s="104"/>
      <c r="H269" s="104"/>
      <c r="I269" s="104"/>
      <c r="J269" s="104"/>
      <c r="K269" s="104"/>
      <c r="L269" s="10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104"/>
      <c r="E270" s="104"/>
      <c r="F270" s="104"/>
      <c r="G270" s="104"/>
      <c r="H270" s="104"/>
      <c r="I270" s="104"/>
      <c r="J270" s="104"/>
      <c r="K270" s="104"/>
      <c r="L270" s="10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104"/>
      <c r="E271" s="104"/>
      <c r="F271" s="104"/>
      <c r="G271" s="104"/>
      <c r="H271" s="104"/>
      <c r="I271" s="104"/>
      <c r="J271" s="104"/>
      <c r="K271" s="104"/>
      <c r="L271" s="10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104"/>
      <c r="E272" s="104"/>
      <c r="F272" s="104"/>
      <c r="G272" s="104"/>
      <c r="H272" s="104"/>
      <c r="I272" s="104"/>
      <c r="J272" s="104"/>
      <c r="K272" s="104"/>
      <c r="L272" s="10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</sheetData>
  <mergeCells count="1">
    <mergeCell ref="D1:L1"/>
  </mergeCells>
  <hyperlinks>
    <hyperlink r:id="rId1" ref="B75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13.33"/>
    <col customWidth="1" min="2" max="2" width="30.0"/>
    <col customWidth="1" min="3" max="3" width="20.0"/>
    <col customWidth="1" min="4" max="12" width="18.33"/>
    <col customWidth="1" min="13" max="19" width="10.11"/>
    <col customWidth="1" min="20" max="26" width="11.11"/>
  </cols>
  <sheetData>
    <row r="1" ht="18.0" customHeight="1">
      <c r="A1" s="105"/>
      <c r="B1" s="106"/>
      <c r="C1" s="105"/>
      <c r="D1" s="107">
        <v>2026.0</v>
      </c>
      <c r="E1" s="108"/>
      <c r="F1" s="108"/>
      <c r="G1" s="108"/>
      <c r="H1" s="108"/>
      <c r="I1" s="108"/>
      <c r="J1" s="108"/>
      <c r="K1" s="108"/>
      <c r="L1" s="109"/>
      <c r="M1" s="17"/>
      <c r="N1" s="17"/>
      <c r="O1" s="17"/>
      <c r="P1" s="17"/>
      <c r="Q1" s="17"/>
      <c r="R1" s="17"/>
      <c r="S1" s="17"/>
      <c r="T1" s="3"/>
      <c r="U1" s="3"/>
      <c r="V1" s="3"/>
      <c r="W1" s="3"/>
      <c r="X1" s="3"/>
      <c r="Y1" s="3"/>
      <c r="Z1" s="3"/>
    </row>
    <row r="2" ht="15.75" customHeight="1">
      <c r="A2" s="110" t="s">
        <v>72</v>
      </c>
      <c r="B2" s="106"/>
      <c r="C2" s="105"/>
      <c r="D2" s="112" t="s">
        <v>33</v>
      </c>
      <c r="E2" s="112" t="s">
        <v>34</v>
      </c>
      <c r="F2" s="112" t="s">
        <v>35</v>
      </c>
      <c r="G2" s="112" t="s">
        <v>36</v>
      </c>
      <c r="H2" s="112" t="s">
        <v>37</v>
      </c>
      <c r="I2" s="112" t="s">
        <v>38</v>
      </c>
      <c r="J2" s="112" t="s">
        <v>39</v>
      </c>
      <c r="K2" s="112" t="s">
        <v>40</v>
      </c>
      <c r="L2" s="112" t="s">
        <v>41</v>
      </c>
      <c r="M2" s="17"/>
      <c r="N2" s="17"/>
      <c r="O2" s="17"/>
      <c r="P2" s="17"/>
      <c r="Q2" s="17"/>
      <c r="R2" s="17"/>
      <c r="S2" s="17"/>
      <c r="T2" s="3"/>
      <c r="U2" s="3"/>
      <c r="V2" s="3"/>
      <c r="W2" s="3"/>
      <c r="X2" s="3"/>
      <c r="Y2" s="3"/>
      <c r="Z2" s="3"/>
    </row>
    <row r="3" ht="16.5" customHeight="1">
      <c r="A3" s="114"/>
      <c r="B3" s="115" t="s">
        <v>54</v>
      </c>
      <c r="C3" s="115">
        <f t="shared" ref="C3:C7" si="2">SUM(D3:L3)</f>
        <v>319519</v>
      </c>
      <c r="D3" s="131">
        <f t="shared" ref="D3:L3" si="1">SUM(D4:D135)</f>
        <v>0</v>
      </c>
      <c r="E3" s="131">
        <f t="shared" si="1"/>
        <v>17054</v>
      </c>
      <c r="F3" s="131">
        <f t="shared" si="1"/>
        <v>140705</v>
      </c>
      <c r="G3" s="131">
        <f t="shared" si="1"/>
        <v>76000</v>
      </c>
      <c r="H3" s="131">
        <f t="shared" si="1"/>
        <v>19400</v>
      </c>
      <c r="I3" s="131">
        <f t="shared" si="1"/>
        <v>23500</v>
      </c>
      <c r="J3" s="131">
        <f t="shared" si="1"/>
        <v>30730</v>
      </c>
      <c r="K3" s="131">
        <f t="shared" si="1"/>
        <v>12130</v>
      </c>
      <c r="L3" s="131">
        <f t="shared" si="1"/>
        <v>0</v>
      </c>
      <c r="M3" s="63"/>
      <c r="N3" s="63"/>
      <c r="O3" s="63"/>
      <c r="P3" s="63"/>
      <c r="Q3" s="63"/>
      <c r="R3" s="63"/>
      <c r="S3" s="63"/>
      <c r="T3" s="3"/>
      <c r="U3" s="3"/>
      <c r="V3" s="3"/>
      <c r="W3" s="3"/>
      <c r="X3" s="3"/>
      <c r="Y3" s="3"/>
      <c r="Z3" s="3"/>
    </row>
    <row r="4" ht="16.5" customHeight="1">
      <c r="A4" s="132">
        <v>710104.0</v>
      </c>
      <c r="B4" s="133" t="s">
        <v>190</v>
      </c>
      <c r="C4" s="119">
        <f t="shared" si="2"/>
        <v>5325</v>
      </c>
      <c r="D4" s="123"/>
      <c r="E4" s="123"/>
      <c r="F4" s="121">
        <v>5325.0</v>
      </c>
      <c r="G4" s="123"/>
      <c r="H4" s="123"/>
      <c r="I4" s="123"/>
      <c r="J4" s="123"/>
      <c r="K4" s="123"/>
      <c r="L4" s="12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32">
        <v>630511.0</v>
      </c>
      <c r="B5" s="134" t="s">
        <v>191</v>
      </c>
      <c r="C5" s="125">
        <f t="shared" si="2"/>
        <v>7500</v>
      </c>
      <c r="D5" s="128"/>
      <c r="E5" s="128"/>
      <c r="F5" s="128"/>
      <c r="G5" s="128">
        <v>7500.0</v>
      </c>
      <c r="H5" s="128"/>
      <c r="I5" s="128"/>
      <c r="J5" s="128"/>
      <c r="K5" s="128"/>
      <c r="L5" s="12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32">
        <v>630519.0</v>
      </c>
      <c r="B6" s="134" t="s">
        <v>192</v>
      </c>
      <c r="C6" s="125">
        <f t="shared" si="2"/>
        <v>0</v>
      </c>
      <c r="D6" s="128"/>
      <c r="E6" s="128"/>
      <c r="F6" s="128"/>
      <c r="G6" s="128">
        <v>0.0</v>
      </c>
      <c r="H6" s="128"/>
      <c r="I6" s="128"/>
      <c r="J6" s="128"/>
      <c r="K6" s="128"/>
      <c r="L6" s="12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32">
        <v>350101.0</v>
      </c>
      <c r="B7" s="134" t="s">
        <v>193</v>
      </c>
      <c r="C7" s="125">
        <f t="shared" si="2"/>
        <v>60000</v>
      </c>
      <c r="D7" s="128"/>
      <c r="E7" s="128"/>
      <c r="F7" s="128"/>
      <c r="G7" s="128">
        <v>50000.0</v>
      </c>
      <c r="H7" s="128"/>
      <c r="I7" s="128"/>
      <c r="J7" s="128">
        <v>10000.0</v>
      </c>
      <c r="K7" s="128"/>
      <c r="L7" s="12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32">
        <v>350305.0</v>
      </c>
      <c r="B8" s="134" t="s">
        <v>194</v>
      </c>
      <c r="C8" s="125"/>
      <c r="D8" s="150"/>
      <c r="E8" s="150"/>
      <c r="F8" s="150"/>
      <c r="G8" s="150"/>
      <c r="H8" s="150"/>
      <c r="I8" s="150"/>
      <c r="J8" s="150"/>
      <c r="K8" s="150"/>
      <c r="L8" s="150"/>
      <c r="M8" s="151"/>
      <c r="N8" s="151"/>
      <c r="O8" s="151"/>
      <c r="P8" s="151"/>
      <c r="Q8" s="151"/>
      <c r="R8" s="151"/>
      <c r="S8" s="151"/>
      <c r="T8" s="3"/>
      <c r="U8" s="3"/>
      <c r="V8" s="3"/>
      <c r="W8" s="3"/>
      <c r="X8" s="3"/>
      <c r="Y8" s="3"/>
      <c r="Z8" s="3"/>
    </row>
    <row r="9" ht="15.75" customHeight="1">
      <c r="A9" s="132">
        <v>390590.0</v>
      </c>
      <c r="B9" s="134" t="s">
        <v>195</v>
      </c>
      <c r="C9" s="125">
        <f t="shared" ref="C9:C69" si="3">SUM(D9:L9)</f>
        <v>103200</v>
      </c>
      <c r="D9" s="128"/>
      <c r="E9" s="127">
        <v>14000.0</v>
      </c>
      <c r="F9" s="128">
        <v>12300.0</v>
      </c>
      <c r="G9" s="128">
        <v>15000.0</v>
      </c>
      <c r="H9" s="128">
        <v>15400.0</v>
      </c>
      <c r="I9" s="128">
        <v>19000.0</v>
      </c>
      <c r="J9" s="128">
        <v>17500.0</v>
      </c>
      <c r="K9" s="128">
        <v>10000.0</v>
      </c>
      <c r="L9" s="12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32"/>
      <c r="B10" s="134" t="s">
        <v>196</v>
      </c>
      <c r="C10" s="125">
        <f t="shared" si="3"/>
        <v>14540</v>
      </c>
      <c r="D10" s="128"/>
      <c r="E10" s="127">
        <v>1920.0</v>
      </c>
      <c r="F10" s="128">
        <v>1210.0</v>
      </c>
      <c r="G10" s="128">
        <v>2400.0</v>
      </c>
      <c r="H10" s="128">
        <v>2900.0</v>
      </c>
      <c r="I10" s="128">
        <v>2700.0</v>
      </c>
      <c r="J10" s="128">
        <v>2030.0</v>
      </c>
      <c r="K10" s="128">
        <v>1380.0</v>
      </c>
      <c r="L10" s="12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32">
        <v>390593.0</v>
      </c>
      <c r="B11" s="134" t="s">
        <v>197</v>
      </c>
      <c r="C11" s="125">
        <f t="shared" si="3"/>
        <v>7954</v>
      </c>
      <c r="D11" s="128"/>
      <c r="E11" s="127">
        <v>1134.0</v>
      </c>
      <c r="F11" s="128">
        <v>870.0</v>
      </c>
      <c r="G11" s="128">
        <v>1100.0</v>
      </c>
      <c r="H11" s="128">
        <v>1100.0</v>
      </c>
      <c r="I11" s="128">
        <v>1800.0</v>
      </c>
      <c r="J11" s="128">
        <v>1200.0</v>
      </c>
      <c r="K11" s="128">
        <v>750.0</v>
      </c>
      <c r="L11" s="12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52">
        <v>630519.0</v>
      </c>
      <c r="B12" s="137" t="s">
        <v>198</v>
      </c>
      <c r="C12" s="125">
        <f t="shared" si="3"/>
        <v>0</v>
      </c>
      <c r="D12" s="150"/>
      <c r="E12" s="150"/>
      <c r="F12" s="150"/>
      <c r="G12" s="150"/>
      <c r="H12" s="150"/>
      <c r="I12" s="150"/>
      <c r="J12" s="150"/>
      <c r="K12" s="150"/>
      <c r="L12" s="150"/>
      <c r="M12" s="151"/>
      <c r="N12" s="151"/>
      <c r="O12" s="151"/>
      <c r="P12" s="151"/>
      <c r="Q12" s="151"/>
      <c r="R12" s="151"/>
      <c r="S12" s="151"/>
      <c r="T12" s="3"/>
      <c r="U12" s="3"/>
      <c r="V12" s="3"/>
      <c r="W12" s="3"/>
      <c r="X12" s="3"/>
      <c r="Y12" s="3"/>
      <c r="Z12" s="3"/>
    </row>
    <row r="13" ht="15.75" customHeight="1">
      <c r="A13" s="153"/>
      <c r="B13" s="137" t="s">
        <v>199</v>
      </c>
      <c r="C13" s="125">
        <f t="shared" si="3"/>
        <v>0</v>
      </c>
      <c r="D13" s="150"/>
      <c r="E13" s="150"/>
      <c r="F13" s="150"/>
      <c r="G13" s="150"/>
      <c r="H13" s="150"/>
      <c r="I13" s="150"/>
      <c r="J13" s="150"/>
      <c r="K13" s="150"/>
      <c r="L13" s="150"/>
      <c r="M13" s="151"/>
      <c r="N13" s="151"/>
      <c r="O13" s="151"/>
      <c r="P13" s="151"/>
      <c r="Q13" s="151"/>
      <c r="R13" s="151"/>
      <c r="S13" s="151"/>
      <c r="T13" s="3"/>
      <c r="U13" s="3"/>
      <c r="V13" s="3"/>
      <c r="W13" s="3"/>
      <c r="X13" s="3"/>
      <c r="Y13" s="3"/>
      <c r="Z13" s="3"/>
    </row>
    <row r="14" ht="15.75" customHeight="1">
      <c r="A14" s="23"/>
      <c r="B14" s="137" t="s">
        <v>200</v>
      </c>
      <c r="C14" s="125">
        <f t="shared" si="3"/>
        <v>121000</v>
      </c>
      <c r="D14" s="150"/>
      <c r="E14" s="150"/>
      <c r="F14" s="154">
        <v>121000.0</v>
      </c>
      <c r="G14" s="150"/>
      <c r="H14" s="150"/>
      <c r="I14" s="150"/>
      <c r="J14" s="150"/>
      <c r="K14" s="150"/>
      <c r="L14" s="150"/>
      <c r="M14" s="151"/>
      <c r="N14" s="151"/>
      <c r="O14" s="151"/>
      <c r="P14" s="151"/>
      <c r="Q14" s="151"/>
      <c r="R14" s="151"/>
      <c r="S14" s="151"/>
      <c r="T14" s="3"/>
      <c r="U14" s="3"/>
      <c r="V14" s="3"/>
      <c r="W14" s="3"/>
      <c r="X14" s="3"/>
      <c r="Y14" s="3"/>
      <c r="Z14" s="3"/>
    </row>
    <row r="15" ht="15.75" customHeight="1">
      <c r="A15" s="132"/>
      <c r="B15" s="137"/>
      <c r="C15" s="125">
        <f t="shared" si="3"/>
        <v>0</v>
      </c>
      <c r="D15" s="128"/>
      <c r="E15" s="128"/>
      <c r="F15" s="128"/>
      <c r="G15" s="128"/>
      <c r="H15" s="128"/>
      <c r="I15" s="128"/>
      <c r="J15" s="128"/>
      <c r="K15" s="128"/>
      <c r="L15" s="12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32"/>
      <c r="B16" s="137"/>
      <c r="C16" s="125">
        <f t="shared" si="3"/>
        <v>0</v>
      </c>
      <c r="D16" s="128"/>
      <c r="E16" s="128"/>
      <c r="F16" s="128"/>
      <c r="G16" s="128"/>
      <c r="H16" s="128"/>
      <c r="I16" s="128"/>
      <c r="J16" s="128"/>
      <c r="K16" s="128"/>
      <c r="L16" s="12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32"/>
      <c r="B17" s="137"/>
      <c r="C17" s="125">
        <f t="shared" si="3"/>
        <v>0</v>
      </c>
      <c r="D17" s="128"/>
      <c r="E17" s="128"/>
      <c r="F17" s="128"/>
      <c r="G17" s="128"/>
      <c r="H17" s="128"/>
      <c r="I17" s="128"/>
      <c r="J17" s="128"/>
      <c r="K17" s="128"/>
      <c r="L17" s="12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32"/>
      <c r="B18" s="137"/>
      <c r="C18" s="125">
        <f t="shared" si="3"/>
        <v>0</v>
      </c>
      <c r="D18" s="128"/>
      <c r="E18" s="128"/>
      <c r="F18" s="128"/>
      <c r="G18" s="128"/>
      <c r="H18" s="128"/>
      <c r="I18" s="128"/>
      <c r="J18" s="128"/>
      <c r="K18" s="128"/>
      <c r="L18" s="12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32"/>
      <c r="B19" s="137"/>
      <c r="C19" s="125">
        <f t="shared" si="3"/>
        <v>0</v>
      </c>
      <c r="D19" s="128"/>
      <c r="E19" s="128"/>
      <c r="F19" s="128"/>
      <c r="G19" s="128"/>
      <c r="H19" s="128"/>
      <c r="I19" s="128"/>
      <c r="J19" s="128"/>
      <c r="K19" s="128"/>
      <c r="L19" s="12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32"/>
      <c r="B20" s="137"/>
      <c r="C20" s="125">
        <f t="shared" si="3"/>
        <v>0</v>
      </c>
      <c r="D20" s="128"/>
      <c r="E20" s="128"/>
      <c r="F20" s="128"/>
      <c r="G20" s="128"/>
      <c r="H20" s="128"/>
      <c r="I20" s="128"/>
      <c r="J20" s="128"/>
      <c r="K20" s="128"/>
      <c r="L20" s="12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2"/>
      <c r="B21" s="137"/>
      <c r="C21" s="125">
        <f t="shared" si="3"/>
        <v>0</v>
      </c>
      <c r="D21" s="128"/>
      <c r="E21" s="128"/>
      <c r="F21" s="128"/>
      <c r="G21" s="128"/>
      <c r="H21" s="128"/>
      <c r="I21" s="128"/>
      <c r="J21" s="128"/>
      <c r="K21" s="128"/>
      <c r="L21" s="12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2"/>
      <c r="B22" s="137"/>
      <c r="C22" s="125">
        <f t="shared" si="3"/>
        <v>0</v>
      </c>
      <c r="D22" s="128"/>
      <c r="E22" s="128"/>
      <c r="F22" s="128"/>
      <c r="G22" s="128"/>
      <c r="H22" s="128"/>
      <c r="I22" s="128"/>
      <c r="J22" s="128"/>
      <c r="K22" s="128"/>
      <c r="L22" s="12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32"/>
      <c r="B23" s="137"/>
      <c r="C23" s="125">
        <f t="shared" si="3"/>
        <v>0</v>
      </c>
      <c r="D23" s="128"/>
      <c r="E23" s="128"/>
      <c r="F23" s="128"/>
      <c r="G23" s="128"/>
      <c r="H23" s="128"/>
      <c r="I23" s="128"/>
      <c r="J23" s="128"/>
      <c r="K23" s="128"/>
      <c r="L23" s="12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2"/>
      <c r="B24" s="137"/>
      <c r="C24" s="125">
        <f t="shared" si="3"/>
        <v>0</v>
      </c>
      <c r="D24" s="128"/>
      <c r="E24" s="128"/>
      <c r="F24" s="128"/>
      <c r="G24" s="128"/>
      <c r="H24" s="128"/>
      <c r="I24" s="128"/>
      <c r="J24" s="128"/>
      <c r="K24" s="128"/>
      <c r="L24" s="12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2"/>
      <c r="B25" s="137"/>
      <c r="C25" s="125">
        <f t="shared" si="3"/>
        <v>0</v>
      </c>
      <c r="D25" s="128"/>
      <c r="E25" s="128"/>
      <c r="F25" s="128"/>
      <c r="G25" s="128"/>
      <c r="H25" s="128"/>
      <c r="I25" s="128"/>
      <c r="J25" s="128"/>
      <c r="K25" s="128"/>
      <c r="L25" s="12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2"/>
      <c r="B26" s="137"/>
      <c r="C26" s="125">
        <f t="shared" si="3"/>
        <v>0</v>
      </c>
      <c r="D26" s="128"/>
      <c r="E26" s="128"/>
      <c r="F26" s="128"/>
      <c r="G26" s="128"/>
      <c r="H26" s="128"/>
      <c r="I26" s="128"/>
      <c r="J26" s="128"/>
      <c r="K26" s="128"/>
      <c r="L26" s="12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2"/>
      <c r="B27" s="137"/>
      <c r="C27" s="125">
        <f t="shared" si="3"/>
        <v>0</v>
      </c>
      <c r="D27" s="128"/>
      <c r="E27" s="128"/>
      <c r="F27" s="128"/>
      <c r="G27" s="128"/>
      <c r="H27" s="128"/>
      <c r="I27" s="128"/>
      <c r="J27" s="128"/>
      <c r="K27" s="128"/>
      <c r="L27" s="12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2"/>
      <c r="B28" s="137"/>
      <c r="C28" s="125">
        <f t="shared" si="3"/>
        <v>0</v>
      </c>
      <c r="D28" s="128"/>
      <c r="E28" s="128"/>
      <c r="F28" s="128"/>
      <c r="G28" s="128"/>
      <c r="H28" s="128"/>
      <c r="I28" s="128"/>
      <c r="J28" s="128"/>
      <c r="K28" s="128"/>
      <c r="L28" s="12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2"/>
      <c r="B29" s="137"/>
      <c r="C29" s="125">
        <f t="shared" si="3"/>
        <v>0</v>
      </c>
      <c r="D29" s="128"/>
      <c r="E29" s="128"/>
      <c r="F29" s="128"/>
      <c r="G29" s="128"/>
      <c r="H29" s="128"/>
      <c r="I29" s="128"/>
      <c r="J29" s="128"/>
      <c r="K29" s="128"/>
      <c r="L29" s="12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32"/>
      <c r="B30" s="137"/>
      <c r="C30" s="125">
        <f t="shared" si="3"/>
        <v>0</v>
      </c>
      <c r="D30" s="128"/>
      <c r="E30" s="128"/>
      <c r="F30" s="128"/>
      <c r="G30" s="128"/>
      <c r="H30" s="128"/>
      <c r="I30" s="128"/>
      <c r="J30" s="128"/>
      <c r="K30" s="128"/>
      <c r="L30" s="12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2"/>
      <c r="B31" s="137"/>
      <c r="C31" s="125">
        <f t="shared" si="3"/>
        <v>0</v>
      </c>
      <c r="D31" s="128"/>
      <c r="E31" s="128"/>
      <c r="F31" s="128"/>
      <c r="G31" s="128"/>
      <c r="H31" s="128"/>
      <c r="I31" s="128"/>
      <c r="J31" s="128"/>
      <c r="K31" s="128"/>
      <c r="L31" s="12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32"/>
      <c r="B32" s="137"/>
      <c r="C32" s="125">
        <f t="shared" si="3"/>
        <v>0</v>
      </c>
      <c r="D32" s="128"/>
      <c r="E32" s="128"/>
      <c r="F32" s="128"/>
      <c r="G32" s="128"/>
      <c r="H32" s="128"/>
      <c r="I32" s="128"/>
      <c r="J32" s="128"/>
      <c r="K32" s="128"/>
      <c r="L32" s="12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2"/>
      <c r="B33" s="137"/>
      <c r="C33" s="125">
        <f t="shared" si="3"/>
        <v>0</v>
      </c>
      <c r="D33" s="128"/>
      <c r="E33" s="128"/>
      <c r="F33" s="128"/>
      <c r="G33" s="128"/>
      <c r="H33" s="128"/>
      <c r="I33" s="128"/>
      <c r="J33" s="128"/>
      <c r="K33" s="128"/>
      <c r="L33" s="12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2"/>
      <c r="B34" s="137"/>
      <c r="C34" s="125">
        <f t="shared" si="3"/>
        <v>0</v>
      </c>
      <c r="D34" s="128"/>
      <c r="E34" s="128"/>
      <c r="F34" s="128"/>
      <c r="G34" s="128"/>
      <c r="H34" s="128"/>
      <c r="I34" s="128"/>
      <c r="J34" s="128"/>
      <c r="K34" s="128"/>
      <c r="L34" s="12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32"/>
      <c r="B35" s="137"/>
      <c r="C35" s="125">
        <f t="shared" si="3"/>
        <v>0</v>
      </c>
      <c r="D35" s="128"/>
      <c r="E35" s="128"/>
      <c r="F35" s="128"/>
      <c r="G35" s="128"/>
      <c r="H35" s="128"/>
      <c r="I35" s="128"/>
      <c r="J35" s="128"/>
      <c r="K35" s="128"/>
      <c r="L35" s="12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32"/>
      <c r="B36" s="137"/>
      <c r="C36" s="125">
        <f t="shared" si="3"/>
        <v>0</v>
      </c>
      <c r="D36" s="128"/>
      <c r="E36" s="128"/>
      <c r="F36" s="128"/>
      <c r="G36" s="128"/>
      <c r="H36" s="128"/>
      <c r="I36" s="128"/>
      <c r="J36" s="128"/>
      <c r="K36" s="128"/>
      <c r="L36" s="12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32"/>
      <c r="B37" s="137"/>
      <c r="C37" s="125">
        <f t="shared" si="3"/>
        <v>0</v>
      </c>
      <c r="D37" s="128"/>
      <c r="E37" s="128"/>
      <c r="F37" s="128"/>
      <c r="G37" s="128"/>
      <c r="H37" s="128"/>
      <c r="I37" s="128"/>
      <c r="J37" s="128"/>
      <c r="K37" s="128"/>
      <c r="L37" s="12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2"/>
      <c r="B38" s="137"/>
      <c r="C38" s="125">
        <f t="shared" si="3"/>
        <v>0</v>
      </c>
      <c r="D38" s="128"/>
      <c r="E38" s="128"/>
      <c r="F38" s="128"/>
      <c r="G38" s="128"/>
      <c r="H38" s="128"/>
      <c r="I38" s="128"/>
      <c r="J38" s="128"/>
      <c r="K38" s="128"/>
      <c r="L38" s="12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32"/>
      <c r="B39" s="137"/>
      <c r="C39" s="125">
        <f t="shared" si="3"/>
        <v>0</v>
      </c>
      <c r="D39" s="128"/>
      <c r="E39" s="128"/>
      <c r="F39" s="128"/>
      <c r="G39" s="128"/>
      <c r="H39" s="128"/>
      <c r="I39" s="128"/>
      <c r="J39" s="128"/>
      <c r="K39" s="128"/>
      <c r="L39" s="12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32"/>
      <c r="B40" s="137"/>
      <c r="C40" s="125">
        <f t="shared" si="3"/>
        <v>0</v>
      </c>
      <c r="D40" s="128"/>
      <c r="E40" s="128"/>
      <c r="F40" s="128"/>
      <c r="G40" s="128"/>
      <c r="H40" s="128"/>
      <c r="I40" s="128"/>
      <c r="J40" s="128"/>
      <c r="K40" s="128"/>
      <c r="L40" s="12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32"/>
      <c r="B41" s="137"/>
      <c r="C41" s="125">
        <f t="shared" si="3"/>
        <v>0</v>
      </c>
      <c r="D41" s="128"/>
      <c r="E41" s="128"/>
      <c r="F41" s="128"/>
      <c r="G41" s="128"/>
      <c r="H41" s="128"/>
      <c r="I41" s="128"/>
      <c r="J41" s="128"/>
      <c r="K41" s="128"/>
      <c r="L41" s="12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32"/>
      <c r="B42" s="137"/>
      <c r="C42" s="125">
        <f t="shared" si="3"/>
        <v>0</v>
      </c>
      <c r="D42" s="128"/>
      <c r="E42" s="128"/>
      <c r="F42" s="128"/>
      <c r="G42" s="128"/>
      <c r="H42" s="128"/>
      <c r="I42" s="128"/>
      <c r="J42" s="128"/>
      <c r="K42" s="128"/>
      <c r="L42" s="12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32"/>
      <c r="B43" s="137"/>
      <c r="C43" s="125">
        <f t="shared" si="3"/>
        <v>0</v>
      </c>
      <c r="D43" s="128"/>
      <c r="E43" s="128"/>
      <c r="F43" s="128"/>
      <c r="G43" s="128"/>
      <c r="H43" s="128"/>
      <c r="I43" s="128"/>
      <c r="J43" s="128"/>
      <c r="K43" s="128"/>
      <c r="L43" s="12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32"/>
      <c r="B44" s="137"/>
      <c r="C44" s="125">
        <f t="shared" si="3"/>
        <v>0</v>
      </c>
      <c r="D44" s="128"/>
      <c r="E44" s="128"/>
      <c r="F44" s="128"/>
      <c r="G44" s="128"/>
      <c r="H44" s="128"/>
      <c r="I44" s="128"/>
      <c r="J44" s="128"/>
      <c r="K44" s="128"/>
      <c r="L44" s="12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32"/>
      <c r="B45" s="137"/>
      <c r="C45" s="125">
        <f t="shared" si="3"/>
        <v>0</v>
      </c>
      <c r="D45" s="128"/>
      <c r="E45" s="128"/>
      <c r="F45" s="128"/>
      <c r="G45" s="128"/>
      <c r="H45" s="128"/>
      <c r="I45" s="128"/>
      <c r="J45" s="128"/>
      <c r="K45" s="128"/>
      <c r="L45" s="12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32"/>
      <c r="B46" s="137"/>
      <c r="C46" s="125">
        <f t="shared" si="3"/>
        <v>0</v>
      </c>
      <c r="D46" s="128"/>
      <c r="E46" s="128"/>
      <c r="F46" s="128"/>
      <c r="G46" s="128"/>
      <c r="H46" s="128"/>
      <c r="I46" s="128"/>
      <c r="J46" s="128"/>
      <c r="K46" s="128"/>
      <c r="L46" s="12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32"/>
      <c r="B47" s="137"/>
      <c r="C47" s="125">
        <f t="shared" si="3"/>
        <v>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32"/>
      <c r="B48" s="137"/>
      <c r="C48" s="125">
        <f t="shared" si="3"/>
        <v>0</v>
      </c>
      <c r="D48" s="128"/>
      <c r="E48" s="128"/>
      <c r="F48" s="128"/>
      <c r="G48" s="128"/>
      <c r="H48" s="128"/>
      <c r="I48" s="128"/>
      <c r="J48" s="128"/>
      <c r="K48" s="128"/>
      <c r="L48" s="12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32"/>
      <c r="B49" s="137"/>
      <c r="C49" s="125">
        <f t="shared" si="3"/>
        <v>0</v>
      </c>
      <c r="D49" s="128"/>
      <c r="E49" s="128"/>
      <c r="F49" s="128"/>
      <c r="G49" s="128"/>
      <c r="H49" s="128"/>
      <c r="I49" s="128"/>
      <c r="J49" s="128"/>
      <c r="K49" s="128"/>
      <c r="L49" s="12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32"/>
      <c r="B50" s="137"/>
      <c r="C50" s="125">
        <f t="shared" si="3"/>
        <v>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32"/>
      <c r="B51" s="137"/>
      <c r="C51" s="125">
        <f t="shared" si="3"/>
        <v>0</v>
      </c>
      <c r="D51" s="128"/>
      <c r="E51" s="128"/>
      <c r="F51" s="128"/>
      <c r="G51" s="128"/>
      <c r="H51" s="128"/>
      <c r="I51" s="128"/>
      <c r="J51" s="128"/>
      <c r="K51" s="128"/>
      <c r="L51" s="12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32"/>
      <c r="B52" s="137"/>
      <c r="C52" s="125">
        <f t="shared" si="3"/>
        <v>0</v>
      </c>
      <c r="D52" s="128"/>
      <c r="E52" s="128"/>
      <c r="F52" s="128"/>
      <c r="G52" s="128"/>
      <c r="H52" s="128"/>
      <c r="I52" s="128"/>
      <c r="J52" s="128"/>
      <c r="K52" s="128"/>
      <c r="L52" s="12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32"/>
      <c r="B53" s="137"/>
      <c r="C53" s="125">
        <f t="shared" si="3"/>
        <v>0</v>
      </c>
      <c r="D53" s="128"/>
      <c r="E53" s="128"/>
      <c r="F53" s="128"/>
      <c r="G53" s="128"/>
      <c r="H53" s="128"/>
      <c r="I53" s="128"/>
      <c r="J53" s="128"/>
      <c r="K53" s="128"/>
      <c r="L53" s="12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32"/>
      <c r="B54" s="137"/>
      <c r="C54" s="125">
        <f t="shared" si="3"/>
        <v>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32"/>
      <c r="B55" s="137"/>
      <c r="C55" s="125">
        <f t="shared" si="3"/>
        <v>0</v>
      </c>
      <c r="D55" s="128"/>
      <c r="E55" s="128"/>
      <c r="F55" s="128"/>
      <c r="G55" s="128"/>
      <c r="H55" s="128"/>
      <c r="I55" s="128"/>
      <c r="J55" s="128"/>
      <c r="K55" s="128"/>
      <c r="L55" s="12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32"/>
      <c r="B56" s="137"/>
      <c r="C56" s="125">
        <f t="shared" si="3"/>
        <v>0</v>
      </c>
      <c r="D56" s="128"/>
      <c r="E56" s="128"/>
      <c r="F56" s="128"/>
      <c r="G56" s="128"/>
      <c r="H56" s="128"/>
      <c r="I56" s="128"/>
      <c r="J56" s="128"/>
      <c r="K56" s="128"/>
      <c r="L56" s="12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32"/>
      <c r="B57" s="137"/>
      <c r="C57" s="125">
        <f t="shared" si="3"/>
        <v>0</v>
      </c>
      <c r="D57" s="128"/>
      <c r="E57" s="128"/>
      <c r="F57" s="128"/>
      <c r="G57" s="128"/>
      <c r="H57" s="128"/>
      <c r="I57" s="128"/>
      <c r="J57" s="128"/>
      <c r="K57" s="128"/>
      <c r="L57" s="12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32"/>
      <c r="B58" s="137"/>
      <c r="C58" s="125">
        <f t="shared" si="3"/>
        <v>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32"/>
      <c r="B59" s="137"/>
      <c r="C59" s="125">
        <f t="shared" si="3"/>
        <v>0</v>
      </c>
      <c r="D59" s="128"/>
      <c r="E59" s="128"/>
      <c r="F59" s="128"/>
      <c r="G59" s="128"/>
      <c r="H59" s="128"/>
      <c r="I59" s="128"/>
      <c r="J59" s="128"/>
      <c r="K59" s="128"/>
      <c r="L59" s="12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32"/>
      <c r="B60" s="137"/>
      <c r="C60" s="125">
        <f t="shared" si="3"/>
        <v>0</v>
      </c>
      <c r="D60" s="128"/>
      <c r="E60" s="128"/>
      <c r="F60" s="128"/>
      <c r="G60" s="128"/>
      <c r="H60" s="128"/>
      <c r="I60" s="128"/>
      <c r="J60" s="128"/>
      <c r="K60" s="128"/>
      <c r="L60" s="12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32"/>
      <c r="B61" s="137"/>
      <c r="C61" s="125">
        <f t="shared" si="3"/>
        <v>0</v>
      </c>
      <c r="D61" s="128"/>
      <c r="E61" s="128"/>
      <c r="F61" s="128"/>
      <c r="G61" s="128"/>
      <c r="H61" s="128"/>
      <c r="I61" s="128"/>
      <c r="J61" s="128"/>
      <c r="K61" s="128"/>
      <c r="L61" s="12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32"/>
      <c r="B62" s="137"/>
      <c r="C62" s="125">
        <f t="shared" si="3"/>
        <v>0</v>
      </c>
      <c r="D62" s="128"/>
      <c r="E62" s="128"/>
      <c r="F62" s="128"/>
      <c r="G62" s="128"/>
      <c r="H62" s="128"/>
      <c r="I62" s="128"/>
      <c r="J62" s="128"/>
      <c r="K62" s="128"/>
      <c r="L62" s="12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32"/>
      <c r="B63" s="137"/>
      <c r="C63" s="125">
        <f t="shared" si="3"/>
        <v>0</v>
      </c>
      <c r="D63" s="128"/>
      <c r="E63" s="128"/>
      <c r="F63" s="128"/>
      <c r="G63" s="128"/>
      <c r="H63" s="128"/>
      <c r="I63" s="128"/>
      <c r="J63" s="128"/>
      <c r="K63" s="128"/>
      <c r="L63" s="12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32"/>
      <c r="B64" s="137"/>
      <c r="C64" s="125">
        <f t="shared" si="3"/>
        <v>0</v>
      </c>
      <c r="D64" s="128"/>
      <c r="E64" s="128"/>
      <c r="F64" s="128"/>
      <c r="G64" s="128"/>
      <c r="H64" s="128"/>
      <c r="I64" s="128"/>
      <c r="J64" s="128"/>
      <c r="K64" s="128"/>
      <c r="L64" s="12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32"/>
      <c r="B65" s="137"/>
      <c r="C65" s="125">
        <f t="shared" si="3"/>
        <v>0</v>
      </c>
      <c r="D65" s="128"/>
      <c r="E65" s="128"/>
      <c r="F65" s="128"/>
      <c r="G65" s="128"/>
      <c r="H65" s="128"/>
      <c r="I65" s="128"/>
      <c r="J65" s="128"/>
      <c r="K65" s="128"/>
      <c r="L65" s="12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32"/>
      <c r="B66" s="137"/>
      <c r="C66" s="125">
        <f t="shared" si="3"/>
        <v>0</v>
      </c>
      <c r="D66" s="128"/>
      <c r="E66" s="128"/>
      <c r="F66" s="128"/>
      <c r="G66" s="128"/>
      <c r="H66" s="128"/>
      <c r="I66" s="128"/>
      <c r="J66" s="128"/>
      <c r="K66" s="128"/>
      <c r="L66" s="12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32"/>
      <c r="B67" s="137"/>
      <c r="C67" s="125">
        <f t="shared" si="3"/>
        <v>0</v>
      </c>
      <c r="D67" s="128"/>
      <c r="E67" s="128"/>
      <c r="F67" s="128"/>
      <c r="G67" s="128"/>
      <c r="H67" s="128"/>
      <c r="I67" s="128"/>
      <c r="J67" s="128"/>
      <c r="K67" s="128"/>
      <c r="L67" s="12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32"/>
      <c r="B68" s="137"/>
      <c r="C68" s="125">
        <f t="shared" si="3"/>
        <v>0</v>
      </c>
      <c r="D68" s="128"/>
      <c r="E68" s="128"/>
      <c r="F68" s="128"/>
      <c r="G68" s="128"/>
      <c r="H68" s="128"/>
      <c r="I68" s="128"/>
      <c r="J68" s="128"/>
      <c r="K68" s="128"/>
      <c r="L68" s="12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32"/>
      <c r="B69" s="138"/>
      <c r="C69" s="125">
        <f t="shared" si="3"/>
        <v>0</v>
      </c>
      <c r="D69" s="128"/>
      <c r="E69" s="128"/>
      <c r="F69" s="128"/>
      <c r="G69" s="128"/>
      <c r="H69" s="128"/>
      <c r="I69" s="128"/>
      <c r="J69" s="128"/>
      <c r="K69" s="128"/>
      <c r="L69" s="128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04"/>
      <c r="C70" s="3"/>
      <c r="D70" s="104"/>
      <c r="E70" s="104"/>
      <c r="F70" s="104"/>
      <c r="G70" s="104"/>
      <c r="H70" s="104"/>
      <c r="I70" s="104"/>
      <c r="J70" s="104"/>
      <c r="K70" s="104"/>
      <c r="L70" s="10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04"/>
      <c r="C71" s="3"/>
      <c r="D71" s="104"/>
      <c r="E71" s="104"/>
      <c r="F71" s="104"/>
      <c r="G71" s="104"/>
      <c r="H71" s="104"/>
      <c r="I71" s="104"/>
      <c r="J71" s="104"/>
      <c r="K71" s="104"/>
      <c r="L71" s="10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04"/>
      <c r="C72" s="3"/>
      <c r="D72" s="104"/>
      <c r="E72" s="104"/>
      <c r="F72" s="104"/>
      <c r="G72" s="104"/>
      <c r="H72" s="104"/>
      <c r="I72" s="104"/>
      <c r="J72" s="104"/>
      <c r="K72" s="104"/>
      <c r="L72" s="10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04"/>
      <c r="C73" s="3"/>
      <c r="D73" s="104"/>
      <c r="E73" s="104"/>
      <c r="F73" s="104"/>
      <c r="G73" s="104"/>
      <c r="H73" s="104"/>
      <c r="I73" s="104"/>
      <c r="J73" s="104"/>
      <c r="K73" s="104"/>
      <c r="L73" s="10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04"/>
      <c r="C74" s="3"/>
      <c r="D74" s="104"/>
      <c r="E74" s="104"/>
      <c r="F74" s="104"/>
      <c r="G74" s="104"/>
      <c r="H74" s="104"/>
      <c r="I74" s="104"/>
      <c r="J74" s="104"/>
      <c r="K74" s="104"/>
      <c r="L74" s="10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04"/>
      <c r="C75" s="3"/>
      <c r="D75" s="104"/>
      <c r="E75" s="104"/>
      <c r="F75" s="104"/>
      <c r="G75" s="104"/>
      <c r="H75" s="104"/>
      <c r="I75" s="104"/>
      <c r="J75" s="104"/>
      <c r="K75" s="104"/>
      <c r="L75" s="10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04"/>
      <c r="C76" s="3"/>
      <c r="D76" s="104"/>
      <c r="E76" s="104"/>
      <c r="F76" s="104"/>
      <c r="G76" s="104"/>
      <c r="H76" s="104"/>
      <c r="I76" s="104"/>
      <c r="J76" s="104"/>
      <c r="K76" s="104"/>
      <c r="L76" s="10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04"/>
      <c r="C77" s="3"/>
      <c r="D77" s="104"/>
      <c r="E77" s="104"/>
      <c r="F77" s="104"/>
      <c r="G77" s="104"/>
      <c r="H77" s="104"/>
      <c r="I77" s="104"/>
      <c r="J77" s="104"/>
      <c r="K77" s="104"/>
      <c r="L77" s="10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04"/>
      <c r="C78" s="3"/>
      <c r="D78" s="104"/>
      <c r="E78" s="104"/>
      <c r="F78" s="104"/>
      <c r="G78" s="104"/>
      <c r="H78" s="104"/>
      <c r="I78" s="104"/>
      <c r="J78" s="104"/>
      <c r="K78" s="104"/>
      <c r="L78" s="10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04"/>
      <c r="C79" s="3"/>
      <c r="D79" s="104"/>
      <c r="E79" s="104"/>
      <c r="F79" s="104"/>
      <c r="G79" s="104"/>
      <c r="H79" s="104"/>
      <c r="I79" s="104"/>
      <c r="J79" s="104"/>
      <c r="K79" s="104"/>
      <c r="L79" s="10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04"/>
      <c r="C80" s="3"/>
      <c r="D80" s="104"/>
      <c r="E80" s="104"/>
      <c r="F80" s="104"/>
      <c r="G80" s="104"/>
      <c r="H80" s="104"/>
      <c r="I80" s="104"/>
      <c r="J80" s="104"/>
      <c r="K80" s="104"/>
      <c r="L80" s="10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04"/>
      <c r="C81" s="3"/>
      <c r="D81" s="104"/>
      <c r="E81" s="104"/>
      <c r="F81" s="104"/>
      <c r="G81" s="104"/>
      <c r="H81" s="104"/>
      <c r="I81" s="104"/>
      <c r="J81" s="104"/>
      <c r="K81" s="104"/>
      <c r="L81" s="10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04"/>
      <c r="C82" s="3"/>
      <c r="D82" s="104"/>
      <c r="E82" s="104"/>
      <c r="F82" s="104"/>
      <c r="G82" s="104"/>
      <c r="H82" s="104"/>
      <c r="I82" s="104"/>
      <c r="J82" s="104"/>
      <c r="K82" s="104"/>
      <c r="L82" s="10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04"/>
      <c r="C83" s="3"/>
      <c r="D83" s="104"/>
      <c r="E83" s="104"/>
      <c r="F83" s="104"/>
      <c r="G83" s="104"/>
      <c r="H83" s="104"/>
      <c r="I83" s="104"/>
      <c r="J83" s="104"/>
      <c r="K83" s="104"/>
      <c r="L83" s="10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04"/>
      <c r="C84" s="3"/>
      <c r="D84" s="104"/>
      <c r="E84" s="104"/>
      <c r="F84" s="104"/>
      <c r="G84" s="104"/>
      <c r="H84" s="104"/>
      <c r="I84" s="104"/>
      <c r="J84" s="104"/>
      <c r="K84" s="104"/>
      <c r="L84" s="10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04"/>
      <c r="C85" s="3"/>
      <c r="D85" s="104"/>
      <c r="E85" s="104"/>
      <c r="F85" s="104"/>
      <c r="G85" s="104"/>
      <c r="H85" s="104"/>
      <c r="I85" s="104"/>
      <c r="J85" s="104"/>
      <c r="K85" s="104"/>
      <c r="L85" s="10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04"/>
      <c r="C86" s="3"/>
      <c r="D86" s="104"/>
      <c r="E86" s="104"/>
      <c r="F86" s="104"/>
      <c r="G86" s="104"/>
      <c r="H86" s="104"/>
      <c r="I86" s="104"/>
      <c r="J86" s="104"/>
      <c r="K86" s="104"/>
      <c r="L86" s="10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04"/>
      <c r="C87" s="3"/>
      <c r="D87" s="104"/>
      <c r="E87" s="104"/>
      <c r="F87" s="104"/>
      <c r="G87" s="104"/>
      <c r="H87" s="104"/>
      <c r="I87" s="104"/>
      <c r="J87" s="104"/>
      <c r="K87" s="104"/>
      <c r="L87" s="10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04"/>
      <c r="C88" s="3"/>
      <c r="D88" s="104"/>
      <c r="E88" s="104"/>
      <c r="F88" s="104"/>
      <c r="G88" s="104"/>
      <c r="H88" s="104"/>
      <c r="I88" s="104"/>
      <c r="J88" s="104"/>
      <c r="K88" s="104"/>
      <c r="L88" s="10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04"/>
      <c r="C89" s="3"/>
      <c r="D89" s="104"/>
      <c r="E89" s="104"/>
      <c r="F89" s="104"/>
      <c r="G89" s="104"/>
      <c r="H89" s="104"/>
      <c r="I89" s="104"/>
      <c r="J89" s="104"/>
      <c r="K89" s="104"/>
      <c r="L89" s="10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04"/>
      <c r="C90" s="3"/>
      <c r="D90" s="104"/>
      <c r="E90" s="104"/>
      <c r="F90" s="104"/>
      <c r="G90" s="104"/>
      <c r="H90" s="104"/>
      <c r="I90" s="104"/>
      <c r="J90" s="104"/>
      <c r="K90" s="104"/>
      <c r="L90" s="10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04"/>
      <c r="C91" s="3"/>
      <c r="D91" s="104"/>
      <c r="E91" s="104"/>
      <c r="F91" s="104"/>
      <c r="G91" s="104"/>
      <c r="H91" s="104"/>
      <c r="I91" s="104"/>
      <c r="J91" s="104"/>
      <c r="K91" s="104"/>
      <c r="L91" s="10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04"/>
      <c r="C92" s="3"/>
      <c r="D92" s="104"/>
      <c r="E92" s="104"/>
      <c r="F92" s="104"/>
      <c r="G92" s="104"/>
      <c r="H92" s="104"/>
      <c r="I92" s="104"/>
      <c r="J92" s="104"/>
      <c r="K92" s="104"/>
      <c r="L92" s="10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04"/>
      <c r="C93" s="3"/>
      <c r="D93" s="104"/>
      <c r="E93" s="104"/>
      <c r="F93" s="104"/>
      <c r="G93" s="104"/>
      <c r="H93" s="104"/>
      <c r="I93" s="104"/>
      <c r="J93" s="104"/>
      <c r="K93" s="104"/>
      <c r="L93" s="10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04"/>
      <c r="C94" s="3"/>
      <c r="D94" s="104"/>
      <c r="E94" s="104"/>
      <c r="F94" s="104"/>
      <c r="G94" s="104"/>
      <c r="H94" s="104"/>
      <c r="I94" s="104"/>
      <c r="J94" s="104"/>
      <c r="K94" s="104"/>
      <c r="L94" s="10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04"/>
      <c r="C95" s="3"/>
      <c r="D95" s="104"/>
      <c r="E95" s="104"/>
      <c r="F95" s="104"/>
      <c r="G95" s="104"/>
      <c r="H95" s="104"/>
      <c r="I95" s="104"/>
      <c r="J95" s="104"/>
      <c r="K95" s="104"/>
      <c r="L95" s="10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04"/>
      <c r="C96" s="3"/>
      <c r="D96" s="104"/>
      <c r="E96" s="104"/>
      <c r="F96" s="104"/>
      <c r="G96" s="104"/>
      <c r="H96" s="104"/>
      <c r="I96" s="104"/>
      <c r="J96" s="104"/>
      <c r="K96" s="104"/>
      <c r="L96" s="10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04"/>
      <c r="C97" s="3"/>
      <c r="D97" s="104"/>
      <c r="E97" s="104"/>
      <c r="F97" s="104"/>
      <c r="G97" s="104"/>
      <c r="H97" s="104"/>
      <c r="I97" s="104"/>
      <c r="J97" s="104"/>
      <c r="K97" s="104"/>
      <c r="L97" s="10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04"/>
      <c r="C98" s="3"/>
      <c r="D98" s="104"/>
      <c r="E98" s="104"/>
      <c r="F98" s="104"/>
      <c r="G98" s="104"/>
      <c r="H98" s="104"/>
      <c r="I98" s="104"/>
      <c r="J98" s="104"/>
      <c r="K98" s="104"/>
      <c r="L98" s="10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04"/>
      <c r="C99" s="3"/>
      <c r="D99" s="104"/>
      <c r="E99" s="104"/>
      <c r="F99" s="104"/>
      <c r="G99" s="104"/>
      <c r="H99" s="104"/>
      <c r="I99" s="104"/>
      <c r="J99" s="104"/>
      <c r="K99" s="104"/>
      <c r="L99" s="10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04"/>
      <c r="C100" s="3"/>
      <c r="D100" s="104"/>
      <c r="E100" s="104"/>
      <c r="F100" s="104"/>
      <c r="G100" s="104"/>
      <c r="H100" s="104"/>
      <c r="I100" s="104"/>
      <c r="J100" s="104"/>
      <c r="K100" s="104"/>
      <c r="L100" s="10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04"/>
      <c r="C101" s="3"/>
      <c r="D101" s="104"/>
      <c r="E101" s="104"/>
      <c r="F101" s="104"/>
      <c r="G101" s="104"/>
      <c r="H101" s="104"/>
      <c r="I101" s="104"/>
      <c r="J101" s="104"/>
      <c r="K101" s="104"/>
      <c r="L101" s="10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04"/>
      <c r="C102" s="3"/>
      <c r="D102" s="104"/>
      <c r="E102" s="104"/>
      <c r="F102" s="104"/>
      <c r="G102" s="104"/>
      <c r="H102" s="104"/>
      <c r="I102" s="104"/>
      <c r="J102" s="104"/>
      <c r="K102" s="104"/>
      <c r="L102" s="10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04"/>
      <c r="C103" s="3"/>
      <c r="D103" s="104"/>
      <c r="E103" s="104"/>
      <c r="F103" s="104"/>
      <c r="G103" s="104"/>
      <c r="H103" s="104"/>
      <c r="I103" s="104"/>
      <c r="J103" s="104"/>
      <c r="K103" s="104"/>
      <c r="L103" s="10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04"/>
      <c r="C104" s="3"/>
      <c r="D104" s="104"/>
      <c r="E104" s="104"/>
      <c r="F104" s="104"/>
      <c r="G104" s="104"/>
      <c r="H104" s="104"/>
      <c r="I104" s="104"/>
      <c r="J104" s="104"/>
      <c r="K104" s="104"/>
      <c r="L104" s="10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04"/>
      <c r="C105" s="3"/>
      <c r="D105" s="104"/>
      <c r="E105" s="104"/>
      <c r="F105" s="104"/>
      <c r="G105" s="104"/>
      <c r="H105" s="104"/>
      <c r="I105" s="104"/>
      <c r="J105" s="104"/>
      <c r="K105" s="104"/>
      <c r="L105" s="10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04"/>
      <c r="C106" s="3"/>
      <c r="D106" s="104"/>
      <c r="E106" s="104"/>
      <c r="F106" s="104"/>
      <c r="G106" s="104"/>
      <c r="H106" s="104"/>
      <c r="I106" s="104"/>
      <c r="J106" s="104"/>
      <c r="K106" s="104"/>
      <c r="L106" s="10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04"/>
      <c r="C107" s="3"/>
      <c r="D107" s="104"/>
      <c r="E107" s="104"/>
      <c r="F107" s="104"/>
      <c r="G107" s="104"/>
      <c r="H107" s="104"/>
      <c r="I107" s="104"/>
      <c r="J107" s="104"/>
      <c r="K107" s="104"/>
      <c r="L107" s="10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04"/>
      <c r="C108" s="3"/>
      <c r="D108" s="104"/>
      <c r="E108" s="104"/>
      <c r="F108" s="104"/>
      <c r="G108" s="104"/>
      <c r="H108" s="104"/>
      <c r="I108" s="104"/>
      <c r="J108" s="104"/>
      <c r="K108" s="104"/>
      <c r="L108" s="10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04"/>
      <c r="C109" s="3"/>
      <c r="D109" s="104"/>
      <c r="E109" s="104"/>
      <c r="F109" s="104"/>
      <c r="G109" s="104"/>
      <c r="H109" s="104"/>
      <c r="I109" s="104"/>
      <c r="J109" s="104"/>
      <c r="K109" s="104"/>
      <c r="L109" s="10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04"/>
      <c r="C110" s="3"/>
      <c r="D110" s="104"/>
      <c r="E110" s="104"/>
      <c r="F110" s="104"/>
      <c r="G110" s="104"/>
      <c r="H110" s="104"/>
      <c r="I110" s="104"/>
      <c r="J110" s="104"/>
      <c r="K110" s="104"/>
      <c r="L110" s="10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04"/>
      <c r="C111" s="3"/>
      <c r="D111" s="104"/>
      <c r="E111" s="104"/>
      <c r="F111" s="104"/>
      <c r="G111" s="104"/>
      <c r="H111" s="104"/>
      <c r="I111" s="104"/>
      <c r="J111" s="104"/>
      <c r="K111" s="104"/>
      <c r="L111" s="10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04"/>
      <c r="C112" s="3"/>
      <c r="D112" s="104"/>
      <c r="E112" s="104"/>
      <c r="F112" s="104"/>
      <c r="G112" s="104"/>
      <c r="H112" s="104"/>
      <c r="I112" s="104"/>
      <c r="J112" s="104"/>
      <c r="K112" s="104"/>
      <c r="L112" s="10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04"/>
      <c r="C113" s="3"/>
      <c r="D113" s="104"/>
      <c r="E113" s="104"/>
      <c r="F113" s="104"/>
      <c r="G113" s="104"/>
      <c r="H113" s="104"/>
      <c r="I113" s="104"/>
      <c r="J113" s="104"/>
      <c r="K113" s="104"/>
      <c r="L113" s="10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04"/>
      <c r="C114" s="3"/>
      <c r="D114" s="104"/>
      <c r="E114" s="104"/>
      <c r="F114" s="104"/>
      <c r="G114" s="104"/>
      <c r="H114" s="104"/>
      <c r="I114" s="104"/>
      <c r="J114" s="104"/>
      <c r="K114" s="104"/>
      <c r="L114" s="10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04"/>
      <c r="C115" s="3"/>
      <c r="D115" s="104"/>
      <c r="E115" s="104"/>
      <c r="F115" s="104"/>
      <c r="G115" s="104"/>
      <c r="H115" s="104"/>
      <c r="I115" s="104"/>
      <c r="J115" s="104"/>
      <c r="K115" s="104"/>
      <c r="L115" s="10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04"/>
      <c r="C116" s="3"/>
      <c r="D116" s="104"/>
      <c r="E116" s="104"/>
      <c r="F116" s="104"/>
      <c r="G116" s="104"/>
      <c r="H116" s="104"/>
      <c r="I116" s="104"/>
      <c r="J116" s="104"/>
      <c r="K116" s="104"/>
      <c r="L116" s="10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04"/>
      <c r="C117" s="3"/>
      <c r="D117" s="104"/>
      <c r="E117" s="104"/>
      <c r="F117" s="104"/>
      <c r="G117" s="104"/>
      <c r="H117" s="104"/>
      <c r="I117" s="104"/>
      <c r="J117" s="104"/>
      <c r="K117" s="104"/>
      <c r="L117" s="10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04"/>
      <c r="C118" s="3"/>
      <c r="D118" s="104"/>
      <c r="E118" s="104"/>
      <c r="F118" s="104"/>
      <c r="G118" s="104"/>
      <c r="H118" s="104"/>
      <c r="I118" s="104"/>
      <c r="J118" s="104"/>
      <c r="K118" s="104"/>
      <c r="L118" s="10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04"/>
      <c r="C119" s="3"/>
      <c r="D119" s="104"/>
      <c r="E119" s="104"/>
      <c r="F119" s="104"/>
      <c r="G119" s="104"/>
      <c r="H119" s="104"/>
      <c r="I119" s="104"/>
      <c r="J119" s="104"/>
      <c r="K119" s="104"/>
      <c r="L119" s="10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04"/>
      <c r="C120" s="3"/>
      <c r="D120" s="104"/>
      <c r="E120" s="104"/>
      <c r="F120" s="104"/>
      <c r="G120" s="104"/>
      <c r="H120" s="104"/>
      <c r="I120" s="104"/>
      <c r="J120" s="104"/>
      <c r="K120" s="104"/>
      <c r="L120" s="10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04"/>
      <c r="C121" s="3"/>
      <c r="D121" s="104"/>
      <c r="E121" s="104"/>
      <c r="F121" s="104"/>
      <c r="G121" s="104"/>
      <c r="H121" s="104"/>
      <c r="I121" s="104"/>
      <c r="J121" s="104"/>
      <c r="K121" s="104"/>
      <c r="L121" s="10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04"/>
      <c r="C122" s="3"/>
      <c r="D122" s="104"/>
      <c r="E122" s="104"/>
      <c r="F122" s="104"/>
      <c r="G122" s="104"/>
      <c r="H122" s="104"/>
      <c r="I122" s="104"/>
      <c r="J122" s="104"/>
      <c r="K122" s="104"/>
      <c r="L122" s="10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04"/>
      <c r="C123" s="3"/>
      <c r="D123" s="104"/>
      <c r="E123" s="104"/>
      <c r="F123" s="104"/>
      <c r="G123" s="104"/>
      <c r="H123" s="104"/>
      <c r="I123" s="104"/>
      <c r="J123" s="104"/>
      <c r="K123" s="104"/>
      <c r="L123" s="10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04"/>
      <c r="C124" s="3"/>
      <c r="D124" s="104"/>
      <c r="E124" s="104"/>
      <c r="F124" s="104"/>
      <c r="G124" s="104"/>
      <c r="H124" s="104"/>
      <c r="I124" s="104"/>
      <c r="J124" s="104"/>
      <c r="K124" s="104"/>
      <c r="L124" s="10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04"/>
      <c r="C125" s="3"/>
      <c r="D125" s="104"/>
      <c r="E125" s="104"/>
      <c r="F125" s="104"/>
      <c r="G125" s="104"/>
      <c r="H125" s="104"/>
      <c r="I125" s="104"/>
      <c r="J125" s="104"/>
      <c r="K125" s="104"/>
      <c r="L125" s="10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04"/>
      <c r="C126" s="3"/>
      <c r="D126" s="104"/>
      <c r="E126" s="104"/>
      <c r="F126" s="104"/>
      <c r="G126" s="104"/>
      <c r="H126" s="104"/>
      <c r="I126" s="104"/>
      <c r="J126" s="104"/>
      <c r="K126" s="104"/>
      <c r="L126" s="10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04"/>
      <c r="C127" s="3"/>
      <c r="D127" s="104"/>
      <c r="E127" s="104"/>
      <c r="F127" s="104"/>
      <c r="G127" s="104"/>
      <c r="H127" s="104"/>
      <c r="I127" s="104"/>
      <c r="J127" s="104"/>
      <c r="K127" s="104"/>
      <c r="L127" s="10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04"/>
      <c r="C128" s="3"/>
      <c r="D128" s="104"/>
      <c r="E128" s="104"/>
      <c r="F128" s="104"/>
      <c r="G128" s="104"/>
      <c r="H128" s="104"/>
      <c r="I128" s="104"/>
      <c r="J128" s="104"/>
      <c r="K128" s="104"/>
      <c r="L128" s="10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04"/>
      <c r="C129" s="3"/>
      <c r="D129" s="104"/>
      <c r="E129" s="104"/>
      <c r="F129" s="104"/>
      <c r="G129" s="104"/>
      <c r="H129" s="104"/>
      <c r="I129" s="104"/>
      <c r="J129" s="104"/>
      <c r="K129" s="104"/>
      <c r="L129" s="10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04"/>
      <c r="C130" s="3"/>
      <c r="D130" s="104"/>
      <c r="E130" s="104"/>
      <c r="F130" s="104"/>
      <c r="G130" s="104"/>
      <c r="H130" s="104"/>
      <c r="I130" s="104"/>
      <c r="J130" s="104"/>
      <c r="K130" s="104"/>
      <c r="L130" s="10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04"/>
      <c r="C131" s="3"/>
      <c r="D131" s="104"/>
      <c r="E131" s="104"/>
      <c r="F131" s="104"/>
      <c r="G131" s="104"/>
      <c r="H131" s="104"/>
      <c r="I131" s="104"/>
      <c r="J131" s="104"/>
      <c r="K131" s="104"/>
      <c r="L131" s="10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04"/>
      <c r="C132" s="3"/>
      <c r="D132" s="104"/>
      <c r="E132" s="104"/>
      <c r="F132" s="104"/>
      <c r="G132" s="104"/>
      <c r="H132" s="104"/>
      <c r="I132" s="104"/>
      <c r="J132" s="104"/>
      <c r="K132" s="104"/>
      <c r="L132" s="10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04"/>
      <c r="C133" s="3"/>
      <c r="D133" s="104"/>
      <c r="E133" s="104"/>
      <c r="F133" s="104"/>
      <c r="G133" s="104"/>
      <c r="H133" s="104"/>
      <c r="I133" s="104"/>
      <c r="J133" s="104"/>
      <c r="K133" s="104"/>
      <c r="L133" s="10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04"/>
      <c r="C134" s="3"/>
      <c r="D134" s="104"/>
      <c r="E134" s="104"/>
      <c r="F134" s="104"/>
      <c r="G134" s="104"/>
      <c r="H134" s="104"/>
      <c r="I134" s="104"/>
      <c r="J134" s="104"/>
      <c r="K134" s="104"/>
      <c r="L134" s="10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04"/>
      <c r="C135" s="3"/>
      <c r="D135" s="104"/>
      <c r="E135" s="104"/>
      <c r="F135" s="104"/>
      <c r="G135" s="104"/>
      <c r="H135" s="104"/>
      <c r="I135" s="104"/>
      <c r="J135" s="104"/>
      <c r="K135" s="104"/>
      <c r="L135" s="10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04"/>
      <c r="C136" s="3"/>
      <c r="D136" s="104"/>
      <c r="E136" s="104"/>
      <c r="F136" s="104"/>
      <c r="G136" s="104"/>
      <c r="H136" s="104"/>
      <c r="I136" s="104"/>
      <c r="J136" s="104"/>
      <c r="K136" s="104"/>
      <c r="L136" s="10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04"/>
      <c r="C137" s="3"/>
      <c r="D137" s="104"/>
      <c r="E137" s="104"/>
      <c r="F137" s="104"/>
      <c r="G137" s="104"/>
      <c r="H137" s="104"/>
      <c r="I137" s="104"/>
      <c r="J137" s="104"/>
      <c r="K137" s="104"/>
      <c r="L137" s="10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04"/>
      <c r="C138" s="3"/>
      <c r="D138" s="104"/>
      <c r="E138" s="104"/>
      <c r="F138" s="104"/>
      <c r="G138" s="104"/>
      <c r="H138" s="104"/>
      <c r="I138" s="104"/>
      <c r="J138" s="104"/>
      <c r="K138" s="104"/>
      <c r="L138" s="10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04"/>
      <c r="C139" s="3"/>
      <c r="D139" s="104"/>
      <c r="E139" s="104"/>
      <c r="F139" s="104"/>
      <c r="G139" s="104"/>
      <c r="H139" s="104"/>
      <c r="I139" s="104"/>
      <c r="J139" s="104"/>
      <c r="K139" s="104"/>
      <c r="L139" s="10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04"/>
      <c r="C140" s="3"/>
      <c r="D140" s="104"/>
      <c r="E140" s="104"/>
      <c r="F140" s="104"/>
      <c r="G140" s="104"/>
      <c r="H140" s="104"/>
      <c r="I140" s="104"/>
      <c r="J140" s="104"/>
      <c r="K140" s="104"/>
      <c r="L140" s="10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04"/>
      <c r="C141" s="3"/>
      <c r="D141" s="104"/>
      <c r="E141" s="104"/>
      <c r="F141" s="104"/>
      <c r="G141" s="104"/>
      <c r="H141" s="104"/>
      <c r="I141" s="104"/>
      <c r="J141" s="104"/>
      <c r="K141" s="104"/>
      <c r="L141" s="10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04"/>
      <c r="C142" s="3"/>
      <c r="D142" s="104"/>
      <c r="E142" s="104"/>
      <c r="F142" s="104"/>
      <c r="G142" s="104"/>
      <c r="H142" s="104"/>
      <c r="I142" s="104"/>
      <c r="J142" s="104"/>
      <c r="K142" s="104"/>
      <c r="L142" s="10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04"/>
      <c r="C143" s="3"/>
      <c r="D143" s="104"/>
      <c r="E143" s="104"/>
      <c r="F143" s="104"/>
      <c r="G143" s="104"/>
      <c r="H143" s="104"/>
      <c r="I143" s="104"/>
      <c r="J143" s="104"/>
      <c r="K143" s="104"/>
      <c r="L143" s="10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04"/>
      <c r="C144" s="3"/>
      <c r="D144" s="104"/>
      <c r="E144" s="104"/>
      <c r="F144" s="104"/>
      <c r="G144" s="104"/>
      <c r="H144" s="104"/>
      <c r="I144" s="104"/>
      <c r="J144" s="104"/>
      <c r="K144" s="104"/>
      <c r="L144" s="10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04"/>
      <c r="C145" s="3"/>
      <c r="D145" s="104"/>
      <c r="E145" s="104"/>
      <c r="F145" s="104"/>
      <c r="G145" s="104"/>
      <c r="H145" s="104"/>
      <c r="I145" s="104"/>
      <c r="J145" s="104"/>
      <c r="K145" s="104"/>
      <c r="L145" s="10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04"/>
      <c r="C146" s="3"/>
      <c r="D146" s="104"/>
      <c r="E146" s="104"/>
      <c r="F146" s="104"/>
      <c r="G146" s="104"/>
      <c r="H146" s="104"/>
      <c r="I146" s="104"/>
      <c r="J146" s="104"/>
      <c r="K146" s="104"/>
      <c r="L146" s="10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04"/>
      <c r="C147" s="3"/>
      <c r="D147" s="104"/>
      <c r="E147" s="104"/>
      <c r="F147" s="104"/>
      <c r="G147" s="104"/>
      <c r="H147" s="104"/>
      <c r="I147" s="104"/>
      <c r="J147" s="104"/>
      <c r="K147" s="104"/>
      <c r="L147" s="10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04"/>
      <c r="C148" s="3"/>
      <c r="D148" s="104"/>
      <c r="E148" s="104"/>
      <c r="F148" s="104"/>
      <c r="G148" s="104"/>
      <c r="H148" s="104"/>
      <c r="I148" s="104"/>
      <c r="J148" s="104"/>
      <c r="K148" s="104"/>
      <c r="L148" s="10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04"/>
      <c r="C149" s="3"/>
      <c r="D149" s="104"/>
      <c r="E149" s="104"/>
      <c r="F149" s="104"/>
      <c r="G149" s="104"/>
      <c r="H149" s="104"/>
      <c r="I149" s="104"/>
      <c r="J149" s="104"/>
      <c r="K149" s="104"/>
      <c r="L149" s="10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04"/>
      <c r="C150" s="3"/>
      <c r="D150" s="104"/>
      <c r="E150" s="104"/>
      <c r="F150" s="104"/>
      <c r="G150" s="104"/>
      <c r="H150" s="104"/>
      <c r="I150" s="104"/>
      <c r="J150" s="104"/>
      <c r="K150" s="104"/>
      <c r="L150" s="10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04"/>
      <c r="C151" s="3"/>
      <c r="D151" s="104"/>
      <c r="E151" s="104"/>
      <c r="F151" s="104"/>
      <c r="G151" s="104"/>
      <c r="H151" s="104"/>
      <c r="I151" s="104"/>
      <c r="J151" s="104"/>
      <c r="K151" s="104"/>
      <c r="L151" s="10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04"/>
      <c r="C152" s="3"/>
      <c r="D152" s="104"/>
      <c r="E152" s="104"/>
      <c r="F152" s="104"/>
      <c r="G152" s="104"/>
      <c r="H152" s="104"/>
      <c r="I152" s="104"/>
      <c r="J152" s="104"/>
      <c r="K152" s="104"/>
      <c r="L152" s="10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04"/>
      <c r="C153" s="3"/>
      <c r="D153" s="104"/>
      <c r="E153" s="104"/>
      <c r="F153" s="104"/>
      <c r="G153" s="104"/>
      <c r="H153" s="104"/>
      <c r="I153" s="104"/>
      <c r="J153" s="104"/>
      <c r="K153" s="104"/>
      <c r="L153" s="10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04"/>
      <c r="C154" s="3"/>
      <c r="D154" s="104"/>
      <c r="E154" s="104"/>
      <c r="F154" s="104"/>
      <c r="G154" s="104"/>
      <c r="H154" s="104"/>
      <c r="I154" s="104"/>
      <c r="J154" s="104"/>
      <c r="K154" s="104"/>
      <c r="L154" s="10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04"/>
      <c r="C155" s="3"/>
      <c r="D155" s="104"/>
      <c r="E155" s="104"/>
      <c r="F155" s="104"/>
      <c r="G155" s="104"/>
      <c r="H155" s="104"/>
      <c r="I155" s="104"/>
      <c r="J155" s="104"/>
      <c r="K155" s="104"/>
      <c r="L155" s="10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04"/>
      <c r="C156" s="3"/>
      <c r="D156" s="104"/>
      <c r="E156" s="104"/>
      <c r="F156" s="104"/>
      <c r="G156" s="104"/>
      <c r="H156" s="104"/>
      <c r="I156" s="104"/>
      <c r="J156" s="104"/>
      <c r="K156" s="104"/>
      <c r="L156" s="10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04"/>
      <c r="C157" s="3"/>
      <c r="D157" s="104"/>
      <c r="E157" s="104"/>
      <c r="F157" s="104"/>
      <c r="G157" s="104"/>
      <c r="H157" s="104"/>
      <c r="I157" s="104"/>
      <c r="J157" s="104"/>
      <c r="K157" s="104"/>
      <c r="L157" s="10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04"/>
      <c r="C158" s="3"/>
      <c r="D158" s="104"/>
      <c r="E158" s="104"/>
      <c r="F158" s="104"/>
      <c r="G158" s="104"/>
      <c r="H158" s="104"/>
      <c r="I158" s="104"/>
      <c r="J158" s="104"/>
      <c r="K158" s="104"/>
      <c r="L158" s="10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04"/>
      <c r="C159" s="3"/>
      <c r="D159" s="104"/>
      <c r="E159" s="104"/>
      <c r="F159" s="104"/>
      <c r="G159" s="104"/>
      <c r="H159" s="104"/>
      <c r="I159" s="104"/>
      <c r="J159" s="104"/>
      <c r="K159" s="104"/>
      <c r="L159" s="10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04"/>
      <c r="C160" s="3"/>
      <c r="D160" s="104"/>
      <c r="E160" s="104"/>
      <c r="F160" s="104"/>
      <c r="G160" s="104"/>
      <c r="H160" s="104"/>
      <c r="I160" s="104"/>
      <c r="J160" s="104"/>
      <c r="K160" s="104"/>
      <c r="L160" s="10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04"/>
      <c r="C161" s="3"/>
      <c r="D161" s="104"/>
      <c r="E161" s="104"/>
      <c r="F161" s="104"/>
      <c r="G161" s="104"/>
      <c r="H161" s="104"/>
      <c r="I161" s="104"/>
      <c r="J161" s="104"/>
      <c r="K161" s="104"/>
      <c r="L161" s="10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04"/>
      <c r="C162" s="3"/>
      <c r="D162" s="104"/>
      <c r="E162" s="104"/>
      <c r="F162" s="104"/>
      <c r="G162" s="104"/>
      <c r="H162" s="104"/>
      <c r="I162" s="104"/>
      <c r="J162" s="104"/>
      <c r="K162" s="104"/>
      <c r="L162" s="10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04"/>
      <c r="C163" s="3"/>
      <c r="D163" s="104"/>
      <c r="E163" s="104"/>
      <c r="F163" s="104"/>
      <c r="G163" s="104"/>
      <c r="H163" s="104"/>
      <c r="I163" s="104"/>
      <c r="J163" s="104"/>
      <c r="K163" s="104"/>
      <c r="L163" s="10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04"/>
      <c r="C164" s="3"/>
      <c r="D164" s="104"/>
      <c r="E164" s="104"/>
      <c r="F164" s="104"/>
      <c r="G164" s="104"/>
      <c r="H164" s="104"/>
      <c r="I164" s="104"/>
      <c r="J164" s="104"/>
      <c r="K164" s="104"/>
      <c r="L164" s="10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04"/>
      <c r="C165" s="3"/>
      <c r="D165" s="104"/>
      <c r="E165" s="104"/>
      <c r="F165" s="104"/>
      <c r="G165" s="104"/>
      <c r="H165" s="104"/>
      <c r="I165" s="104"/>
      <c r="J165" s="104"/>
      <c r="K165" s="104"/>
      <c r="L165" s="10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04"/>
      <c r="C166" s="3"/>
      <c r="D166" s="104"/>
      <c r="E166" s="104"/>
      <c r="F166" s="104"/>
      <c r="G166" s="104"/>
      <c r="H166" s="104"/>
      <c r="I166" s="104"/>
      <c r="J166" s="104"/>
      <c r="K166" s="104"/>
      <c r="L166" s="10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04"/>
      <c r="C167" s="3"/>
      <c r="D167" s="104"/>
      <c r="E167" s="104"/>
      <c r="F167" s="104"/>
      <c r="G167" s="104"/>
      <c r="H167" s="104"/>
      <c r="I167" s="104"/>
      <c r="J167" s="104"/>
      <c r="K167" s="104"/>
      <c r="L167" s="10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04"/>
      <c r="C168" s="3"/>
      <c r="D168" s="104"/>
      <c r="E168" s="104"/>
      <c r="F168" s="104"/>
      <c r="G168" s="104"/>
      <c r="H168" s="104"/>
      <c r="I168" s="104"/>
      <c r="J168" s="104"/>
      <c r="K168" s="104"/>
      <c r="L168" s="10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04"/>
      <c r="C169" s="3"/>
      <c r="D169" s="104"/>
      <c r="E169" s="104"/>
      <c r="F169" s="104"/>
      <c r="G169" s="104"/>
      <c r="H169" s="104"/>
      <c r="I169" s="104"/>
      <c r="J169" s="104"/>
      <c r="K169" s="104"/>
      <c r="L169" s="10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04"/>
      <c r="C170" s="3"/>
      <c r="D170" s="104"/>
      <c r="E170" s="104"/>
      <c r="F170" s="104"/>
      <c r="G170" s="104"/>
      <c r="H170" s="104"/>
      <c r="I170" s="104"/>
      <c r="J170" s="104"/>
      <c r="K170" s="104"/>
      <c r="L170" s="10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04"/>
      <c r="C171" s="3"/>
      <c r="D171" s="104"/>
      <c r="E171" s="104"/>
      <c r="F171" s="104"/>
      <c r="G171" s="104"/>
      <c r="H171" s="104"/>
      <c r="I171" s="104"/>
      <c r="J171" s="104"/>
      <c r="K171" s="104"/>
      <c r="L171" s="10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04"/>
      <c r="C172" s="3"/>
      <c r="D172" s="104"/>
      <c r="E172" s="104"/>
      <c r="F172" s="104"/>
      <c r="G172" s="104"/>
      <c r="H172" s="104"/>
      <c r="I172" s="104"/>
      <c r="J172" s="104"/>
      <c r="K172" s="104"/>
      <c r="L172" s="10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04"/>
      <c r="C173" s="3"/>
      <c r="D173" s="104"/>
      <c r="E173" s="104"/>
      <c r="F173" s="104"/>
      <c r="G173" s="104"/>
      <c r="H173" s="104"/>
      <c r="I173" s="104"/>
      <c r="J173" s="104"/>
      <c r="K173" s="104"/>
      <c r="L173" s="10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04"/>
      <c r="C174" s="3"/>
      <c r="D174" s="104"/>
      <c r="E174" s="104"/>
      <c r="F174" s="104"/>
      <c r="G174" s="104"/>
      <c r="H174" s="104"/>
      <c r="I174" s="104"/>
      <c r="J174" s="104"/>
      <c r="K174" s="104"/>
      <c r="L174" s="10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04"/>
      <c r="C175" s="3"/>
      <c r="D175" s="104"/>
      <c r="E175" s="104"/>
      <c r="F175" s="104"/>
      <c r="G175" s="104"/>
      <c r="H175" s="104"/>
      <c r="I175" s="104"/>
      <c r="J175" s="104"/>
      <c r="K175" s="104"/>
      <c r="L175" s="10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04"/>
      <c r="C176" s="3"/>
      <c r="D176" s="104"/>
      <c r="E176" s="104"/>
      <c r="F176" s="104"/>
      <c r="G176" s="104"/>
      <c r="H176" s="104"/>
      <c r="I176" s="104"/>
      <c r="J176" s="104"/>
      <c r="K176" s="104"/>
      <c r="L176" s="10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04"/>
      <c r="C177" s="3"/>
      <c r="D177" s="104"/>
      <c r="E177" s="104"/>
      <c r="F177" s="104"/>
      <c r="G177" s="104"/>
      <c r="H177" s="104"/>
      <c r="I177" s="104"/>
      <c r="J177" s="104"/>
      <c r="K177" s="104"/>
      <c r="L177" s="10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04"/>
      <c r="C178" s="3"/>
      <c r="D178" s="104"/>
      <c r="E178" s="104"/>
      <c r="F178" s="104"/>
      <c r="G178" s="104"/>
      <c r="H178" s="104"/>
      <c r="I178" s="104"/>
      <c r="J178" s="104"/>
      <c r="K178" s="104"/>
      <c r="L178" s="10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04"/>
      <c r="C179" s="3"/>
      <c r="D179" s="104"/>
      <c r="E179" s="104"/>
      <c r="F179" s="104"/>
      <c r="G179" s="104"/>
      <c r="H179" s="104"/>
      <c r="I179" s="104"/>
      <c r="J179" s="104"/>
      <c r="K179" s="104"/>
      <c r="L179" s="10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04"/>
      <c r="C180" s="3"/>
      <c r="D180" s="104"/>
      <c r="E180" s="104"/>
      <c r="F180" s="104"/>
      <c r="G180" s="104"/>
      <c r="H180" s="104"/>
      <c r="I180" s="104"/>
      <c r="J180" s="104"/>
      <c r="K180" s="104"/>
      <c r="L180" s="10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04"/>
      <c r="C181" s="3"/>
      <c r="D181" s="104"/>
      <c r="E181" s="104"/>
      <c r="F181" s="104"/>
      <c r="G181" s="104"/>
      <c r="H181" s="104"/>
      <c r="I181" s="104"/>
      <c r="J181" s="104"/>
      <c r="K181" s="104"/>
      <c r="L181" s="10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04"/>
      <c r="C182" s="3"/>
      <c r="D182" s="104"/>
      <c r="E182" s="104"/>
      <c r="F182" s="104"/>
      <c r="G182" s="104"/>
      <c r="H182" s="104"/>
      <c r="I182" s="104"/>
      <c r="J182" s="104"/>
      <c r="K182" s="104"/>
      <c r="L182" s="10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04"/>
      <c r="C183" s="3"/>
      <c r="D183" s="104"/>
      <c r="E183" s="104"/>
      <c r="F183" s="104"/>
      <c r="G183" s="104"/>
      <c r="H183" s="104"/>
      <c r="I183" s="104"/>
      <c r="J183" s="104"/>
      <c r="K183" s="104"/>
      <c r="L183" s="10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04"/>
      <c r="C184" s="3"/>
      <c r="D184" s="104"/>
      <c r="E184" s="104"/>
      <c r="F184" s="104"/>
      <c r="G184" s="104"/>
      <c r="H184" s="104"/>
      <c r="I184" s="104"/>
      <c r="J184" s="104"/>
      <c r="K184" s="104"/>
      <c r="L184" s="10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04"/>
      <c r="C185" s="3"/>
      <c r="D185" s="104"/>
      <c r="E185" s="104"/>
      <c r="F185" s="104"/>
      <c r="G185" s="104"/>
      <c r="H185" s="104"/>
      <c r="I185" s="104"/>
      <c r="J185" s="104"/>
      <c r="K185" s="104"/>
      <c r="L185" s="10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04"/>
      <c r="C186" s="3"/>
      <c r="D186" s="104"/>
      <c r="E186" s="104"/>
      <c r="F186" s="104"/>
      <c r="G186" s="104"/>
      <c r="H186" s="104"/>
      <c r="I186" s="104"/>
      <c r="J186" s="104"/>
      <c r="K186" s="104"/>
      <c r="L186" s="10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04"/>
      <c r="C187" s="3"/>
      <c r="D187" s="104"/>
      <c r="E187" s="104"/>
      <c r="F187" s="104"/>
      <c r="G187" s="104"/>
      <c r="H187" s="104"/>
      <c r="I187" s="104"/>
      <c r="J187" s="104"/>
      <c r="K187" s="104"/>
      <c r="L187" s="10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04"/>
      <c r="C188" s="3"/>
      <c r="D188" s="104"/>
      <c r="E188" s="104"/>
      <c r="F188" s="104"/>
      <c r="G188" s="104"/>
      <c r="H188" s="104"/>
      <c r="I188" s="104"/>
      <c r="J188" s="104"/>
      <c r="K188" s="104"/>
      <c r="L188" s="10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04"/>
      <c r="C189" s="3"/>
      <c r="D189" s="104"/>
      <c r="E189" s="104"/>
      <c r="F189" s="104"/>
      <c r="G189" s="104"/>
      <c r="H189" s="104"/>
      <c r="I189" s="104"/>
      <c r="J189" s="104"/>
      <c r="K189" s="104"/>
      <c r="L189" s="10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04"/>
      <c r="C190" s="3"/>
      <c r="D190" s="104"/>
      <c r="E190" s="104"/>
      <c r="F190" s="104"/>
      <c r="G190" s="104"/>
      <c r="H190" s="104"/>
      <c r="I190" s="104"/>
      <c r="J190" s="104"/>
      <c r="K190" s="104"/>
      <c r="L190" s="10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04"/>
      <c r="C191" s="3"/>
      <c r="D191" s="104"/>
      <c r="E191" s="104"/>
      <c r="F191" s="104"/>
      <c r="G191" s="104"/>
      <c r="H191" s="104"/>
      <c r="I191" s="104"/>
      <c r="J191" s="104"/>
      <c r="K191" s="104"/>
      <c r="L191" s="10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04"/>
      <c r="C192" s="3"/>
      <c r="D192" s="104"/>
      <c r="E192" s="104"/>
      <c r="F192" s="104"/>
      <c r="G192" s="104"/>
      <c r="H192" s="104"/>
      <c r="I192" s="104"/>
      <c r="J192" s="104"/>
      <c r="K192" s="104"/>
      <c r="L192" s="10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04"/>
      <c r="C193" s="3"/>
      <c r="D193" s="104"/>
      <c r="E193" s="104"/>
      <c r="F193" s="104"/>
      <c r="G193" s="104"/>
      <c r="H193" s="104"/>
      <c r="I193" s="104"/>
      <c r="J193" s="104"/>
      <c r="K193" s="104"/>
      <c r="L193" s="10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04"/>
      <c r="C194" s="3"/>
      <c r="D194" s="104"/>
      <c r="E194" s="104"/>
      <c r="F194" s="104"/>
      <c r="G194" s="104"/>
      <c r="H194" s="104"/>
      <c r="I194" s="104"/>
      <c r="J194" s="104"/>
      <c r="K194" s="104"/>
      <c r="L194" s="10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04"/>
      <c r="C195" s="3"/>
      <c r="D195" s="104"/>
      <c r="E195" s="104"/>
      <c r="F195" s="104"/>
      <c r="G195" s="104"/>
      <c r="H195" s="104"/>
      <c r="I195" s="104"/>
      <c r="J195" s="104"/>
      <c r="K195" s="104"/>
      <c r="L195" s="10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04"/>
      <c r="C196" s="3"/>
      <c r="D196" s="104"/>
      <c r="E196" s="104"/>
      <c r="F196" s="104"/>
      <c r="G196" s="104"/>
      <c r="H196" s="104"/>
      <c r="I196" s="104"/>
      <c r="J196" s="104"/>
      <c r="K196" s="104"/>
      <c r="L196" s="10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04"/>
      <c r="C197" s="3"/>
      <c r="D197" s="104"/>
      <c r="E197" s="104"/>
      <c r="F197" s="104"/>
      <c r="G197" s="104"/>
      <c r="H197" s="104"/>
      <c r="I197" s="104"/>
      <c r="J197" s="104"/>
      <c r="K197" s="104"/>
      <c r="L197" s="10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04"/>
      <c r="C198" s="3"/>
      <c r="D198" s="104"/>
      <c r="E198" s="104"/>
      <c r="F198" s="104"/>
      <c r="G198" s="104"/>
      <c r="H198" s="104"/>
      <c r="I198" s="104"/>
      <c r="J198" s="104"/>
      <c r="K198" s="104"/>
      <c r="L198" s="10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04"/>
      <c r="C199" s="3"/>
      <c r="D199" s="104"/>
      <c r="E199" s="104"/>
      <c r="F199" s="104"/>
      <c r="G199" s="104"/>
      <c r="H199" s="104"/>
      <c r="I199" s="104"/>
      <c r="J199" s="104"/>
      <c r="K199" s="104"/>
      <c r="L199" s="10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04"/>
      <c r="C200" s="3"/>
      <c r="D200" s="104"/>
      <c r="E200" s="104"/>
      <c r="F200" s="104"/>
      <c r="G200" s="104"/>
      <c r="H200" s="104"/>
      <c r="I200" s="104"/>
      <c r="J200" s="104"/>
      <c r="K200" s="104"/>
      <c r="L200" s="10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04"/>
      <c r="C201" s="3"/>
      <c r="D201" s="104"/>
      <c r="E201" s="104"/>
      <c r="F201" s="104"/>
      <c r="G201" s="104"/>
      <c r="H201" s="104"/>
      <c r="I201" s="104"/>
      <c r="J201" s="104"/>
      <c r="K201" s="104"/>
      <c r="L201" s="10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04"/>
      <c r="C202" s="3"/>
      <c r="D202" s="104"/>
      <c r="E202" s="104"/>
      <c r="F202" s="104"/>
      <c r="G202" s="104"/>
      <c r="H202" s="104"/>
      <c r="I202" s="104"/>
      <c r="J202" s="104"/>
      <c r="K202" s="104"/>
      <c r="L202" s="10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04"/>
      <c r="C203" s="3"/>
      <c r="D203" s="104"/>
      <c r="E203" s="104"/>
      <c r="F203" s="104"/>
      <c r="G203" s="104"/>
      <c r="H203" s="104"/>
      <c r="I203" s="104"/>
      <c r="J203" s="104"/>
      <c r="K203" s="104"/>
      <c r="L203" s="10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04"/>
      <c r="C204" s="3"/>
      <c r="D204" s="104"/>
      <c r="E204" s="104"/>
      <c r="F204" s="104"/>
      <c r="G204" s="104"/>
      <c r="H204" s="104"/>
      <c r="I204" s="104"/>
      <c r="J204" s="104"/>
      <c r="K204" s="104"/>
      <c r="L204" s="10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04"/>
      <c r="C205" s="3"/>
      <c r="D205" s="104"/>
      <c r="E205" s="104"/>
      <c r="F205" s="104"/>
      <c r="G205" s="104"/>
      <c r="H205" s="104"/>
      <c r="I205" s="104"/>
      <c r="J205" s="104"/>
      <c r="K205" s="104"/>
      <c r="L205" s="10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04"/>
      <c r="C206" s="3"/>
      <c r="D206" s="104"/>
      <c r="E206" s="104"/>
      <c r="F206" s="104"/>
      <c r="G206" s="104"/>
      <c r="H206" s="104"/>
      <c r="I206" s="104"/>
      <c r="J206" s="104"/>
      <c r="K206" s="104"/>
      <c r="L206" s="10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04"/>
      <c r="C207" s="3"/>
      <c r="D207" s="104"/>
      <c r="E207" s="104"/>
      <c r="F207" s="104"/>
      <c r="G207" s="104"/>
      <c r="H207" s="104"/>
      <c r="I207" s="104"/>
      <c r="J207" s="104"/>
      <c r="K207" s="104"/>
      <c r="L207" s="10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04"/>
      <c r="C208" s="3"/>
      <c r="D208" s="104"/>
      <c r="E208" s="104"/>
      <c r="F208" s="104"/>
      <c r="G208" s="104"/>
      <c r="H208" s="104"/>
      <c r="I208" s="104"/>
      <c r="J208" s="104"/>
      <c r="K208" s="104"/>
      <c r="L208" s="10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04"/>
      <c r="C209" s="3"/>
      <c r="D209" s="104"/>
      <c r="E209" s="104"/>
      <c r="F209" s="104"/>
      <c r="G209" s="104"/>
      <c r="H209" s="104"/>
      <c r="I209" s="104"/>
      <c r="J209" s="104"/>
      <c r="K209" s="104"/>
      <c r="L209" s="10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04"/>
      <c r="C210" s="3"/>
      <c r="D210" s="104"/>
      <c r="E210" s="104"/>
      <c r="F210" s="104"/>
      <c r="G210" s="104"/>
      <c r="H210" s="104"/>
      <c r="I210" s="104"/>
      <c r="J210" s="104"/>
      <c r="K210" s="104"/>
      <c r="L210" s="10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04"/>
      <c r="C211" s="3"/>
      <c r="D211" s="104"/>
      <c r="E211" s="104"/>
      <c r="F211" s="104"/>
      <c r="G211" s="104"/>
      <c r="H211" s="104"/>
      <c r="I211" s="104"/>
      <c r="J211" s="104"/>
      <c r="K211" s="104"/>
      <c r="L211" s="10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04"/>
      <c r="C212" s="3"/>
      <c r="D212" s="104"/>
      <c r="E212" s="104"/>
      <c r="F212" s="104"/>
      <c r="G212" s="104"/>
      <c r="H212" s="104"/>
      <c r="I212" s="104"/>
      <c r="J212" s="104"/>
      <c r="K212" s="104"/>
      <c r="L212" s="10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04"/>
      <c r="C213" s="3"/>
      <c r="D213" s="104"/>
      <c r="E213" s="104"/>
      <c r="F213" s="104"/>
      <c r="G213" s="104"/>
      <c r="H213" s="104"/>
      <c r="I213" s="104"/>
      <c r="J213" s="104"/>
      <c r="K213" s="104"/>
      <c r="L213" s="10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04"/>
      <c r="C214" s="3"/>
      <c r="D214" s="104"/>
      <c r="E214" s="104"/>
      <c r="F214" s="104"/>
      <c r="G214" s="104"/>
      <c r="H214" s="104"/>
      <c r="I214" s="104"/>
      <c r="J214" s="104"/>
      <c r="K214" s="104"/>
      <c r="L214" s="10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04"/>
      <c r="C215" s="3"/>
      <c r="D215" s="104"/>
      <c r="E215" s="104"/>
      <c r="F215" s="104"/>
      <c r="G215" s="104"/>
      <c r="H215" s="104"/>
      <c r="I215" s="104"/>
      <c r="J215" s="104"/>
      <c r="K215" s="104"/>
      <c r="L215" s="10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04"/>
      <c r="C216" s="3"/>
      <c r="D216" s="104"/>
      <c r="E216" s="104"/>
      <c r="F216" s="104"/>
      <c r="G216" s="104"/>
      <c r="H216" s="104"/>
      <c r="I216" s="104"/>
      <c r="J216" s="104"/>
      <c r="K216" s="104"/>
      <c r="L216" s="10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04"/>
      <c r="C217" s="3"/>
      <c r="D217" s="104"/>
      <c r="E217" s="104"/>
      <c r="F217" s="104"/>
      <c r="G217" s="104"/>
      <c r="H217" s="104"/>
      <c r="I217" s="104"/>
      <c r="J217" s="104"/>
      <c r="K217" s="104"/>
      <c r="L217" s="10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104"/>
      <c r="C218" s="3"/>
      <c r="D218" s="104"/>
      <c r="E218" s="104"/>
      <c r="F218" s="104"/>
      <c r="G218" s="104"/>
      <c r="H218" s="104"/>
      <c r="I218" s="104"/>
      <c r="J218" s="104"/>
      <c r="K218" s="104"/>
      <c r="L218" s="10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104"/>
      <c r="C219" s="3"/>
      <c r="D219" s="104"/>
      <c r="E219" s="104"/>
      <c r="F219" s="104"/>
      <c r="G219" s="104"/>
      <c r="H219" s="104"/>
      <c r="I219" s="104"/>
      <c r="J219" s="104"/>
      <c r="K219" s="104"/>
      <c r="L219" s="10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104"/>
      <c r="C220" s="3"/>
      <c r="D220" s="104"/>
      <c r="E220" s="104"/>
      <c r="F220" s="104"/>
      <c r="G220" s="104"/>
      <c r="H220" s="104"/>
      <c r="I220" s="104"/>
      <c r="J220" s="104"/>
      <c r="K220" s="104"/>
      <c r="L220" s="10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104"/>
      <c r="E221" s="104"/>
      <c r="F221" s="104"/>
      <c r="G221" s="104"/>
      <c r="H221" s="104"/>
      <c r="I221" s="104"/>
      <c r="J221" s="104"/>
      <c r="K221" s="104"/>
      <c r="L221" s="10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D1:L1"/>
    <mergeCell ref="A12:A14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30.0"/>
    <col customWidth="1" min="3" max="3" width="20.0"/>
    <col customWidth="1" min="4" max="12" width="18.33"/>
    <col customWidth="1" min="13" max="19" width="8.33"/>
    <col customWidth="1" min="20" max="26" width="11.11"/>
  </cols>
  <sheetData>
    <row r="1" ht="18.0" customHeight="1">
      <c r="A1" s="105"/>
      <c r="B1" s="106"/>
      <c r="C1" s="105"/>
      <c r="D1" s="107">
        <v>2026.0</v>
      </c>
      <c r="E1" s="108"/>
      <c r="F1" s="108"/>
      <c r="G1" s="108"/>
      <c r="H1" s="108"/>
      <c r="I1" s="108"/>
      <c r="J1" s="108"/>
      <c r="K1" s="108"/>
      <c r="L1" s="109"/>
      <c r="M1" s="17"/>
      <c r="N1" s="17"/>
      <c r="O1" s="17"/>
      <c r="P1" s="17"/>
      <c r="Q1" s="17"/>
      <c r="R1" s="17"/>
      <c r="S1" s="17"/>
      <c r="T1" s="3"/>
      <c r="U1" s="3"/>
      <c r="V1" s="3"/>
      <c r="W1" s="3"/>
      <c r="X1" s="3"/>
      <c r="Y1" s="3"/>
      <c r="Z1" s="3"/>
    </row>
    <row r="2" ht="15.75" customHeight="1">
      <c r="A2" s="110" t="s">
        <v>72</v>
      </c>
      <c r="B2" s="106"/>
      <c r="C2" s="105"/>
      <c r="D2" s="112" t="s">
        <v>33</v>
      </c>
      <c r="E2" s="112" t="s">
        <v>34</v>
      </c>
      <c r="F2" s="112" t="s">
        <v>35</v>
      </c>
      <c r="G2" s="112" t="s">
        <v>36</v>
      </c>
      <c r="H2" s="112" t="s">
        <v>37</v>
      </c>
      <c r="I2" s="112" t="s">
        <v>38</v>
      </c>
      <c r="J2" s="112" t="s">
        <v>39</v>
      </c>
      <c r="K2" s="112" t="s">
        <v>40</v>
      </c>
      <c r="L2" s="112" t="s">
        <v>41</v>
      </c>
      <c r="M2" s="17"/>
      <c r="N2" s="17"/>
      <c r="O2" s="17"/>
      <c r="P2" s="17"/>
      <c r="Q2" s="17"/>
      <c r="R2" s="17"/>
      <c r="S2" s="17"/>
      <c r="T2" s="3"/>
      <c r="U2" s="3"/>
      <c r="V2" s="3"/>
      <c r="W2" s="3"/>
      <c r="X2" s="3"/>
      <c r="Y2" s="3"/>
      <c r="Z2" s="3"/>
    </row>
    <row r="3" ht="16.5" customHeight="1">
      <c r="A3" s="114"/>
      <c r="B3" s="115" t="s">
        <v>201</v>
      </c>
      <c r="C3" s="115">
        <f t="shared" ref="C3:C64" si="2">SUM(D3:L3)</f>
        <v>182027.3</v>
      </c>
      <c r="D3" s="131">
        <f t="shared" ref="D3:L3" si="1">SUM(D4:D130)</f>
        <v>0</v>
      </c>
      <c r="E3" s="131">
        <f t="shared" si="1"/>
        <v>15961.81</v>
      </c>
      <c r="F3" s="131">
        <f t="shared" si="1"/>
        <v>23105.49</v>
      </c>
      <c r="G3" s="131">
        <f t="shared" si="1"/>
        <v>39300</v>
      </c>
      <c r="H3" s="131">
        <f t="shared" si="1"/>
        <v>43300</v>
      </c>
      <c r="I3" s="131">
        <f t="shared" si="1"/>
        <v>10160</v>
      </c>
      <c r="J3" s="131">
        <f t="shared" si="1"/>
        <v>28000</v>
      </c>
      <c r="K3" s="131">
        <f t="shared" si="1"/>
        <v>14000</v>
      </c>
      <c r="L3" s="131">
        <f t="shared" si="1"/>
        <v>8200</v>
      </c>
      <c r="M3" s="63"/>
      <c r="N3" s="63"/>
      <c r="O3" s="63"/>
      <c r="P3" s="63"/>
      <c r="Q3" s="63"/>
      <c r="R3" s="63"/>
      <c r="S3" s="63"/>
      <c r="T3" s="3"/>
      <c r="U3" s="3"/>
      <c r="V3" s="3"/>
      <c r="W3" s="3"/>
      <c r="X3" s="3"/>
      <c r="Y3" s="3"/>
      <c r="Z3" s="3"/>
    </row>
    <row r="4" ht="16.5" customHeight="1">
      <c r="A4" s="132">
        <v>5.7010192E7</v>
      </c>
      <c r="B4" s="133" t="s">
        <v>202</v>
      </c>
      <c r="C4" s="119">
        <f t="shared" si="2"/>
        <v>144409.2</v>
      </c>
      <c r="D4" s="123"/>
      <c r="E4" s="127">
        <v>11549.2</v>
      </c>
      <c r="F4" s="123">
        <v>16500.0</v>
      </c>
      <c r="G4" s="123">
        <v>32000.0</v>
      </c>
      <c r="H4" s="123">
        <v>37000.0</v>
      </c>
      <c r="I4" s="123">
        <v>4660.0</v>
      </c>
      <c r="J4" s="123">
        <v>28000.0</v>
      </c>
      <c r="K4" s="155">
        <v>14000.0</v>
      </c>
      <c r="L4" s="123">
        <v>700.0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32">
        <v>5.7010192E7</v>
      </c>
      <c r="B5" s="134" t="s">
        <v>203</v>
      </c>
      <c r="C5" s="125">
        <f t="shared" si="2"/>
        <v>35583.16</v>
      </c>
      <c r="D5" s="128"/>
      <c r="E5" s="127">
        <v>2383.16</v>
      </c>
      <c r="F5" s="128">
        <v>6600.0</v>
      </c>
      <c r="G5" s="128">
        <v>7300.0</v>
      </c>
      <c r="H5" s="128">
        <v>6300.0</v>
      </c>
      <c r="I5" s="128">
        <v>5500.0</v>
      </c>
      <c r="J5" s="128"/>
      <c r="K5" s="128">
        <v>0.0</v>
      </c>
      <c r="L5" s="128">
        <v>7500.0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32">
        <v>414.0</v>
      </c>
      <c r="B6" s="134" t="s">
        <v>204</v>
      </c>
      <c r="C6" s="125">
        <f t="shared" si="2"/>
        <v>2034.94</v>
      </c>
      <c r="D6" s="150"/>
      <c r="E6" s="127">
        <v>2029.45</v>
      </c>
      <c r="F6" s="128">
        <v>5.49</v>
      </c>
      <c r="G6" s="128"/>
      <c r="H6" s="128"/>
      <c r="I6" s="128"/>
      <c r="J6" s="150"/>
      <c r="K6" s="150"/>
      <c r="L6" s="150"/>
      <c r="M6" s="151"/>
      <c r="N6" s="151"/>
      <c r="O6" s="151"/>
      <c r="P6" s="151"/>
      <c r="Q6" s="151"/>
      <c r="R6" s="151"/>
      <c r="S6" s="151"/>
      <c r="T6" s="3"/>
      <c r="U6" s="3"/>
      <c r="V6" s="3"/>
      <c r="W6" s="3"/>
      <c r="X6" s="3"/>
      <c r="Y6" s="3"/>
      <c r="Z6" s="3"/>
    </row>
    <row r="7" ht="15.75" customHeight="1">
      <c r="A7" s="132"/>
      <c r="B7" s="134"/>
      <c r="C7" s="125">
        <f t="shared" si="2"/>
        <v>0</v>
      </c>
      <c r="D7" s="128"/>
      <c r="E7" s="128"/>
      <c r="F7" s="128"/>
      <c r="G7" s="128"/>
      <c r="H7" s="128"/>
      <c r="I7" s="128"/>
      <c r="J7" s="128"/>
      <c r="K7" s="128"/>
      <c r="L7" s="12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32"/>
      <c r="B8" s="134"/>
      <c r="C8" s="125">
        <f t="shared" si="2"/>
        <v>0</v>
      </c>
      <c r="D8" s="128"/>
      <c r="E8" s="128"/>
      <c r="F8" s="128"/>
      <c r="G8" s="128"/>
      <c r="H8" s="128"/>
      <c r="I8" s="128"/>
      <c r="J8" s="128"/>
      <c r="K8" s="128"/>
      <c r="L8" s="12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32"/>
      <c r="B9" s="137"/>
      <c r="C9" s="125">
        <f t="shared" si="2"/>
        <v>0</v>
      </c>
      <c r="D9" s="128"/>
      <c r="E9" s="128"/>
      <c r="F9" s="128"/>
      <c r="G9" s="128"/>
      <c r="H9" s="128"/>
      <c r="I9" s="128"/>
      <c r="J9" s="128"/>
      <c r="K9" s="128"/>
      <c r="L9" s="12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32"/>
      <c r="B10" s="137"/>
      <c r="C10" s="125">
        <f t="shared" si="2"/>
        <v>0</v>
      </c>
      <c r="D10" s="128"/>
      <c r="E10" s="128"/>
      <c r="F10" s="128"/>
      <c r="G10" s="128"/>
      <c r="H10" s="128"/>
      <c r="I10" s="128"/>
      <c r="J10" s="128"/>
      <c r="K10" s="128"/>
      <c r="L10" s="12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32"/>
      <c r="B11" s="137"/>
      <c r="C11" s="125">
        <f t="shared" si="2"/>
        <v>0</v>
      </c>
      <c r="D11" s="128"/>
      <c r="E11" s="128"/>
      <c r="F11" s="128"/>
      <c r="G11" s="128"/>
      <c r="H11" s="128"/>
      <c r="I11" s="128"/>
      <c r="J11" s="128"/>
      <c r="K11" s="128"/>
      <c r="L11" s="12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2"/>
      <c r="B12" s="137"/>
      <c r="C12" s="125">
        <f t="shared" si="2"/>
        <v>0</v>
      </c>
      <c r="D12" s="128"/>
      <c r="E12" s="128"/>
      <c r="F12" s="128"/>
      <c r="G12" s="128"/>
      <c r="H12" s="128"/>
      <c r="I12" s="128"/>
      <c r="J12" s="128"/>
      <c r="K12" s="128"/>
      <c r="L12" s="12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32"/>
      <c r="B13" s="137"/>
      <c r="C13" s="125">
        <f t="shared" si="2"/>
        <v>0</v>
      </c>
      <c r="D13" s="128"/>
      <c r="E13" s="128"/>
      <c r="F13" s="128"/>
      <c r="G13" s="128"/>
      <c r="H13" s="128"/>
      <c r="I13" s="128"/>
      <c r="J13" s="128"/>
      <c r="K13" s="128"/>
      <c r="L13" s="12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32"/>
      <c r="B14" s="137"/>
      <c r="C14" s="125">
        <f t="shared" si="2"/>
        <v>0</v>
      </c>
      <c r="D14" s="128"/>
      <c r="E14" s="128"/>
      <c r="F14" s="128"/>
      <c r="G14" s="128"/>
      <c r="H14" s="128"/>
      <c r="I14" s="128"/>
      <c r="J14" s="128"/>
      <c r="K14" s="128"/>
      <c r="L14" s="12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32"/>
      <c r="B15" s="137"/>
      <c r="C15" s="125">
        <f t="shared" si="2"/>
        <v>0</v>
      </c>
      <c r="D15" s="128"/>
      <c r="E15" s="128"/>
      <c r="F15" s="128"/>
      <c r="G15" s="128"/>
      <c r="H15" s="128"/>
      <c r="I15" s="128"/>
      <c r="J15" s="128"/>
      <c r="K15" s="128"/>
      <c r="L15" s="12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32"/>
      <c r="B16" s="137"/>
      <c r="C16" s="125">
        <f t="shared" si="2"/>
        <v>0</v>
      </c>
      <c r="D16" s="128"/>
      <c r="E16" s="128"/>
      <c r="F16" s="128"/>
      <c r="G16" s="128"/>
      <c r="H16" s="128"/>
      <c r="I16" s="128"/>
      <c r="J16" s="128"/>
      <c r="K16" s="128"/>
      <c r="L16" s="12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32"/>
      <c r="B17" s="137"/>
      <c r="C17" s="125">
        <f t="shared" si="2"/>
        <v>0</v>
      </c>
      <c r="D17" s="128"/>
      <c r="E17" s="128"/>
      <c r="F17" s="128"/>
      <c r="G17" s="128"/>
      <c r="H17" s="128"/>
      <c r="I17" s="128"/>
      <c r="J17" s="128"/>
      <c r="K17" s="128"/>
      <c r="L17" s="12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32"/>
      <c r="B18" s="137"/>
      <c r="C18" s="125">
        <f t="shared" si="2"/>
        <v>0</v>
      </c>
      <c r="D18" s="128"/>
      <c r="E18" s="128"/>
      <c r="F18" s="128"/>
      <c r="G18" s="128"/>
      <c r="H18" s="128"/>
      <c r="I18" s="128"/>
      <c r="J18" s="128"/>
      <c r="K18" s="128"/>
      <c r="L18" s="12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32"/>
      <c r="B19" s="137"/>
      <c r="C19" s="125">
        <f t="shared" si="2"/>
        <v>0</v>
      </c>
      <c r="D19" s="128"/>
      <c r="E19" s="128"/>
      <c r="F19" s="128"/>
      <c r="G19" s="128"/>
      <c r="H19" s="128"/>
      <c r="I19" s="128"/>
      <c r="J19" s="128"/>
      <c r="K19" s="128"/>
      <c r="L19" s="12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32"/>
      <c r="B20" s="137"/>
      <c r="C20" s="125">
        <f t="shared" si="2"/>
        <v>0</v>
      </c>
      <c r="D20" s="128"/>
      <c r="E20" s="128"/>
      <c r="F20" s="128"/>
      <c r="G20" s="128"/>
      <c r="H20" s="128"/>
      <c r="I20" s="128"/>
      <c r="J20" s="128"/>
      <c r="K20" s="128"/>
      <c r="L20" s="12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2"/>
      <c r="B21" s="137"/>
      <c r="C21" s="125">
        <f t="shared" si="2"/>
        <v>0</v>
      </c>
      <c r="D21" s="128"/>
      <c r="E21" s="128"/>
      <c r="F21" s="128"/>
      <c r="G21" s="128"/>
      <c r="H21" s="128"/>
      <c r="I21" s="128"/>
      <c r="J21" s="128"/>
      <c r="K21" s="128"/>
      <c r="L21" s="12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2"/>
      <c r="B22" s="137"/>
      <c r="C22" s="125">
        <f t="shared" si="2"/>
        <v>0</v>
      </c>
      <c r="D22" s="128"/>
      <c r="E22" s="128"/>
      <c r="F22" s="128"/>
      <c r="G22" s="128"/>
      <c r="H22" s="128"/>
      <c r="I22" s="128"/>
      <c r="J22" s="128"/>
      <c r="K22" s="128"/>
      <c r="L22" s="12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32"/>
      <c r="B23" s="137"/>
      <c r="C23" s="125">
        <f t="shared" si="2"/>
        <v>0</v>
      </c>
      <c r="D23" s="128"/>
      <c r="E23" s="128"/>
      <c r="F23" s="128"/>
      <c r="G23" s="128"/>
      <c r="H23" s="128"/>
      <c r="I23" s="128"/>
      <c r="J23" s="128"/>
      <c r="K23" s="128"/>
      <c r="L23" s="12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2"/>
      <c r="B24" s="137"/>
      <c r="C24" s="125">
        <f t="shared" si="2"/>
        <v>0</v>
      </c>
      <c r="D24" s="128"/>
      <c r="E24" s="128"/>
      <c r="F24" s="128"/>
      <c r="G24" s="128"/>
      <c r="H24" s="128"/>
      <c r="I24" s="128"/>
      <c r="J24" s="128"/>
      <c r="K24" s="128"/>
      <c r="L24" s="12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2"/>
      <c r="B25" s="137"/>
      <c r="C25" s="125">
        <f t="shared" si="2"/>
        <v>0</v>
      </c>
      <c r="D25" s="128"/>
      <c r="E25" s="128"/>
      <c r="F25" s="128"/>
      <c r="G25" s="128"/>
      <c r="H25" s="128"/>
      <c r="I25" s="128"/>
      <c r="J25" s="128"/>
      <c r="K25" s="128"/>
      <c r="L25" s="12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2"/>
      <c r="B26" s="137"/>
      <c r="C26" s="125">
        <f t="shared" si="2"/>
        <v>0</v>
      </c>
      <c r="D26" s="128"/>
      <c r="E26" s="128"/>
      <c r="F26" s="128"/>
      <c r="G26" s="128"/>
      <c r="H26" s="128"/>
      <c r="I26" s="128"/>
      <c r="J26" s="128"/>
      <c r="K26" s="128"/>
      <c r="L26" s="12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2"/>
      <c r="B27" s="137"/>
      <c r="C27" s="125">
        <f t="shared" si="2"/>
        <v>0</v>
      </c>
      <c r="D27" s="128"/>
      <c r="E27" s="128"/>
      <c r="F27" s="128"/>
      <c r="G27" s="128"/>
      <c r="H27" s="128"/>
      <c r="I27" s="128"/>
      <c r="J27" s="128"/>
      <c r="K27" s="128"/>
      <c r="L27" s="12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2"/>
      <c r="B28" s="137"/>
      <c r="C28" s="125">
        <f t="shared" si="2"/>
        <v>0</v>
      </c>
      <c r="D28" s="128"/>
      <c r="E28" s="128"/>
      <c r="F28" s="128"/>
      <c r="G28" s="128"/>
      <c r="H28" s="128"/>
      <c r="I28" s="128"/>
      <c r="J28" s="128"/>
      <c r="K28" s="128"/>
      <c r="L28" s="12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2"/>
      <c r="B29" s="137"/>
      <c r="C29" s="125">
        <f t="shared" si="2"/>
        <v>0</v>
      </c>
      <c r="D29" s="128"/>
      <c r="E29" s="128"/>
      <c r="F29" s="128"/>
      <c r="G29" s="128"/>
      <c r="H29" s="128"/>
      <c r="I29" s="128"/>
      <c r="J29" s="128"/>
      <c r="K29" s="128"/>
      <c r="L29" s="12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32"/>
      <c r="B30" s="137"/>
      <c r="C30" s="125">
        <f t="shared" si="2"/>
        <v>0</v>
      </c>
      <c r="D30" s="128"/>
      <c r="E30" s="128"/>
      <c r="F30" s="128"/>
      <c r="G30" s="128"/>
      <c r="H30" s="128"/>
      <c r="I30" s="128"/>
      <c r="J30" s="128"/>
      <c r="K30" s="128"/>
      <c r="L30" s="12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2"/>
      <c r="B31" s="137"/>
      <c r="C31" s="125">
        <f t="shared" si="2"/>
        <v>0</v>
      </c>
      <c r="D31" s="128"/>
      <c r="E31" s="128"/>
      <c r="F31" s="128"/>
      <c r="G31" s="128"/>
      <c r="H31" s="128"/>
      <c r="I31" s="128"/>
      <c r="J31" s="128"/>
      <c r="K31" s="128"/>
      <c r="L31" s="12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32"/>
      <c r="B32" s="137"/>
      <c r="C32" s="125">
        <f t="shared" si="2"/>
        <v>0</v>
      </c>
      <c r="D32" s="128"/>
      <c r="E32" s="128"/>
      <c r="F32" s="128"/>
      <c r="G32" s="128"/>
      <c r="H32" s="128"/>
      <c r="I32" s="128"/>
      <c r="J32" s="128"/>
      <c r="K32" s="128"/>
      <c r="L32" s="12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2"/>
      <c r="B33" s="137"/>
      <c r="C33" s="125">
        <f t="shared" si="2"/>
        <v>0</v>
      </c>
      <c r="D33" s="128"/>
      <c r="E33" s="128"/>
      <c r="F33" s="128"/>
      <c r="G33" s="128"/>
      <c r="H33" s="128"/>
      <c r="I33" s="128"/>
      <c r="J33" s="128"/>
      <c r="K33" s="128"/>
      <c r="L33" s="12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2"/>
      <c r="B34" s="137"/>
      <c r="C34" s="125">
        <f t="shared" si="2"/>
        <v>0</v>
      </c>
      <c r="D34" s="128"/>
      <c r="E34" s="128"/>
      <c r="F34" s="128"/>
      <c r="G34" s="128"/>
      <c r="H34" s="128"/>
      <c r="I34" s="128"/>
      <c r="J34" s="128"/>
      <c r="K34" s="128"/>
      <c r="L34" s="12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32"/>
      <c r="B35" s="137"/>
      <c r="C35" s="125">
        <f t="shared" si="2"/>
        <v>0</v>
      </c>
      <c r="D35" s="128"/>
      <c r="E35" s="128"/>
      <c r="F35" s="128"/>
      <c r="G35" s="128"/>
      <c r="H35" s="128"/>
      <c r="I35" s="128"/>
      <c r="J35" s="128"/>
      <c r="K35" s="128"/>
      <c r="L35" s="12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32"/>
      <c r="B36" s="137"/>
      <c r="C36" s="125">
        <f t="shared" si="2"/>
        <v>0</v>
      </c>
      <c r="D36" s="128"/>
      <c r="E36" s="128"/>
      <c r="F36" s="128"/>
      <c r="G36" s="128"/>
      <c r="H36" s="128"/>
      <c r="I36" s="128"/>
      <c r="J36" s="128"/>
      <c r="K36" s="128"/>
      <c r="L36" s="12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32"/>
      <c r="B37" s="137"/>
      <c r="C37" s="125">
        <f t="shared" si="2"/>
        <v>0</v>
      </c>
      <c r="D37" s="128"/>
      <c r="E37" s="128"/>
      <c r="F37" s="128"/>
      <c r="G37" s="128"/>
      <c r="H37" s="128"/>
      <c r="I37" s="128"/>
      <c r="J37" s="128"/>
      <c r="K37" s="128"/>
      <c r="L37" s="12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2"/>
      <c r="B38" s="137"/>
      <c r="C38" s="125">
        <f t="shared" si="2"/>
        <v>0</v>
      </c>
      <c r="D38" s="128"/>
      <c r="E38" s="128"/>
      <c r="F38" s="128"/>
      <c r="G38" s="128"/>
      <c r="H38" s="128"/>
      <c r="I38" s="128"/>
      <c r="J38" s="128"/>
      <c r="K38" s="128"/>
      <c r="L38" s="12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32"/>
      <c r="B39" s="137"/>
      <c r="C39" s="125">
        <f t="shared" si="2"/>
        <v>0</v>
      </c>
      <c r="D39" s="128"/>
      <c r="E39" s="128"/>
      <c r="F39" s="128"/>
      <c r="G39" s="128"/>
      <c r="H39" s="128"/>
      <c r="I39" s="128"/>
      <c r="J39" s="128"/>
      <c r="K39" s="128"/>
      <c r="L39" s="12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32"/>
      <c r="B40" s="137"/>
      <c r="C40" s="125">
        <f t="shared" si="2"/>
        <v>0</v>
      </c>
      <c r="D40" s="128"/>
      <c r="E40" s="128"/>
      <c r="F40" s="128"/>
      <c r="G40" s="128"/>
      <c r="H40" s="128"/>
      <c r="I40" s="128"/>
      <c r="J40" s="128"/>
      <c r="K40" s="128"/>
      <c r="L40" s="12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32"/>
      <c r="B41" s="137"/>
      <c r="C41" s="125">
        <f t="shared" si="2"/>
        <v>0</v>
      </c>
      <c r="D41" s="128"/>
      <c r="E41" s="128"/>
      <c r="F41" s="128"/>
      <c r="G41" s="128"/>
      <c r="H41" s="128"/>
      <c r="I41" s="128"/>
      <c r="J41" s="128"/>
      <c r="K41" s="128"/>
      <c r="L41" s="12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32"/>
      <c r="B42" s="137"/>
      <c r="C42" s="125">
        <f t="shared" si="2"/>
        <v>0</v>
      </c>
      <c r="D42" s="128"/>
      <c r="E42" s="128"/>
      <c r="F42" s="128"/>
      <c r="G42" s="128"/>
      <c r="H42" s="128"/>
      <c r="I42" s="128"/>
      <c r="J42" s="128"/>
      <c r="K42" s="128"/>
      <c r="L42" s="12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32"/>
      <c r="B43" s="137"/>
      <c r="C43" s="125">
        <f t="shared" si="2"/>
        <v>0</v>
      </c>
      <c r="D43" s="128"/>
      <c r="E43" s="128"/>
      <c r="F43" s="128"/>
      <c r="G43" s="128"/>
      <c r="H43" s="128"/>
      <c r="I43" s="128"/>
      <c r="J43" s="128"/>
      <c r="K43" s="128"/>
      <c r="L43" s="12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32"/>
      <c r="B44" s="137"/>
      <c r="C44" s="125">
        <f t="shared" si="2"/>
        <v>0</v>
      </c>
      <c r="D44" s="128"/>
      <c r="E44" s="128"/>
      <c r="F44" s="128"/>
      <c r="G44" s="128"/>
      <c r="H44" s="128"/>
      <c r="I44" s="128"/>
      <c r="J44" s="128"/>
      <c r="K44" s="128"/>
      <c r="L44" s="12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32"/>
      <c r="B45" s="137"/>
      <c r="C45" s="125">
        <f t="shared" si="2"/>
        <v>0</v>
      </c>
      <c r="D45" s="128"/>
      <c r="E45" s="128"/>
      <c r="F45" s="128"/>
      <c r="G45" s="128"/>
      <c r="H45" s="128"/>
      <c r="I45" s="128"/>
      <c r="J45" s="128"/>
      <c r="K45" s="128"/>
      <c r="L45" s="12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32"/>
      <c r="B46" s="137"/>
      <c r="C46" s="125">
        <f t="shared" si="2"/>
        <v>0</v>
      </c>
      <c r="D46" s="128"/>
      <c r="E46" s="128"/>
      <c r="F46" s="128"/>
      <c r="G46" s="128"/>
      <c r="H46" s="128"/>
      <c r="I46" s="128"/>
      <c r="J46" s="128"/>
      <c r="K46" s="128"/>
      <c r="L46" s="12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32"/>
      <c r="B47" s="137"/>
      <c r="C47" s="125">
        <f t="shared" si="2"/>
        <v>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32"/>
      <c r="B48" s="137"/>
      <c r="C48" s="125">
        <f t="shared" si="2"/>
        <v>0</v>
      </c>
      <c r="D48" s="128"/>
      <c r="E48" s="128"/>
      <c r="F48" s="128"/>
      <c r="G48" s="128"/>
      <c r="H48" s="128"/>
      <c r="I48" s="128"/>
      <c r="J48" s="128"/>
      <c r="K48" s="128"/>
      <c r="L48" s="12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32"/>
      <c r="B49" s="137"/>
      <c r="C49" s="125">
        <f t="shared" si="2"/>
        <v>0</v>
      </c>
      <c r="D49" s="128"/>
      <c r="E49" s="128"/>
      <c r="F49" s="128"/>
      <c r="G49" s="128"/>
      <c r="H49" s="128"/>
      <c r="I49" s="128"/>
      <c r="J49" s="128"/>
      <c r="K49" s="128"/>
      <c r="L49" s="12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32"/>
      <c r="B50" s="137"/>
      <c r="C50" s="125">
        <f t="shared" si="2"/>
        <v>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32"/>
      <c r="B51" s="137"/>
      <c r="C51" s="125">
        <f t="shared" si="2"/>
        <v>0</v>
      </c>
      <c r="D51" s="128"/>
      <c r="E51" s="128"/>
      <c r="F51" s="128"/>
      <c r="G51" s="128"/>
      <c r="H51" s="128"/>
      <c r="I51" s="128"/>
      <c r="J51" s="128"/>
      <c r="K51" s="128"/>
      <c r="L51" s="12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32"/>
      <c r="B52" s="137"/>
      <c r="C52" s="125">
        <f t="shared" si="2"/>
        <v>0</v>
      </c>
      <c r="D52" s="128"/>
      <c r="E52" s="128"/>
      <c r="F52" s="128"/>
      <c r="G52" s="128"/>
      <c r="H52" s="128"/>
      <c r="I52" s="128"/>
      <c r="J52" s="128"/>
      <c r="K52" s="128"/>
      <c r="L52" s="12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32"/>
      <c r="B53" s="137"/>
      <c r="C53" s="125">
        <f t="shared" si="2"/>
        <v>0</v>
      </c>
      <c r="D53" s="128"/>
      <c r="E53" s="128"/>
      <c r="F53" s="128"/>
      <c r="G53" s="128"/>
      <c r="H53" s="128"/>
      <c r="I53" s="128"/>
      <c r="J53" s="128"/>
      <c r="K53" s="128"/>
      <c r="L53" s="12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32"/>
      <c r="B54" s="137"/>
      <c r="C54" s="125">
        <f t="shared" si="2"/>
        <v>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32"/>
      <c r="B55" s="137"/>
      <c r="C55" s="125">
        <f t="shared" si="2"/>
        <v>0</v>
      </c>
      <c r="D55" s="128"/>
      <c r="E55" s="128"/>
      <c r="F55" s="128"/>
      <c r="G55" s="128"/>
      <c r="H55" s="128"/>
      <c r="I55" s="128"/>
      <c r="J55" s="128"/>
      <c r="K55" s="128"/>
      <c r="L55" s="12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32"/>
      <c r="B56" s="137"/>
      <c r="C56" s="125">
        <f t="shared" si="2"/>
        <v>0</v>
      </c>
      <c r="D56" s="128"/>
      <c r="E56" s="128"/>
      <c r="F56" s="128"/>
      <c r="G56" s="128"/>
      <c r="H56" s="128"/>
      <c r="I56" s="128"/>
      <c r="J56" s="128"/>
      <c r="K56" s="128"/>
      <c r="L56" s="12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32"/>
      <c r="B57" s="137"/>
      <c r="C57" s="125">
        <f t="shared" si="2"/>
        <v>0</v>
      </c>
      <c r="D57" s="128"/>
      <c r="E57" s="128"/>
      <c r="F57" s="128"/>
      <c r="G57" s="128"/>
      <c r="H57" s="128"/>
      <c r="I57" s="128"/>
      <c r="J57" s="128"/>
      <c r="K57" s="128"/>
      <c r="L57" s="12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32"/>
      <c r="B58" s="137"/>
      <c r="C58" s="125">
        <f t="shared" si="2"/>
        <v>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32"/>
      <c r="B59" s="137"/>
      <c r="C59" s="125">
        <f t="shared" si="2"/>
        <v>0</v>
      </c>
      <c r="D59" s="128"/>
      <c r="E59" s="128"/>
      <c r="F59" s="128"/>
      <c r="G59" s="128"/>
      <c r="H59" s="128"/>
      <c r="I59" s="128"/>
      <c r="J59" s="128"/>
      <c r="K59" s="128"/>
      <c r="L59" s="12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32"/>
      <c r="B60" s="137"/>
      <c r="C60" s="125">
        <f t="shared" si="2"/>
        <v>0</v>
      </c>
      <c r="D60" s="128"/>
      <c r="E60" s="128"/>
      <c r="F60" s="128"/>
      <c r="G60" s="128"/>
      <c r="H60" s="128"/>
      <c r="I60" s="128"/>
      <c r="J60" s="128"/>
      <c r="K60" s="128"/>
      <c r="L60" s="12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32"/>
      <c r="B61" s="137"/>
      <c r="C61" s="125">
        <f t="shared" si="2"/>
        <v>0</v>
      </c>
      <c r="D61" s="128"/>
      <c r="E61" s="128"/>
      <c r="F61" s="128"/>
      <c r="G61" s="128"/>
      <c r="H61" s="128"/>
      <c r="I61" s="128"/>
      <c r="J61" s="128"/>
      <c r="K61" s="128"/>
      <c r="L61" s="12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32"/>
      <c r="B62" s="137"/>
      <c r="C62" s="125">
        <f t="shared" si="2"/>
        <v>0</v>
      </c>
      <c r="D62" s="128"/>
      <c r="E62" s="128"/>
      <c r="F62" s="128"/>
      <c r="G62" s="128"/>
      <c r="H62" s="128"/>
      <c r="I62" s="128"/>
      <c r="J62" s="128"/>
      <c r="K62" s="128"/>
      <c r="L62" s="12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32"/>
      <c r="B63" s="137"/>
      <c r="C63" s="125">
        <f t="shared" si="2"/>
        <v>0</v>
      </c>
      <c r="D63" s="128"/>
      <c r="E63" s="128"/>
      <c r="F63" s="128"/>
      <c r="G63" s="128"/>
      <c r="H63" s="128"/>
      <c r="I63" s="128"/>
      <c r="J63" s="128"/>
      <c r="K63" s="128"/>
      <c r="L63" s="12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32"/>
      <c r="B64" s="138"/>
      <c r="C64" s="125">
        <f t="shared" si="2"/>
        <v>0</v>
      </c>
      <c r="D64" s="128"/>
      <c r="E64" s="128"/>
      <c r="F64" s="128"/>
      <c r="G64" s="128"/>
      <c r="H64" s="128"/>
      <c r="I64" s="128"/>
      <c r="J64" s="128"/>
      <c r="K64" s="128"/>
      <c r="L64" s="12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104"/>
      <c r="C65" s="3"/>
      <c r="D65" s="104"/>
      <c r="E65" s="104"/>
      <c r="F65" s="104"/>
      <c r="G65" s="104"/>
      <c r="H65" s="104"/>
      <c r="I65" s="104"/>
      <c r="J65" s="104"/>
      <c r="K65" s="104"/>
      <c r="L65" s="10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104"/>
      <c r="C66" s="3"/>
      <c r="D66" s="104"/>
      <c r="E66" s="104"/>
      <c r="F66" s="104"/>
      <c r="G66" s="104"/>
      <c r="H66" s="104"/>
      <c r="I66" s="104"/>
      <c r="J66" s="104"/>
      <c r="K66" s="104"/>
      <c r="L66" s="10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104"/>
      <c r="C67" s="3"/>
      <c r="D67" s="104"/>
      <c r="E67" s="104"/>
      <c r="F67" s="104"/>
      <c r="G67" s="104"/>
      <c r="H67" s="104"/>
      <c r="I67" s="104"/>
      <c r="J67" s="104"/>
      <c r="K67" s="104"/>
      <c r="L67" s="10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104"/>
      <c r="C68" s="3"/>
      <c r="D68" s="104"/>
      <c r="E68" s="104"/>
      <c r="F68" s="104"/>
      <c r="G68" s="104"/>
      <c r="H68" s="104"/>
      <c r="I68" s="104"/>
      <c r="J68" s="104"/>
      <c r="K68" s="104"/>
      <c r="L68" s="10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104"/>
      <c r="C69" s="3"/>
      <c r="D69" s="104"/>
      <c r="E69" s="104"/>
      <c r="F69" s="104"/>
      <c r="G69" s="104"/>
      <c r="H69" s="104"/>
      <c r="I69" s="104"/>
      <c r="J69" s="104"/>
      <c r="K69" s="104"/>
      <c r="L69" s="10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04"/>
      <c r="C70" s="3"/>
      <c r="D70" s="104"/>
      <c r="E70" s="104"/>
      <c r="F70" s="104"/>
      <c r="G70" s="104"/>
      <c r="H70" s="104"/>
      <c r="I70" s="104"/>
      <c r="J70" s="104"/>
      <c r="K70" s="104"/>
      <c r="L70" s="10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04"/>
      <c r="C71" s="3"/>
      <c r="D71" s="104"/>
      <c r="E71" s="104"/>
      <c r="F71" s="104"/>
      <c r="G71" s="104"/>
      <c r="H71" s="104"/>
      <c r="I71" s="104"/>
      <c r="J71" s="104"/>
      <c r="K71" s="104"/>
      <c r="L71" s="10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04"/>
      <c r="C72" s="3"/>
      <c r="D72" s="104"/>
      <c r="E72" s="104"/>
      <c r="F72" s="104"/>
      <c r="G72" s="104"/>
      <c r="H72" s="104"/>
      <c r="I72" s="104"/>
      <c r="J72" s="104"/>
      <c r="K72" s="104"/>
      <c r="L72" s="10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04"/>
      <c r="C73" s="3"/>
      <c r="D73" s="104"/>
      <c r="E73" s="104"/>
      <c r="F73" s="104"/>
      <c r="G73" s="104"/>
      <c r="H73" s="104"/>
      <c r="I73" s="104"/>
      <c r="J73" s="104"/>
      <c r="K73" s="104"/>
      <c r="L73" s="10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04"/>
      <c r="C74" s="3"/>
      <c r="D74" s="104"/>
      <c r="E74" s="104"/>
      <c r="F74" s="104"/>
      <c r="G74" s="104"/>
      <c r="H74" s="104"/>
      <c r="I74" s="104"/>
      <c r="J74" s="104"/>
      <c r="K74" s="104"/>
      <c r="L74" s="10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04"/>
      <c r="C75" s="3"/>
      <c r="D75" s="104"/>
      <c r="E75" s="104"/>
      <c r="F75" s="104"/>
      <c r="G75" s="104"/>
      <c r="H75" s="104"/>
      <c r="I75" s="104"/>
      <c r="J75" s="104"/>
      <c r="K75" s="104"/>
      <c r="L75" s="10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04"/>
      <c r="C76" s="3"/>
      <c r="D76" s="104"/>
      <c r="E76" s="104"/>
      <c r="F76" s="104"/>
      <c r="G76" s="104"/>
      <c r="H76" s="104"/>
      <c r="I76" s="104"/>
      <c r="J76" s="104"/>
      <c r="K76" s="104"/>
      <c r="L76" s="10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04"/>
      <c r="C77" s="3"/>
      <c r="D77" s="104"/>
      <c r="E77" s="104"/>
      <c r="F77" s="104"/>
      <c r="G77" s="104"/>
      <c r="H77" s="104"/>
      <c r="I77" s="104"/>
      <c r="J77" s="104"/>
      <c r="K77" s="104"/>
      <c r="L77" s="10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04"/>
      <c r="C78" s="3"/>
      <c r="D78" s="104"/>
      <c r="E78" s="104"/>
      <c r="F78" s="104"/>
      <c r="G78" s="104"/>
      <c r="H78" s="104"/>
      <c r="I78" s="104"/>
      <c r="J78" s="104"/>
      <c r="K78" s="104"/>
      <c r="L78" s="10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04"/>
      <c r="C79" s="3"/>
      <c r="D79" s="104"/>
      <c r="E79" s="104"/>
      <c r="F79" s="104"/>
      <c r="G79" s="104"/>
      <c r="H79" s="104"/>
      <c r="I79" s="104"/>
      <c r="J79" s="104"/>
      <c r="K79" s="104"/>
      <c r="L79" s="10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04"/>
      <c r="C80" s="3"/>
      <c r="D80" s="104"/>
      <c r="E80" s="104"/>
      <c r="F80" s="104"/>
      <c r="G80" s="104"/>
      <c r="H80" s="104"/>
      <c r="I80" s="104"/>
      <c r="J80" s="104"/>
      <c r="K80" s="104"/>
      <c r="L80" s="10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04"/>
      <c r="C81" s="3"/>
      <c r="D81" s="104"/>
      <c r="E81" s="104"/>
      <c r="F81" s="104"/>
      <c r="G81" s="104"/>
      <c r="H81" s="104"/>
      <c r="I81" s="104"/>
      <c r="J81" s="104"/>
      <c r="K81" s="104"/>
      <c r="L81" s="10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04"/>
      <c r="C82" s="3"/>
      <c r="D82" s="104"/>
      <c r="E82" s="104"/>
      <c r="F82" s="104"/>
      <c r="G82" s="104"/>
      <c r="H82" s="104"/>
      <c r="I82" s="104"/>
      <c r="J82" s="104"/>
      <c r="K82" s="104"/>
      <c r="L82" s="10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04"/>
      <c r="C83" s="3"/>
      <c r="D83" s="104"/>
      <c r="E83" s="104"/>
      <c r="F83" s="104"/>
      <c r="G83" s="104"/>
      <c r="H83" s="104"/>
      <c r="I83" s="104"/>
      <c r="J83" s="104"/>
      <c r="K83" s="104"/>
      <c r="L83" s="10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04"/>
      <c r="C84" s="3"/>
      <c r="D84" s="104"/>
      <c r="E84" s="104"/>
      <c r="F84" s="104"/>
      <c r="G84" s="104"/>
      <c r="H84" s="104"/>
      <c r="I84" s="104"/>
      <c r="J84" s="104"/>
      <c r="K84" s="104"/>
      <c r="L84" s="10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04"/>
      <c r="C85" s="3"/>
      <c r="D85" s="104"/>
      <c r="E85" s="104"/>
      <c r="F85" s="104"/>
      <c r="G85" s="104"/>
      <c r="H85" s="104"/>
      <c r="I85" s="104"/>
      <c r="J85" s="104"/>
      <c r="K85" s="104"/>
      <c r="L85" s="10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04"/>
      <c r="C86" s="3"/>
      <c r="D86" s="104"/>
      <c r="E86" s="104"/>
      <c r="F86" s="104"/>
      <c r="G86" s="104"/>
      <c r="H86" s="104"/>
      <c r="I86" s="104"/>
      <c r="J86" s="104"/>
      <c r="K86" s="104"/>
      <c r="L86" s="10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04"/>
      <c r="C87" s="3"/>
      <c r="D87" s="104"/>
      <c r="E87" s="104"/>
      <c r="F87" s="104"/>
      <c r="G87" s="104"/>
      <c r="H87" s="104"/>
      <c r="I87" s="104"/>
      <c r="J87" s="104"/>
      <c r="K87" s="104"/>
      <c r="L87" s="10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04"/>
      <c r="C88" s="3"/>
      <c r="D88" s="104"/>
      <c r="E88" s="104"/>
      <c r="F88" s="104"/>
      <c r="G88" s="104"/>
      <c r="H88" s="104"/>
      <c r="I88" s="104"/>
      <c r="J88" s="104"/>
      <c r="K88" s="104"/>
      <c r="L88" s="10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04"/>
      <c r="C89" s="3"/>
      <c r="D89" s="104"/>
      <c r="E89" s="104"/>
      <c r="F89" s="104"/>
      <c r="G89" s="104"/>
      <c r="H89" s="104"/>
      <c r="I89" s="104"/>
      <c r="J89" s="104"/>
      <c r="K89" s="104"/>
      <c r="L89" s="10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04"/>
      <c r="C90" s="3"/>
      <c r="D90" s="104"/>
      <c r="E90" s="104"/>
      <c r="F90" s="104"/>
      <c r="G90" s="104"/>
      <c r="H90" s="104"/>
      <c r="I90" s="104"/>
      <c r="J90" s="104"/>
      <c r="K90" s="104"/>
      <c r="L90" s="10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04"/>
      <c r="C91" s="3"/>
      <c r="D91" s="104"/>
      <c r="E91" s="104"/>
      <c r="F91" s="104"/>
      <c r="G91" s="104"/>
      <c r="H91" s="104"/>
      <c r="I91" s="104"/>
      <c r="J91" s="104"/>
      <c r="K91" s="104"/>
      <c r="L91" s="10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04"/>
      <c r="C92" s="3"/>
      <c r="D92" s="104"/>
      <c r="E92" s="104"/>
      <c r="F92" s="104"/>
      <c r="G92" s="104"/>
      <c r="H92" s="104"/>
      <c r="I92" s="104"/>
      <c r="J92" s="104"/>
      <c r="K92" s="104"/>
      <c r="L92" s="10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04"/>
      <c r="C93" s="3"/>
      <c r="D93" s="104"/>
      <c r="E93" s="104"/>
      <c r="F93" s="104"/>
      <c r="G93" s="104"/>
      <c r="H93" s="104"/>
      <c r="I93" s="104"/>
      <c r="J93" s="104"/>
      <c r="K93" s="104"/>
      <c r="L93" s="10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04"/>
      <c r="C94" s="3"/>
      <c r="D94" s="104"/>
      <c r="E94" s="104"/>
      <c r="F94" s="104"/>
      <c r="G94" s="104"/>
      <c r="H94" s="104"/>
      <c r="I94" s="104"/>
      <c r="J94" s="104"/>
      <c r="K94" s="104"/>
      <c r="L94" s="10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04"/>
      <c r="C95" s="3"/>
      <c r="D95" s="104"/>
      <c r="E95" s="104"/>
      <c r="F95" s="104"/>
      <c r="G95" s="104"/>
      <c r="H95" s="104"/>
      <c r="I95" s="104"/>
      <c r="J95" s="104"/>
      <c r="K95" s="104"/>
      <c r="L95" s="10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04"/>
      <c r="C96" s="3"/>
      <c r="D96" s="104"/>
      <c r="E96" s="104"/>
      <c r="F96" s="104"/>
      <c r="G96" s="104"/>
      <c r="H96" s="104"/>
      <c r="I96" s="104"/>
      <c r="J96" s="104"/>
      <c r="K96" s="104"/>
      <c r="L96" s="10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04"/>
      <c r="C97" s="3"/>
      <c r="D97" s="104"/>
      <c r="E97" s="104"/>
      <c r="F97" s="104"/>
      <c r="G97" s="104"/>
      <c r="H97" s="104"/>
      <c r="I97" s="104"/>
      <c r="J97" s="104"/>
      <c r="K97" s="104"/>
      <c r="L97" s="10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04"/>
      <c r="C98" s="3"/>
      <c r="D98" s="104"/>
      <c r="E98" s="104"/>
      <c r="F98" s="104"/>
      <c r="G98" s="104"/>
      <c r="H98" s="104"/>
      <c r="I98" s="104"/>
      <c r="J98" s="104"/>
      <c r="K98" s="104"/>
      <c r="L98" s="10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04"/>
      <c r="C99" s="3"/>
      <c r="D99" s="104"/>
      <c r="E99" s="104"/>
      <c r="F99" s="104"/>
      <c r="G99" s="104"/>
      <c r="H99" s="104"/>
      <c r="I99" s="104"/>
      <c r="J99" s="104"/>
      <c r="K99" s="104"/>
      <c r="L99" s="10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04"/>
      <c r="C100" s="3"/>
      <c r="D100" s="104"/>
      <c r="E100" s="104"/>
      <c r="F100" s="104"/>
      <c r="G100" s="104"/>
      <c r="H100" s="104"/>
      <c r="I100" s="104"/>
      <c r="J100" s="104"/>
      <c r="K100" s="104"/>
      <c r="L100" s="10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04"/>
      <c r="C101" s="3"/>
      <c r="D101" s="104"/>
      <c r="E101" s="104"/>
      <c r="F101" s="104"/>
      <c r="G101" s="104"/>
      <c r="H101" s="104"/>
      <c r="I101" s="104"/>
      <c r="J101" s="104"/>
      <c r="K101" s="104"/>
      <c r="L101" s="10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04"/>
      <c r="C102" s="3"/>
      <c r="D102" s="104"/>
      <c r="E102" s="104"/>
      <c r="F102" s="104"/>
      <c r="G102" s="104"/>
      <c r="H102" s="104"/>
      <c r="I102" s="104"/>
      <c r="J102" s="104"/>
      <c r="K102" s="104"/>
      <c r="L102" s="10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04"/>
      <c r="C103" s="3"/>
      <c r="D103" s="104"/>
      <c r="E103" s="104"/>
      <c r="F103" s="104"/>
      <c r="G103" s="104"/>
      <c r="H103" s="104"/>
      <c r="I103" s="104"/>
      <c r="J103" s="104"/>
      <c r="K103" s="104"/>
      <c r="L103" s="10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04"/>
      <c r="C104" s="3"/>
      <c r="D104" s="104"/>
      <c r="E104" s="104"/>
      <c r="F104" s="104"/>
      <c r="G104" s="104"/>
      <c r="H104" s="104"/>
      <c r="I104" s="104"/>
      <c r="J104" s="104"/>
      <c r="K104" s="104"/>
      <c r="L104" s="10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04"/>
      <c r="C105" s="3"/>
      <c r="D105" s="104"/>
      <c r="E105" s="104"/>
      <c r="F105" s="104"/>
      <c r="G105" s="104"/>
      <c r="H105" s="104"/>
      <c r="I105" s="104"/>
      <c r="J105" s="104"/>
      <c r="K105" s="104"/>
      <c r="L105" s="10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04"/>
      <c r="C106" s="3"/>
      <c r="D106" s="104"/>
      <c r="E106" s="104"/>
      <c r="F106" s="104"/>
      <c r="G106" s="104"/>
      <c r="H106" s="104"/>
      <c r="I106" s="104"/>
      <c r="J106" s="104"/>
      <c r="K106" s="104"/>
      <c r="L106" s="10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04"/>
      <c r="C107" s="3"/>
      <c r="D107" s="104"/>
      <c r="E107" s="104"/>
      <c r="F107" s="104"/>
      <c r="G107" s="104"/>
      <c r="H107" s="104"/>
      <c r="I107" s="104"/>
      <c r="J107" s="104"/>
      <c r="K107" s="104"/>
      <c r="L107" s="10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04"/>
      <c r="C108" s="3"/>
      <c r="D108" s="104"/>
      <c r="E108" s="104"/>
      <c r="F108" s="104"/>
      <c r="G108" s="104"/>
      <c r="H108" s="104"/>
      <c r="I108" s="104"/>
      <c r="J108" s="104"/>
      <c r="K108" s="104"/>
      <c r="L108" s="10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04"/>
      <c r="C109" s="3"/>
      <c r="D109" s="104"/>
      <c r="E109" s="104"/>
      <c r="F109" s="104"/>
      <c r="G109" s="104"/>
      <c r="H109" s="104"/>
      <c r="I109" s="104"/>
      <c r="J109" s="104"/>
      <c r="K109" s="104"/>
      <c r="L109" s="10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04"/>
      <c r="C110" s="3"/>
      <c r="D110" s="104"/>
      <c r="E110" s="104"/>
      <c r="F110" s="104"/>
      <c r="G110" s="104"/>
      <c r="H110" s="104"/>
      <c r="I110" s="104"/>
      <c r="J110" s="104"/>
      <c r="K110" s="104"/>
      <c r="L110" s="10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04"/>
      <c r="C111" s="3"/>
      <c r="D111" s="104"/>
      <c r="E111" s="104"/>
      <c r="F111" s="104"/>
      <c r="G111" s="104"/>
      <c r="H111" s="104"/>
      <c r="I111" s="104"/>
      <c r="J111" s="104"/>
      <c r="K111" s="104"/>
      <c r="L111" s="10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04"/>
      <c r="C112" s="3"/>
      <c r="D112" s="104"/>
      <c r="E112" s="104"/>
      <c r="F112" s="104"/>
      <c r="G112" s="104"/>
      <c r="H112" s="104"/>
      <c r="I112" s="104"/>
      <c r="J112" s="104"/>
      <c r="K112" s="104"/>
      <c r="L112" s="10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04"/>
      <c r="C113" s="3"/>
      <c r="D113" s="104"/>
      <c r="E113" s="104"/>
      <c r="F113" s="104"/>
      <c r="G113" s="104"/>
      <c r="H113" s="104"/>
      <c r="I113" s="104"/>
      <c r="J113" s="104"/>
      <c r="K113" s="104"/>
      <c r="L113" s="10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04"/>
      <c r="C114" s="3"/>
      <c r="D114" s="104"/>
      <c r="E114" s="104"/>
      <c r="F114" s="104"/>
      <c r="G114" s="104"/>
      <c r="H114" s="104"/>
      <c r="I114" s="104"/>
      <c r="J114" s="104"/>
      <c r="K114" s="104"/>
      <c r="L114" s="10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04"/>
      <c r="C115" s="3"/>
      <c r="D115" s="104"/>
      <c r="E115" s="104"/>
      <c r="F115" s="104"/>
      <c r="G115" s="104"/>
      <c r="H115" s="104"/>
      <c r="I115" s="104"/>
      <c r="J115" s="104"/>
      <c r="K115" s="104"/>
      <c r="L115" s="10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04"/>
      <c r="C116" s="3"/>
      <c r="D116" s="104"/>
      <c r="E116" s="104"/>
      <c r="F116" s="104"/>
      <c r="G116" s="104"/>
      <c r="H116" s="104"/>
      <c r="I116" s="104"/>
      <c r="J116" s="104"/>
      <c r="K116" s="104"/>
      <c r="L116" s="10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04"/>
      <c r="C117" s="3"/>
      <c r="D117" s="104"/>
      <c r="E117" s="104"/>
      <c r="F117" s="104"/>
      <c r="G117" s="104"/>
      <c r="H117" s="104"/>
      <c r="I117" s="104"/>
      <c r="J117" s="104"/>
      <c r="K117" s="104"/>
      <c r="L117" s="10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04"/>
      <c r="C118" s="3"/>
      <c r="D118" s="104"/>
      <c r="E118" s="104"/>
      <c r="F118" s="104"/>
      <c r="G118" s="104"/>
      <c r="H118" s="104"/>
      <c r="I118" s="104"/>
      <c r="J118" s="104"/>
      <c r="K118" s="104"/>
      <c r="L118" s="10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04"/>
      <c r="C119" s="3"/>
      <c r="D119" s="104"/>
      <c r="E119" s="104"/>
      <c r="F119" s="104"/>
      <c r="G119" s="104"/>
      <c r="H119" s="104"/>
      <c r="I119" s="104"/>
      <c r="J119" s="104"/>
      <c r="K119" s="104"/>
      <c r="L119" s="10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04"/>
      <c r="C120" s="3"/>
      <c r="D120" s="104"/>
      <c r="E120" s="104"/>
      <c r="F120" s="104"/>
      <c r="G120" s="104"/>
      <c r="H120" s="104"/>
      <c r="I120" s="104"/>
      <c r="J120" s="104"/>
      <c r="K120" s="104"/>
      <c r="L120" s="10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04"/>
      <c r="C121" s="3"/>
      <c r="D121" s="104"/>
      <c r="E121" s="104"/>
      <c r="F121" s="104"/>
      <c r="G121" s="104"/>
      <c r="H121" s="104"/>
      <c r="I121" s="104"/>
      <c r="J121" s="104"/>
      <c r="K121" s="104"/>
      <c r="L121" s="10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04"/>
      <c r="C122" s="3"/>
      <c r="D122" s="104"/>
      <c r="E122" s="104"/>
      <c r="F122" s="104"/>
      <c r="G122" s="104"/>
      <c r="H122" s="104"/>
      <c r="I122" s="104"/>
      <c r="J122" s="104"/>
      <c r="K122" s="104"/>
      <c r="L122" s="10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04"/>
      <c r="C123" s="3"/>
      <c r="D123" s="104"/>
      <c r="E123" s="104"/>
      <c r="F123" s="104"/>
      <c r="G123" s="104"/>
      <c r="H123" s="104"/>
      <c r="I123" s="104"/>
      <c r="J123" s="104"/>
      <c r="K123" s="104"/>
      <c r="L123" s="10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04"/>
      <c r="C124" s="3"/>
      <c r="D124" s="104"/>
      <c r="E124" s="104"/>
      <c r="F124" s="104"/>
      <c r="G124" s="104"/>
      <c r="H124" s="104"/>
      <c r="I124" s="104"/>
      <c r="J124" s="104"/>
      <c r="K124" s="104"/>
      <c r="L124" s="10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04"/>
      <c r="C125" s="3"/>
      <c r="D125" s="104"/>
      <c r="E125" s="104"/>
      <c r="F125" s="104"/>
      <c r="G125" s="104"/>
      <c r="H125" s="104"/>
      <c r="I125" s="104"/>
      <c r="J125" s="104"/>
      <c r="K125" s="104"/>
      <c r="L125" s="10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04"/>
      <c r="C126" s="3"/>
      <c r="D126" s="104"/>
      <c r="E126" s="104"/>
      <c r="F126" s="104"/>
      <c r="G126" s="104"/>
      <c r="H126" s="104"/>
      <c r="I126" s="104"/>
      <c r="J126" s="104"/>
      <c r="K126" s="104"/>
      <c r="L126" s="10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04"/>
      <c r="C127" s="3"/>
      <c r="D127" s="104"/>
      <c r="E127" s="104"/>
      <c r="F127" s="104"/>
      <c r="G127" s="104"/>
      <c r="H127" s="104"/>
      <c r="I127" s="104"/>
      <c r="J127" s="104"/>
      <c r="K127" s="104"/>
      <c r="L127" s="10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04"/>
      <c r="C128" s="3"/>
      <c r="D128" s="104"/>
      <c r="E128" s="104"/>
      <c r="F128" s="104"/>
      <c r="G128" s="104"/>
      <c r="H128" s="104"/>
      <c r="I128" s="104"/>
      <c r="J128" s="104"/>
      <c r="K128" s="104"/>
      <c r="L128" s="10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04"/>
      <c r="C129" s="3"/>
      <c r="D129" s="104"/>
      <c r="E129" s="104"/>
      <c r="F129" s="104"/>
      <c r="G129" s="104"/>
      <c r="H129" s="104"/>
      <c r="I129" s="104"/>
      <c r="J129" s="104"/>
      <c r="K129" s="104"/>
      <c r="L129" s="10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04"/>
      <c r="C130" s="3"/>
      <c r="D130" s="104"/>
      <c r="E130" s="104"/>
      <c r="F130" s="104"/>
      <c r="G130" s="104"/>
      <c r="H130" s="104"/>
      <c r="I130" s="104"/>
      <c r="J130" s="104"/>
      <c r="K130" s="104"/>
      <c r="L130" s="10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04"/>
      <c r="C131" s="3"/>
      <c r="D131" s="104"/>
      <c r="E131" s="104"/>
      <c r="F131" s="104"/>
      <c r="G131" s="104"/>
      <c r="H131" s="104"/>
      <c r="I131" s="104"/>
      <c r="J131" s="104"/>
      <c r="K131" s="104"/>
      <c r="L131" s="10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04"/>
      <c r="C132" s="3"/>
      <c r="D132" s="104"/>
      <c r="E132" s="104"/>
      <c r="F132" s="104"/>
      <c r="G132" s="104"/>
      <c r="H132" s="104"/>
      <c r="I132" s="104"/>
      <c r="J132" s="104"/>
      <c r="K132" s="104"/>
      <c r="L132" s="10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04"/>
      <c r="C133" s="3"/>
      <c r="D133" s="104"/>
      <c r="E133" s="104"/>
      <c r="F133" s="104"/>
      <c r="G133" s="104"/>
      <c r="H133" s="104"/>
      <c r="I133" s="104"/>
      <c r="J133" s="104"/>
      <c r="K133" s="104"/>
      <c r="L133" s="10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04"/>
      <c r="C134" s="3"/>
      <c r="D134" s="104"/>
      <c r="E134" s="104"/>
      <c r="F134" s="104"/>
      <c r="G134" s="104"/>
      <c r="H134" s="104"/>
      <c r="I134" s="104"/>
      <c r="J134" s="104"/>
      <c r="K134" s="104"/>
      <c r="L134" s="10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04"/>
      <c r="C135" s="3"/>
      <c r="D135" s="104"/>
      <c r="E135" s="104"/>
      <c r="F135" s="104"/>
      <c r="G135" s="104"/>
      <c r="H135" s="104"/>
      <c r="I135" s="104"/>
      <c r="J135" s="104"/>
      <c r="K135" s="104"/>
      <c r="L135" s="10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04"/>
      <c r="C136" s="3"/>
      <c r="D136" s="104"/>
      <c r="E136" s="104"/>
      <c r="F136" s="104"/>
      <c r="G136" s="104"/>
      <c r="H136" s="104"/>
      <c r="I136" s="104"/>
      <c r="J136" s="104"/>
      <c r="K136" s="104"/>
      <c r="L136" s="10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04"/>
      <c r="C137" s="3"/>
      <c r="D137" s="104"/>
      <c r="E137" s="104"/>
      <c r="F137" s="104"/>
      <c r="G137" s="104"/>
      <c r="H137" s="104"/>
      <c r="I137" s="104"/>
      <c r="J137" s="104"/>
      <c r="K137" s="104"/>
      <c r="L137" s="10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04"/>
      <c r="C138" s="3"/>
      <c r="D138" s="104"/>
      <c r="E138" s="104"/>
      <c r="F138" s="104"/>
      <c r="G138" s="104"/>
      <c r="H138" s="104"/>
      <c r="I138" s="104"/>
      <c r="J138" s="104"/>
      <c r="K138" s="104"/>
      <c r="L138" s="10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04"/>
      <c r="C139" s="3"/>
      <c r="D139" s="104"/>
      <c r="E139" s="104"/>
      <c r="F139" s="104"/>
      <c r="G139" s="104"/>
      <c r="H139" s="104"/>
      <c r="I139" s="104"/>
      <c r="J139" s="104"/>
      <c r="K139" s="104"/>
      <c r="L139" s="10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04"/>
      <c r="C140" s="3"/>
      <c r="D140" s="104"/>
      <c r="E140" s="104"/>
      <c r="F140" s="104"/>
      <c r="G140" s="104"/>
      <c r="H140" s="104"/>
      <c r="I140" s="104"/>
      <c r="J140" s="104"/>
      <c r="K140" s="104"/>
      <c r="L140" s="10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04"/>
      <c r="C141" s="3"/>
      <c r="D141" s="104"/>
      <c r="E141" s="104"/>
      <c r="F141" s="104"/>
      <c r="G141" s="104"/>
      <c r="H141" s="104"/>
      <c r="I141" s="104"/>
      <c r="J141" s="104"/>
      <c r="K141" s="104"/>
      <c r="L141" s="10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04"/>
      <c r="C142" s="3"/>
      <c r="D142" s="104"/>
      <c r="E142" s="104"/>
      <c r="F142" s="104"/>
      <c r="G142" s="104"/>
      <c r="H142" s="104"/>
      <c r="I142" s="104"/>
      <c r="J142" s="104"/>
      <c r="K142" s="104"/>
      <c r="L142" s="10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04"/>
      <c r="C143" s="3"/>
      <c r="D143" s="104"/>
      <c r="E143" s="104"/>
      <c r="F143" s="104"/>
      <c r="G143" s="104"/>
      <c r="H143" s="104"/>
      <c r="I143" s="104"/>
      <c r="J143" s="104"/>
      <c r="K143" s="104"/>
      <c r="L143" s="10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04"/>
      <c r="C144" s="3"/>
      <c r="D144" s="104"/>
      <c r="E144" s="104"/>
      <c r="F144" s="104"/>
      <c r="G144" s="104"/>
      <c r="H144" s="104"/>
      <c r="I144" s="104"/>
      <c r="J144" s="104"/>
      <c r="K144" s="104"/>
      <c r="L144" s="10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04"/>
      <c r="C145" s="3"/>
      <c r="D145" s="104"/>
      <c r="E145" s="104"/>
      <c r="F145" s="104"/>
      <c r="G145" s="104"/>
      <c r="H145" s="104"/>
      <c r="I145" s="104"/>
      <c r="J145" s="104"/>
      <c r="K145" s="104"/>
      <c r="L145" s="10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04"/>
      <c r="C146" s="3"/>
      <c r="D146" s="104"/>
      <c r="E146" s="104"/>
      <c r="F146" s="104"/>
      <c r="G146" s="104"/>
      <c r="H146" s="104"/>
      <c r="I146" s="104"/>
      <c r="J146" s="104"/>
      <c r="K146" s="104"/>
      <c r="L146" s="10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04"/>
      <c r="C147" s="3"/>
      <c r="D147" s="104"/>
      <c r="E147" s="104"/>
      <c r="F147" s="104"/>
      <c r="G147" s="104"/>
      <c r="H147" s="104"/>
      <c r="I147" s="104"/>
      <c r="J147" s="104"/>
      <c r="K147" s="104"/>
      <c r="L147" s="10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04"/>
      <c r="C148" s="3"/>
      <c r="D148" s="104"/>
      <c r="E148" s="104"/>
      <c r="F148" s="104"/>
      <c r="G148" s="104"/>
      <c r="H148" s="104"/>
      <c r="I148" s="104"/>
      <c r="J148" s="104"/>
      <c r="K148" s="104"/>
      <c r="L148" s="10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04"/>
      <c r="C149" s="3"/>
      <c r="D149" s="104"/>
      <c r="E149" s="104"/>
      <c r="F149" s="104"/>
      <c r="G149" s="104"/>
      <c r="H149" s="104"/>
      <c r="I149" s="104"/>
      <c r="J149" s="104"/>
      <c r="K149" s="104"/>
      <c r="L149" s="10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04"/>
      <c r="C150" s="3"/>
      <c r="D150" s="104"/>
      <c r="E150" s="104"/>
      <c r="F150" s="104"/>
      <c r="G150" s="104"/>
      <c r="H150" s="104"/>
      <c r="I150" s="104"/>
      <c r="J150" s="104"/>
      <c r="K150" s="104"/>
      <c r="L150" s="10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04"/>
      <c r="C151" s="3"/>
      <c r="D151" s="104"/>
      <c r="E151" s="104"/>
      <c r="F151" s="104"/>
      <c r="G151" s="104"/>
      <c r="H151" s="104"/>
      <c r="I151" s="104"/>
      <c r="J151" s="104"/>
      <c r="K151" s="104"/>
      <c r="L151" s="10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04"/>
      <c r="C152" s="3"/>
      <c r="D152" s="104"/>
      <c r="E152" s="104"/>
      <c r="F152" s="104"/>
      <c r="G152" s="104"/>
      <c r="H152" s="104"/>
      <c r="I152" s="104"/>
      <c r="J152" s="104"/>
      <c r="K152" s="104"/>
      <c r="L152" s="10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04"/>
      <c r="C153" s="3"/>
      <c r="D153" s="104"/>
      <c r="E153" s="104"/>
      <c r="F153" s="104"/>
      <c r="G153" s="104"/>
      <c r="H153" s="104"/>
      <c r="I153" s="104"/>
      <c r="J153" s="104"/>
      <c r="K153" s="104"/>
      <c r="L153" s="10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04"/>
      <c r="C154" s="3"/>
      <c r="D154" s="104"/>
      <c r="E154" s="104"/>
      <c r="F154" s="104"/>
      <c r="G154" s="104"/>
      <c r="H154" s="104"/>
      <c r="I154" s="104"/>
      <c r="J154" s="104"/>
      <c r="K154" s="104"/>
      <c r="L154" s="10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04"/>
      <c r="C155" s="3"/>
      <c r="D155" s="104"/>
      <c r="E155" s="104"/>
      <c r="F155" s="104"/>
      <c r="G155" s="104"/>
      <c r="H155" s="104"/>
      <c r="I155" s="104"/>
      <c r="J155" s="104"/>
      <c r="K155" s="104"/>
      <c r="L155" s="10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04"/>
      <c r="C156" s="3"/>
      <c r="D156" s="104"/>
      <c r="E156" s="104"/>
      <c r="F156" s="104"/>
      <c r="G156" s="104"/>
      <c r="H156" s="104"/>
      <c r="I156" s="104"/>
      <c r="J156" s="104"/>
      <c r="K156" s="104"/>
      <c r="L156" s="10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04"/>
      <c r="C157" s="3"/>
      <c r="D157" s="104"/>
      <c r="E157" s="104"/>
      <c r="F157" s="104"/>
      <c r="G157" s="104"/>
      <c r="H157" s="104"/>
      <c r="I157" s="104"/>
      <c r="J157" s="104"/>
      <c r="K157" s="104"/>
      <c r="L157" s="10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04"/>
      <c r="C158" s="3"/>
      <c r="D158" s="104"/>
      <c r="E158" s="104"/>
      <c r="F158" s="104"/>
      <c r="G158" s="104"/>
      <c r="H158" s="104"/>
      <c r="I158" s="104"/>
      <c r="J158" s="104"/>
      <c r="K158" s="104"/>
      <c r="L158" s="10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04"/>
      <c r="C159" s="3"/>
      <c r="D159" s="104"/>
      <c r="E159" s="104"/>
      <c r="F159" s="104"/>
      <c r="G159" s="104"/>
      <c r="H159" s="104"/>
      <c r="I159" s="104"/>
      <c r="J159" s="104"/>
      <c r="K159" s="104"/>
      <c r="L159" s="10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04"/>
      <c r="C160" s="3"/>
      <c r="D160" s="104"/>
      <c r="E160" s="104"/>
      <c r="F160" s="104"/>
      <c r="G160" s="104"/>
      <c r="H160" s="104"/>
      <c r="I160" s="104"/>
      <c r="J160" s="104"/>
      <c r="K160" s="104"/>
      <c r="L160" s="10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04"/>
      <c r="C161" s="3"/>
      <c r="D161" s="104"/>
      <c r="E161" s="104"/>
      <c r="F161" s="104"/>
      <c r="G161" s="104"/>
      <c r="H161" s="104"/>
      <c r="I161" s="104"/>
      <c r="J161" s="104"/>
      <c r="K161" s="104"/>
      <c r="L161" s="10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04"/>
      <c r="C162" s="3"/>
      <c r="D162" s="104"/>
      <c r="E162" s="104"/>
      <c r="F162" s="104"/>
      <c r="G162" s="104"/>
      <c r="H162" s="104"/>
      <c r="I162" s="104"/>
      <c r="J162" s="104"/>
      <c r="K162" s="104"/>
      <c r="L162" s="10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04"/>
      <c r="C163" s="3"/>
      <c r="D163" s="104"/>
      <c r="E163" s="104"/>
      <c r="F163" s="104"/>
      <c r="G163" s="104"/>
      <c r="H163" s="104"/>
      <c r="I163" s="104"/>
      <c r="J163" s="104"/>
      <c r="K163" s="104"/>
      <c r="L163" s="10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04"/>
      <c r="C164" s="3"/>
      <c r="D164" s="104"/>
      <c r="E164" s="104"/>
      <c r="F164" s="104"/>
      <c r="G164" s="104"/>
      <c r="H164" s="104"/>
      <c r="I164" s="104"/>
      <c r="J164" s="104"/>
      <c r="K164" s="104"/>
      <c r="L164" s="10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04"/>
      <c r="C165" s="3"/>
      <c r="D165" s="104"/>
      <c r="E165" s="104"/>
      <c r="F165" s="104"/>
      <c r="G165" s="104"/>
      <c r="H165" s="104"/>
      <c r="I165" s="104"/>
      <c r="J165" s="104"/>
      <c r="K165" s="104"/>
      <c r="L165" s="10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04"/>
      <c r="C166" s="3"/>
      <c r="D166" s="104"/>
      <c r="E166" s="104"/>
      <c r="F166" s="104"/>
      <c r="G166" s="104"/>
      <c r="H166" s="104"/>
      <c r="I166" s="104"/>
      <c r="J166" s="104"/>
      <c r="K166" s="104"/>
      <c r="L166" s="10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04"/>
      <c r="C167" s="3"/>
      <c r="D167" s="104"/>
      <c r="E167" s="104"/>
      <c r="F167" s="104"/>
      <c r="G167" s="104"/>
      <c r="H167" s="104"/>
      <c r="I167" s="104"/>
      <c r="J167" s="104"/>
      <c r="K167" s="104"/>
      <c r="L167" s="10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04"/>
      <c r="C168" s="3"/>
      <c r="D168" s="104"/>
      <c r="E168" s="104"/>
      <c r="F168" s="104"/>
      <c r="G168" s="104"/>
      <c r="H168" s="104"/>
      <c r="I168" s="104"/>
      <c r="J168" s="104"/>
      <c r="K168" s="104"/>
      <c r="L168" s="10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04"/>
      <c r="C169" s="3"/>
      <c r="D169" s="104"/>
      <c r="E169" s="104"/>
      <c r="F169" s="104"/>
      <c r="G169" s="104"/>
      <c r="H169" s="104"/>
      <c r="I169" s="104"/>
      <c r="J169" s="104"/>
      <c r="K169" s="104"/>
      <c r="L169" s="10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04"/>
      <c r="C170" s="3"/>
      <c r="D170" s="104"/>
      <c r="E170" s="104"/>
      <c r="F170" s="104"/>
      <c r="G170" s="104"/>
      <c r="H170" s="104"/>
      <c r="I170" s="104"/>
      <c r="J170" s="104"/>
      <c r="K170" s="104"/>
      <c r="L170" s="10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04"/>
      <c r="C171" s="3"/>
      <c r="D171" s="104"/>
      <c r="E171" s="104"/>
      <c r="F171" s="104"/>
      <c r="G171" s="104"/>
      <c r="H171" s="104"/>
      <c r="I171" s="104"/>
      <c r="J171" s="104"/>
      <c r="K171" s="104"/>
      <c r="L171" s="10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04"/>
      <c r="C172" s="3"/>
      <c r="D172" s="104"/>
      <c r="E172" s="104"/>
      <c r="F172" s="104"/>
      <c r="G172" s="104"/>
      <c r="H172" s="104"/>
      <c r="I172" s="104"/>
      <c r="J172" s="104"/>
      <c r="K172" s="104"/>
      <c r="L172" s="10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04"/>
      <c r="C173" s="3"/>
      <c r="D173" s="104"/>
      <c r="E173" s="104"/>
      <c r="F173" s="104"/>
      <c r="G173" s="104"/>
      <c r="H173" s="104"/>
      <c r="I173" s="104"/>
      <c r="J173" s="104"/>
      <c r="K173" s="104"/>
      <c r="L173" s="10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04"/>
      <c r="C174" s="3"/>
      <c r="D174" s="104"/>
      <c r="E174" s="104"/>
      <c r="F174" s="104"/>
      <c r="G174" s="104"/>
      <c r="H174" s="104"/>
      <c r="I174" s="104"/>
      <c r="J174" s="104"/>
      <c r="K174" s="104"/>
      <c r="L174" s="10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04"/>
      <c r="C175" s="3"/>
      <c r="D175" s="104"/>
      <c r="E175" s="104"/>
      <c r="F175" s="104"/>
      <c r="G175" s="104"/>
      <c r="H175" s="104"/>
      <c r="I175" s="104"/>
      <c r="J175" s="104"/>
      <c r="K175" s="104"/>
      <c r="L175" s="10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04"/>
      <c r="C176" s="3"/>
      <c r="D176" s="104"/>
      <c r="E176" s="104"/>
      <c r="F176" s="104"/>
      <c r="G176" s="104"/>
      <c r="H176" s="104"/>
      <c r="I176" s="104"/>
      <c r="J176" s="104"/>
      <c r="K176" s="104"/>
      <c r="L176" s="10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04"/>
      <c r="C177" s="3"/>
      <c r="D177" s="104"/>
      <c r="E177" s="104"/>
      <c r="F177" s="104"/>
      <c r="G177" s="104"/>
      <c r="H177" s="104"/>
      <c r="I177" s="104"/>
      <c r="J177" s="104"/>
      <c r="K177" s="104"/>
      <c r="L177" s="10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04"/>
      <c r="C178" s="3"/>
      <c r="D178" s="104"/>
      <c r="E178" s="104"/>
      <c r="F178" s="104"/>
      <c r="G178" s="104"/>
      <c r="H178" s="104"/>
      <c r="I178" s="104"/>
      <c r="J178" s="104"/>
      <c r="K178" s="104"/>
      <c r="L178" s="10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04"/>
      <c r="C179" s="3"/>
      <c r="D179" s="104"/>
      <c r="E179" s="104"/>
      <c r="F179" s="104"/>
      <c r="G179" s="104"/>
      <c r="H179" s="104"/>
      <c r="I179" s="104"/>
      <c r="J179" s="104"/>
      <c r="K179" s="104"/>
      <c r="L179" s="10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04"/>
      <c r="C180" s="3"/>
      <c r="D180" s="104"/>
      <c r="E180" s="104"/>
      <c r="F180" s="104"/>
      <c r="G180" s="104"/>
      <c r="H180" s="104"/>
      <c r="I180" s="104"/>
      <c r="J180" s="104"/>
      <c r="K180" s="104"/>
      <c r="L180" s="10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04"/>
      <c r="C181" s="3"/>
      <c r="D181" s="104"/>
      <c r="E181" s="104"/>
      <c r="F181" s="104"/>
      <c r="G181" s="104"/>
      <c r="H181" s="104"/>
      <c r="I181" s="104"/>
      <c r="J181" s="104"/>
      <c r="K181" s="104"/>
      <c r="L181" s="10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04"/>
      <c r="C182" s="3"/>
      <c r="D182" s="104"/>
      <c r="E182" s="104"/>
      <c r="F182" s="104"/>
      <c r="G182" s="104"/>
      <c r="H182" s="104"/>
      <c r="I182" s="104"/>
      <c r="J182" s="104"/>
      <c r="K182" s="104"/>
      <c r="L182" s="10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04"/>
      <c r="C183" s="3"/>
      <c r="D183" s="104"/>
      <c r="E183" s="104"/>
      <c r="F183" s="104"/>
      <c r="G183" s="104"/>
      <c r="H183" s="104"/>
      <c r="I183" s="104"/>
      <c r="J183" s="104"/>
      <c r="K183" s="104"/>
      <c r="L183" s="10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04"/>
      <c r="C184" s="3"/>
      <c r="D184" s="104"/>
      <c r="E184" s="104"/>
      <c r="F184" s="104"/>
      <c r="G184" s="104"/>
      <c r="H184" s="104"/>
      <c r="I184" s="104"/>
      <c r="J184" s="104"/>
      <c r="K184" s="104"/>
      <c r="L184" s="10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04"/>
      <c r="C185" s="3"/>
      <c r="D185" s="104"/>
      <c r="E185" s="104"/>
      <c r="F185" s="104"/>
      <c r="G185" s="104"/>
      <c r="H185" s="104"/>
      <c r="I185" s="104"/>
      <c r="J185" s="104"/>
      <c r="K185" s="104"/>
      <c r="L185" s="10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04"/>
      <c r="C186" s="3"/>
      <c r="D186" s="104"/>
      <c r="E186" s="104"/>
      <c r="F186" s="104"/>
      <c r="G186" s="104"/>
      <c r="H186" s="104"/>
      <c r="I186" s="104"/>
      <c r="J186" s="104"/>
      <c r="K186" s="104"/>
      <c r="L186" s="10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04"/>
      <c r="C187" s="3"/>
      <c r="D187" s="104"/>
      <c r="E187" s="104"/>
      <c r="F187" s="104"/>
      <c r="G187" s="104"/>
      <c r="H187" s="104"/>
      <c r="I187" s="104"/>
      <c r="J187" s="104"/>
      <c r="K187" s="104"/>
      <c r="L187" s="10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04"/>
      <c r="C188" s="3"/>
      <c r="D188" s="104"/>
      <c r="E188" s="104"/>
      <c r="F188" s="104"/>
      <c r="G188" s="104"/>
      <c r="H188" s="104"/>
      <c r="I188" s="104"/>
      <c r="J188" s="104"/>
      <c r="K188" s="104"/>
      <c r="L188" s="10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04"/>
      <c r="C189" s="3"/>
      <c r="D189" s="104"/>
      <c r="E189" s="104"/>
      <c r="F189" s="104"/>
      <c r="G189" s="104"/>
      <c r="H189" s="104"/>
      <c r="I189" s="104"/>
      <c r="J189" s="104"/>
      <c r="K189" s="104"/>
      <c r="L189" s="10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04"/>
      <c r="C190" s="3"/>
      <c r="D190" s="104"/>
      <c r="E190" s="104"/>
      <c r="F190" s="104"/>
      <c r="G190" s="104"/>
      <c r="H190" s="104"/>
      <c r="I190" s="104"/>
      <c r="J190" s="104"/>
      <c r="K190" s="104"/>
      <c r="L190" s="10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04"/>
      <c r="C191" s="3"/>
      <c r="D191" s="104"/>
      <c r="E191" s="104"/>
      <c r="F191" s="104"/>
      <c r="G191" s="104"/>
      <c r="H191" s="104"/>
      <c r="I191" s="104"/>
      <c r="J191" s="104"/>
      <c r="K191" s="104"/>
      <c r="L191" s="10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04"/>
      <c r="C192" s="3"/>
      <c r="D192" s="104"/>
      <c r="E192" s="104"/>
      <c r="F192" s="104"/>
      <c r="G192" s="104"/>
      <c r="H192" s="104"/>
      <c r="I192" s="104"/>
      <c r="J192" s="104"/>
      <c r="K192" s="104"/>
      <c r="L192" s="10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04"/>
      <c r="C193" s="3"/>
      <c r="D193" s="104"/>
      <c r="E193" s="104"/>
      <c r="F193" s="104"/>
      <c r="G193" s="104"/>
      <c r="H193" s="104"/>
      <c r="I193" s="104"/>
      <c r="J193" s="104"/>
      <c r="K193" s="104"/>
      <c r="L193" s="10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04"/>
      <c r="C194" s="3"/>
      <c r="D194" s="104"/>
      <c r="E194" s="104"/>
      <c r="F194" s="104"/>
      <c r="G194" s="104"/>
      <c r="H194" s="104"/>
      <c r="I194" s="104"/>
      <c r="J194" s="104"/>
      <c r="K194" s="104"/>
      <c r="L194" s="10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04"/>
      <c r="C195" s="3"/>
      <c r="D195" s="104"/>
      <c r="E195" s="104"/>
      <c r="F195" s="104"/>
      <c r="G195" s="104"/>
      <c r="H195" s="104"/>
      <c r="I195" s="104"/>
      <c r="J195" s="104"/>
      <c r="K195" s="104"/>
      <c r="L195" s="10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04"/>
      <c r="C196" s="3"/>
      <c r="D196" s="104"/>
      <c r="E196" s="104"/>
      <c r="F196" s="104"/>
      <c r="G196" s="104"/>
      <c r="H196" s="104"/>
      <c r="I196" s="104"/>
      <c r="J196" s="104"/>
      <c r="K196" s="104"/>
      <c r="L196" s="10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04"/>
      <c r="C197" s="3"/>
      <c r="D197" s="104"/>
      <c r="E197" s="104"/>
      <c r="F197" s="104"/>
      <c r="G197" s="104"/>
      <c r="H197" s="104"/>
      <c r="I197" s="104"/>
      <c r="J197" s="104"/>
      <c r="K197" s="104"/>
      <c r="L197" s="10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04"/>
      <c r="C198" s="3"/>
      <c r="D198" s="104"/>
      <c r="E198" s="104"/>
      <c r="F198" s="104"/>
      <c r="G198" s="104"/>
      <c r="H198" s="104"/>
      <c r="I198" s="104"/>
      <c r="J198" s="104"/>
      <c r="K198" s="104"/>
      <c r="L198" s="10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04"/>
      <c r="C199" s="3"/>
      <c r="D199" s="104"/>
      <c r="E199" s="104"/>
      <c r="F199" s="104"/>
      <c r="G199" s="104"/>
      <c r="H199" s="104"/>
      <c r="I199" s="104"/>
      <c r="J199" s="104"/>
      <c r="K199" s="104"/>
      <c r="L199" s="10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04"/>
      <c r="C200" s="3"/>
      <c r="D200" s="104"/>
      <c r="E200" s="104"/>
      <c r="F200" s="104"/>
      <c r="G200" s="104"/>
      <c r="H200" s="104"/>
      <c r="I200" s="104"/>
      <c r="J200" s="104"/>
      <c r="K200" s="104"/>
      <c r="L200" s="10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04"/>
      <c r="C201" s="3"/>
      <c r="D201" s="104"/>
      <c r="E201" s="104"/>
      <c r="F201" s="104"/>
      <c r="G201" s="104"/>
      <c r="H201" s="104"/>
      <c r="I201" s="104"/>
      <c r="J201" s="104"/>
      <c r="K201" s="104"/>
      <c r="L201" s="10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04"/>
      <c r="C202" s="3"/>
      <c r="D202" s="104"/>
      <c r="E202" s="104"/>
      <c r="F202" s="104"/>
      <c r="G202" s="104"/>
      <c r="H202" s="104"/>
      <c r="I202" s="104"/>
      <c r="J202" s="104"/>
      <c r="K202" s="104"/>
      <c r="L202" s="10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04"/>
      <c r="C203" s="3"/>
      <c r="D203" s="104"/>
      <c r="E203" s="104"/>
      <c r="F203" s="104"/>
      <c r="G203" s="104"/>
      <c r="H203" s="104"/>
      <c r="I203" s="104"/>
      <c r="J203" s="104"/>
      <c r="K203" s="104"/>
      <c r="L203" s="10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04"/>
      <c r="C204" s="3"/>
      <c r="D204" s="104"/>
      <c r="E204" s="104"/>
      <c r="F204" s="104"/>
      <c r="G204" s="104"/>
      <c r="H204" s="104"/>
      <c r="I204" s="104"/>
      <c r="J204" s="104"/>
      <c r="K204" s="104"/>
      <c r="L204" s="10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04"/>
      <c r="C205" s="3"/>
      <c r="D205" s="104"/>
      <c r="E205" s="104"/>
      <c r="F205" s="104"/>
      <c r="G205" s="104"/>
      <c r="H205" s="104"/>
      <c r="I205" s="104"/>
      <c r="J205" s="104"/>
      <c r="K205" s="104"/>
      <c r="L205" s="10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04"/>
      <c r="C206" s="3"/>
      <c r="D206" s="104"/>
      <c r="E206" s="104"/>
      <c r="F206" s="104"/>
      <c r="G206" s="104"/>
      <c r="H206" s="104"/>
      <c r="I206" s="104"/>
      <c r="J206" s="104"/>
      <c r="K206" s="104"/>
      <c r="L206" s="10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04"/>
      <c r="C207" s="3"/>
      <c r="D207" s="104"/>
      <c r="E207" s="104"/>
      <c r="F207" s="104"/>
      <c r="G207" s="104"/>
      <c r="H207" s="104"/>
      <c r="I207" s="104"/>
      <c r="J207" s="104"/>
      <c r="K207" s="104"/>
      <c r="L207" s="10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04"/>
      <c r="C208" s="3"/>
      <c r="D208" s="104"/>
      <c r="E208" s="104"/>
      <c r="F208" s="104"/>
      <c r="G208" s="104"/>
      <c r="H208" s="104"/>
      <c r="I208" s="104"/>
      <c r="J208" s="104"/>
      <c r="K208" s="104"/>
      <c r="L208" s="10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04"/>
      <c r="C209" s="3"/>
      <c r="D209" s="104"/>
      <c r="E209" s="104"/>
      <c r="F209" s="104"/>
      <c r="G209" s="104"/>
      <c r="H209" s="104"/>
      <c r="I209" s="104"/>
      <c r="J209" s="104"/>
      <c r="K209" s="104"/>
      <c r="L209" s="10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04"/>
      <c r="C210" s="3"/>
      <c r="D210" s="104"/>
      <c r="E210" s="104"/>
      <c r="F210" s="104"/>
      <c r="G210" s="104"/>
      <c r="H210" s="104"/>
      <c r="I210" s="104"/>
      <c r="J210" s="104"/>
      <c r="K210" s="104"/>
      <c r="L210" s="10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04"/>
      <c r="C211" s="3"/>
      <c r="D211" s="104"/>
      <c r="E211" s="104"/>
      <c r="F211" s="104"/>
      <c r="G211" s="104"/>
      <c r="H211" s="104"/>
      <c r="I211" s="104"/>
      <c r="J211" s="104"/>
      <c r="K211" s="104"/>
      <c r="L211" s="10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04"/>
      <c r="C212" s="3"/>
      <c r="D212" s="104"/>
      <c r="E212" s="104"/>
      <c r="F212" s="104"/>
      <c r="G212" s="104"/>
      <c r="H212" s="104"/>
      <c r="I212" s="104"/>
      <c r="J212" s="104"/>
      <c r="K212" s="104"/>
      <c r="L212" s="10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04"/>
      <c r="C213" s="3"/>
      <c r="D213" s="104"/>
      <c r="E213" s="104"/>
      <c r="F213" s="104"/>
      <c r="G213" s="104"/>
      <c r="H213" s="104"/>
      <c r="I213" s="104"/>
      <c r="J213" s="104"/>
      <c r="K213" s="104"/>
      <c r="L213" s="10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04"/>
      <c r="C214" s="3"/>
      <c r="D214" s="104"/>
      <c r="E214" s="104"/>
      <c r="F214" s="104"/>
      <c r="G214" s="104"/>
      <c r="H214" s="104"/>
      <c r="I214" s="104"/>
      <c r="J214" s="104"/>
      <c r="K214" s="104"/>
      <c r="L214" s="10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04"/>
      <c r="C215" s="3"/>
      <c r="D215" s="104"/>
      <c r="E215" s="104"/>
      <c r="F215" s="104"/>
      <c r="G215" s="104"/>
      <c r="H215" s="104"/>
      <c r="I215" s="104"/>
      <c r="J215" s="104"/>
      <c r="K215" s="104"/>
      <c r="L215" s="10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104"/>
      <c r="E216" s="104"/>
      <c r="F216" s="104"/>
      <c r="G216" s="104"/>
      <c r="H216" s="104"/>
      <c r="I216" s="104"/>
      <c r="J216" s="104"/>
      <c r="K216" s="104"/>
      <c r="L216" s="10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D1:L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30.0"/>
    <col customWidth="1" min="3" max="3" width="20.0"/>
    <col customWidth="1" min="4" max="12" width="18.33"/>
    <col customWidth="1" min="13" max="15" width="8.33"/>
    <col customWidth="1" min="16" max="26" width="11.11"/>
  </cols>
  <sheetData>
    <row r="1" ht="18.0" customHeight="1">
      <c r="A1" s="105"/>
      <c r="B1" s="106"/>
      <c r="C1" s="105"/>
      <c r="D1" s="107">
        <v>2026.0</v>
      </c>
      <c r="E1" s="108"/>
      <c r="F1" s="108"/>
      <c r="G1" s="108"/>
      <c r="H1" s="108"/>
      <c r="I1" s="108"/>
      <c r="J1" s="108"/>
      <c r="K1" s="108"/>
      <c r="L1" s="109"/>
      <c r="M1" s="17"/>
      <c r="N1" s="17"/>
      <c r="O1" s="17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10" t="s">
        <v>72</v>
      </c>
      <c r="B2" s="106"/>
      <c r="C2" s="105"/>
      <c r="D2" s="112" t="s">
        <v>33</v>
      </c>
      <c r="E2" s="112" t="s">
        <v>34</v>
      </c>
      <c r="F2" s="112" t="s">
        <v>35</v>
      </c>
      <c r="G2" s="112" t="s">
        <v>36</v>
      </c>
      <c r="H2" s="112" t="s">
        <v>37</v>
      </c>
      <c r="I2" s="112" t="s">
        <v>38</v>
      </c>
      <c r="J2" s="112" t="s">
        <v>39</v>
      </c>
      <c r="K2" s="112" t="s">
        <v>40</v>
      </c>
      <c r="L2" s="112" t="s">
        <v>41</v>
      </c>
      <c r="M2" s="17"/>
      <c r="N2" s="17"/>
      <c r="O2" s="17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114"/>
      <c r="B3" s="115" t="s">
        <v>205</v>
      </c>
      <c r="C3" s="115">
        <f t="shared" ref="C3:C68" si="2">SUM(D3:L3)</f>
        <v>441637.69</v>
      </c>
      <c r="D3" s="131">
        <f t="shared" ref="D3:L3" si="1">SUM(D4:D134)</f>
        <v>0</v>
      </c>
      <c r="E3" s="131">
        <f t="shared" si="1"/>
        <v>13773.46</v>
      </c>
      <c r="F3" s="131">
        <f t="shared" si="1"/>
        <v>179801.8</v>
      </c>
      <c r="G3" s="131">
        <f t="shared" si="1"/>
        <v>13659.3</v>
      </c>
      <c r="H3" s="131">
        <f t="shared" si="1"/>
        <v>13658.59</v>
      </c>
      <c r="I3" s="131">
        <f t="shared" si="1"/>
        <v>13627.32</v>
      </c>
      <c r="J3" s="131">
        <f t="shared" si="1"/>
        <v>13657.16</v>
      </c>
      <c r="K3" s="131">
        <f t="shared" si="1"/>
        <v>13628.34</v>
      </c>
      <c r="L3" s="131">
        <f t="shared" si="1"/>
        <v>179831.72</v>
      </c>
      <c r="M3" s="63"/>
      <c r="N3" s="63"/>
      <c r="O3" s="6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132">
        <v>310394.0</v>
      </c>
      <c r="B4" s="133" t="s">
        <v>206</v>
      </c>
      <c r="C4" s="119">
        <f t="shared" si="2"/>
        <v>332352</v>
      </c>
      <c r="D4" s="123"/>
      <c r="E4" s="123"/>
      <c r="F4" s="123">
        <v>166176.0</v>
      </c>
      <c r="G4" s="123"/>
      <c r="H4" s="123"/>
      <c r="I4" s="123"/>
      <c r="J4" s="123"/>
      <c r="K4" s="123"/>
      <c r="L4" s="123">
        <v>166176.0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32">
        <v>310392.0</v>
      </c>
      <c r="B5" s="134" t="s">
        <v>207</v>
      </c>
      <c r="C5" s="125">
        <f t="shared" si="2"/>
        <v>98134.33</v>
      </c>
      <c r="D5" s="128"/>
      <c r="E5" s="127">
        <v>12379.54</v>
      </c>
      <c r="F5" s="128">
        <v>12231.88</v>
      </c>
      <c r="G5" s="128">
        <v>12265.38</v>
      </c>
      <c r="H5" s="128">
        <v>12264.67</v>
      </c>
      <c r="I5" s="128">
        <v>12233.4</v>
      </c>
      <c r="J5" s="128">
        <v>12263.24</v>
      </c>
      <c r="K5" s="128">
        <v>12234.42</v>
      </c>
      <c r="L5" s="128">
        <v>12261.8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32">
        <v>310305.0</v>
      </c>
      <c r="B6" s="134" t="s">
        <v>208</v>
      </c>
      <c r="C6" s="125">
        <f t="shared" si="2"/>
        <v>11151.36</v>
      </c>
      <c r="D6" s="128"/>
      <c r="E6" s="128">
        <v>1393.92</v>
      </c>
      <c r="F6" s="128">
        <v>1393.92</v>
      </c>
      <c r="G6" s="128">
        <v>1393.92</v>
      </c>
      <c r="H6" s="128">
        <v>1393.92</v>
      </c>
      <c r="I6" s="128">
        <v>1393.92</v>
      </c>
      <c r="J6" s="128">
        <v>1393.92</v>
      </c>
      <c r="K6" s="128">
        <v>1393.92</v>
      </c>
      <c r="L6" s="128">
        <v>1393.92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32"/>
      <c r="B7" s="137"/>
      <c r="C7" s="125">
        <f t="shared" si="2"/>
        <v>0</v>
      </c>
      <c r="D7" s="128"/>
      <c r="E7" s="128"/>
      <c r="F7" s="128"/>
      <c r="G7" s="128"/>
      <c r="H7" s="128"/>
      <c r="I7" s="128"/>
      <c r="J7" s="128"/>
      <c r="K7" s="128"/>
      <c r="L7" s="12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32"/>
      <c r="B8" s="137"/>
      <c r="C8" s="125">
        <f t="shared" si="2"/>
        <v>0</v>
      </c>
      <c r="D8" s="128"/>
      <c r="E8" s="128"/>
      <c r="F8" s="128"/>
      <c r="G8" s="128"/>
      <c r="H8" s="128"/>
      <c r="I8" s="128"/>
      <c r="J8" s="128"/>
      <c r="K8" s="128"/>
      <c r="L8" s="12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32"/>
      <c r="B9" s="137"/>
      <c r="C9" s="125">
        <f t="shared" si="2"/>
        <v>0</v>
      </c>
      <c r="D9" s="128"/>
      <c r="E9" s="128"/>
      <c r="F9" s="128"/>
      <c r="G9" s="128"/>
      <c r="H9" s="128"/>
      <c r="I9" s="128"/>
      <c r="J9" s="128"/>
      <c r="K9" s="128"/>
      <c r="L9" s="12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32"/>
      <c r="B10" s="137"/>
      <c r="C10" s="125">
        <f t="shared" si="2"/>
        <v>0</v>
      </c>
      <c r="D10" s="128"/>
      <c r="E10" s="128"/>
      <c r="F10" s="128"/>
      <c r="G10" s="128"/>
      <c r="H10" s="128"/>
      <c r="I10" s="128"/>
      <c r="J10" s="128"/>
      <c r="K10" s="128"/>
      <c r="L10" s="12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32"/>
      <c r="B11" s="137"/>
      <c r="C11" s="125">
        <f t="shared" si="2"/>
        <v>0</v>
      </c>
      <c r="D11" s="128"/>
      <c r="E11" s="128"/>
      <c r="F11" s="128"/>
      <c r="G11" s="128"/>
      <c r="H11" s="128"/>
      <c r="I11" s="128"/>
      <c r="J11" s="128"/>
      <c r="K11" s="128"/>
      <c r="L11" s="12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2"/>
      <c r="B12" s="137"/>
      <c r="C12" s="125">
        <f t="shared" si="2"/>
        <v>0</v>
      </c>
      <c r="D12" s="128"/>
      <c r="E12" s="128"/>
      <c r="F12" s="128"/>
      <c r="G12" s="128"/>
      <c r="H12" s="128"/>
      <c r="I12" s="128"/>
      <c r="J12" s="128"/>
      <c r="K12" s="128"/>
      <c r="L12" s="12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32"/>
      <c r="B13" s="137"/>
      <c r="C13" s="125">
        <f t="shared" si="2"/>
        <v>0</v>
      </c>
      <c r="D13" s="128"/>
      <c r="E13" s="128"/>
      <c r="F13" s="128"/>
      <c r="G13" s="128"/>
      <c r="H13" s="128"/>
      <c r="I13" s="128"/>
      <c r="J13" s="128"/>
      <c r="K13" s="128"/>
      <c r="L13" s="12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32"/>
      <c r="B14" s="137"/>
      <c r="C14" s="125">
        <f t="shared" si="2"/>
        <v>0</v>
      </c>
      <c r="D14" s="128"/>
      <c r="E14" s="128"/>
      <c r="F14" s="128"/>
      <c r="G14" s="128"/>
      <c r="H14" s="128"/>
      <c r="I14" s="128"/>
      <c r="J14" s="128"/>
      <c r="K14" s="128"/>
      <c r="L14" s="12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32"/>
      <c r="B15" s="137"/>
      <c r="C15" s="125">
        <f t="shared" si="2"/>
        <v>0</v>
      </c>
      <c r="D15" s="128"/>
      <c r="E15" s="128"/>
      <c r="F15" s="128"/>
      <c r="G15" s="128"/>
      <c r="H15" s="128"/>
      <c r="I15" s="128"/>
      <c r="J15" s="128"/>
      <c r="K15" s="128"/>
      <c r="L15" s="12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32"/>
      <c r="B16" s="137"/>
      <c r="C16" s="125">
        <f t="shared" si="2"/>
        <v>0</v>
      </c>
      <c r="D16" s="128"/>
      <c r="E16" s="128"/>
      <c r="F16" s="128"/>
      <c r="G16" s="128"/>
      <c r="H16" s="128"/>
      <c r="I16" s="128"/>
      <c r="J16" s="128"/>
      <c r="K16" s="128"/>
      <c r="L16" s="12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32"/>
      <c r="B17" s="137"/>
      <c r="C17" s="125">
        <f t="shared" si="2"/>
        <v>0</v>
      </c>
      <c r="D17" s="128"/>
      <c r="E17" s="128"/>
      <c r="F17" s="128"/>
      <c r="G17" s="128"/>
      <c r="H17" s="128"/>
      <c r="I17" s="128"/>
      <c r="J17" s="128"/>
      <c r="K17" s="128"/>
      <c r="L17" s="12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32"/>
      <c r="B18" s="137"/>
      <c r="C18" s="125">
        <f t="shared" si="2"/>
        <v>0</v>
      </c>
      <c r="D18" s="128"/>
      <c r="E18" s="128"/>
      <c r="F18" s="128"/>
      <c r="G18" s="128"/>
      <c r="H18" s="128"/>
      <c r="I18" s="128"/>
      <c r="J18" s="128"/>
      <c r="K18" s="128"/>
      <c r="L18" s="12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32"/>
      <c r="B19" s="137"/>
      <c r="C19" s="125">
        <f t="shared" si="2"/>
        <v>0</v>
      </c>
      <c r="D19" s="128"/>
      <c r="E19" s="128"/>
      <c r="F19" s="128"/>
      <c r="G19" s="128"/>
      <c r="H19" s="128"/>
      <c r="I19" s="128"/>
      <c r="J19" s="128"/>
      <c r="K19" s="128"/>
      <c r="L19" s="12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32"/>
      <c r="B20" s="137"/>
      <c r="C20" s="125">
        <f t="shared" si="2"/>
        <v>0</v>
      </c>
      <c r="D20" s="128"/>
      <c r="E20" s="128"/>
      <c r="F20" s="128"/>
      <c r="G20" s="128"/>
      <c r="H20" s="128"/>
      <c r="I20" s="128"/>
      <c r="J20" s="128"/>
      <c r="K20" s="128"/>
      <c r="L20" s="12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2"/>
      <c r="B21" s="137"/>
      <c r="C21" s="125">
        <f t="shared" si="2"/>
        <v>0</v>
      </c>
      <c r="D21" s="128"/>
      <c r="E21" s="128"/>
      <c r="F21" s="128"/>
      <c r="G21" s="128"/>
      <c r="H21" s="128"/>
      <c r="I21" s="128"/>
      <c r="J21" s="128"/>
      <c r="K21" s="128"/>
      <c r="L21" s="12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2"/>
      <c r="B22" s="137"/>
      <c r="C22" s="125">
        <f t="shared" si="2"/>
        <v>0</v>
      </c>
      <c r="D22" s="128"/>
      <c r="E22" s="128"/>
      <c r="F22" s="128"/>
      <c r="G22" s="128"/>
      <c r="H22" s="128"/>
      <c r="I22" s="128"/>
      <c r="J22" s="128"/>
      <c r="K22" s="128"/>
      <c r="L22" s="12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32"/>
      <c r="B23" s="137"/>
      <c r="C23" s="125">
        <f t="shared" si="2"/>
        <v>0</v>
      </c>
      <c r="D23" s="128"/>
      <c r="E23" s="128"/>
      <c r="F23" s="128"/>
      <c r="G23" s="128"/>
      <c r="H23" s="128"/>
      <c r="I23" s="128"/>
      <c r="J23" s="128"/>
      <c r="K23" s="128"/>
      <c r="L23" s="12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2"/>
      <c r="B24" s="137"/>
      <c r="C24" s="125">
        <f t="shared" si="2"/>
        <v>0</v>
      </c>
      <c r="D24" s="128"/>
      <c r="E24" s="128"/>
      <c r="F24" s="128"/>
      <c r="G24" s="128"/>
      <c r="H24" s="128"/>
      <c r="I24" s="128"/>
      <c r="J24" s="128"/>
      <c r="K24" s="128"/>
      <c r="L24" s="12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2"/>
      <c r="B25" s="137"/>
      <c r="C25" s="125">
        <f t="shared" si="2"/>
        <v>0</v>
      </c>
      <c r="D25" s="128"/>
      <c r="E25" s="128"/>
      <c r="F25" s="128"/>
      <c r="G25" s="128"/>
      <c r="H25" s="128"/>
      <c r="I25" s="128"/>
      <c r="J25" s="128"/>
      <c r="K25" s="128"/>
      <c r="L25" s="12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2"/>
      <c r="B26" s="137"/>
      <c r="C26" s="125">
        <f t="shared" si="2"/>
        <v>0</v>
      </c>
      <c r="D26" s="128"/>
      <c r="E26" s="128"/>
      <c r="F26" s="128"/>
      <c r="G26" s="128"/>
      <c r="H26" s="128"/>
      <c r="I26" s="128"/>
      <c r="J26" s="128"/>
      <c r="K26" s="128"/>
      <c r="L26" s="12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2"/>
      <c r="B27" s="137"/>
      <c r="C27" s="125">
        <f t="shared" si="2"/>
        <v>0</v>
      </c>
      <c r="D27" s="128"/>
      <c r="E27" s="128"/>
      <c r="F27" s="128"/>
      <c r="G27" s="128"/>
      <c r="H27" s="128"/>
      <c r="I27" s="128"/>
      <c r="J27" s="128"/>
      <c r="K27" s="128"/>
      <c r="L27" s="12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2"/>
      <c r="B28" s="137"/>
      <c r="C28" s="125">
        <f t="shared" si="2"/>
        <v>0</v>
      </c>
      <c r="D28" s="128"/>
      <c r="E28" s="128"/>
      <c r="F28" s="128"/>
      <c r="G28" s="128"/>
      <c r="H28" s="128"/>
      <c r="I28" s="128"/>
      <c r="J28" s="128"/>
      <c r="K28" s="128"/>
      <c r="L28" s="12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2"/>
      <c r="B29" s="137"/>
      <c r="C29" s="125">
        <f t="shared" si="2"/>
        <v>0</v>
      </c>
      <c r="D29" s="128"/>
      <c r="E29" s="128"/>
      <c r="F29" s="128"/>
      <c r="G29" s="128"/>
      <c r="H29" s="128"/>
      <c r="I29" s="128"/>
      <c r="J29" s="128"/>
      <c r="K29" s="128"/>
      <c r="L29" s="12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32"/>
      <c r="B30" s="137"/>
      <c r="C30" s="125">
        <f t="shared" si="2"/>
        <v>0</v>
      </c>
      <c r="D30" s="128"/>
      <c r="E30" s="128"/>
      <c r="F30" s="128"/>
      <c r="G30" s="128"/>
      <c r="H30" s="128"/>
      <c r="I30" s="128"/>
      <c r="J30" s="128"/>
      <c r="K30" s="128"/>
      <c r="L30" s="12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2"/>
      <c r="B31" s="137"/>
      <c r="C31" s="125">
        <f t="shared" si="2"/>
        <v>0</v>
      </c>
      <c r="D31" s="128"/>
      <c r="E31" s="128"/>
      <c r="F31" s="128"/>
      <c r="G31" s="128"/>
      <c r="H31" s="128"/>
      <c r="I31" s="128"/>
      <c r="J31" s="128"/>
      <c r="K31" s="128"/>
      <c r="L31" s="12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32"/>
      <c r="B32" s="137"/>
      <c r="C32" s="125">
        <f t="shared" si="2"/>
        <v>0</v>
      </c>
      <c r="D32" s="128"/>
      <c r="E32" s="128"/>
      <c r="F32" s="128"/>
      <c r="G32" s="128"/>
      <c r="H32" s="128"/>
      <c r="I32" s="128"/>
      <c r="J32" s="128"/>
      <c r="K32" s="128"/>
      <c r="L32" s="12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2"/>
      <c r="B33" s="137"/>
      <c r="C33" s="125">
        <f t="shared" si="2"/>
        <v>0</v>
      </c>
      <c r="D33" s="128"/>
      <c r="E33" s="128"/>
      <c r="F33" s="128"/>
      <c r="G33" s="128"/>
      <c r="H33" s="128"/>
      <c r="I33" s="128"/>
      <c r="J33" s="128"/>
      <c r="K33" s="128"/>
      <c r="L33" s="12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2"/>
      <c r="B34" s="137"/>
      <c r="C34" s="125">
        <f t="shared" si="2"/>
        <v>0</v>
      </c>
      <c r="D34" s="128"/>
      <c r="E34" s="128"/>
      <c r="F34" s="128"/>
      <c r="G34" s="128"/>
      <c r="H34" s="128"/>
      <c r="I34" s="128"/>
      <c r="J34" s="128"/>
      <c r="K34" s="128"/>
      <c r="L34" s="12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32"/>
      <c r="B35" s="137"/>
      <c r="C35" s="125">
        <f t="shared" si="2"/>
        <v>0</v>
      </c>
      <c r="D35" s="128"/>
      <c r="E35" s="128"/>
      <c r="F35" s="128"/>
      <c r="G35" s="128"/>
      <c r="H35" s="128"/>
      <c r="I35" s="128"/>
      <c r="J35" s="128"/>
      <c r="K35" s="128"/>
      <c r="L35" s="12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32"/>
      <c r="B36" s="137"/>
      <c r="C36" s="125">
        <f t="shared" si="2"/>
        <v>0</v>
      </c>
      <c r="D36" s="128"/>
      <c r="E36" s="128"/>
      <c r="F36" s="128"/>
      <c r="G36" s="128"/>
      <c r="H36" s="128"/>
      <c r="I36" s="128"/>
      <c r="J36" s="128"/>
      <c r="K36" s="128"/>
      <c r="L36" s="12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32"/>
      <c r="B37" s="137"/>
      <c r="C37" s="125">
        <f t="shared" si="2"/>
        <v>0</v>
      </c>
      <c r="D37" s="128"/>
      <c r="E37" s="128"/>
      <c r="F37" s="128"/>
      <c r="G37" s="128"/>
      <c r="H37" s="128"/>
      <c r="I37" s="128"/>
      <c r="J37" s="128"/>
      <c r="K37" s="128"/>
      <c r="L37" s="12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2"/>
      <c r="B38" s="137"/>
      <c r="C38" s="125">
        <f t="shared" si="2"/>
        <v>0</v>
      </c>
      <c r="D38" s="128"/>
      <c r="E38" s="128"/>
      <c r="F38" s="128"/>
      <c r="G38" s="128"/>
      <c r="H38" s="128"/>
      <c r="I38" s="128"/>
      <c r="J38" s="128"/>
      <c r="K38" s="128"/>
      <c r="L38" s="12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32"/>
      <c r="B39" s="137"/>
      <c r="C39" s="125">
        <f t="shared" si="2"/>
        <v>0</v>
      </c>
      <c r="D39" s="128"/>
      <c r="E39" s="128"/>
      <c r="F39" s="128"/>
      <c r="G39" s="128"/>
      <c r="H39" s="128"/>
      <c r="I39" s="128"/>
      <c r="J39" s="128"/>
      <c r="K39" s="128"/>
      <c r="L39" s="12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32"/>
      <c r="B40" s="137"/>
      <c r="C40" s="125">
        <f t="shared" si="2"/>
        <v>0</v>
      </c>
      <c r="D40" s="128"/>
      <c r="E40" s="128"/>
      <c r="F40" s="128"/>
      <c r="G40" s="128"/>
      <c r="H40" s="128"/>
      <c r="I40" s="128"/>
      <c r="J40" s="128"/>
      <c r="K40" s="128"/>
      <c r="L40" s="12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32"/>
      <c r="B41" s="137"/>
      <c r="C41" s="125">
        <f t="shared" si="2"/>
        <v>0</v>
      </c>
      <c r="D41" s="128"/>
      <c r="E41" s="128"/>
      <c r="F41" s="128"/>
      <c r="G41" s="128"/>
      <c r="H41" s="128"/>
      <c r="I41" s="128"/>
      <c r="J41" s="128"/>
      <c r="K41" s="128"/>
      <c r="L41" s="12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32"/>
      <c r="B42" s="137"/>
      <c r="C42" s="125">
        <f t="shared" si="2"/>
        <v>0</v>
      </c>
      <c r="D42" s="128"/>
      <c r="E42" s="128"/>
      <c r="F42" s="128"/>
      <c r="G42" s="128"/>
      <c r="H42" s="128"/>
      <c r="I42" s="128"/>
      <c r="J42" s="128"/>
      <c r="K42" s="128"/>
      <c r="L42" s="12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32"/>
      <c r="B43" s="137"/>
      <c r="C43" s="125">
        <f t="shared" si="2"/>
        <v>0</v>
      </c>
      <c r="D43" s="128"/>
      <c r="E43" s="128"/>
      <c r="F43" s="128"/>
      <c r="G43" s="128"/>
      <c r="H43" s="128"/>
      <c r="I43" s="128"/>
      <c r="J43" s="128"/>
      <c r="K43" s="128"/>
      <c r="L43" s="12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32"/>
      <c r="B44" s="137"/>
      <c r="C44" s="125">
        <f t="shared" si="2"/>
        <v>0</v>
      </c>
      <c r="D44" s="128"/>
      <c r="E44" s="128"/>
      <c r="F44" s="128"/>
      <c r="G44" s="128"/>
      <c r="H44" s="128"/>
      <c r="I44" s="128"/>
      <c r="J44" s="128"/>
      <c r="K44" s="128"/>
      <c r="L44" s="12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32"/>
      <c r="B45" s="137"/>
      <c r="C45" s="125">
        <f t="shared" si="2"/>
        <v>0</v>
      </c>
      <c r="D45" s="128"/>
      <c r="E45" s="128"/>
      <c r="F45" s="128"/>
      <c r="G45" s="128"/>
      <c r="H45" s="128"/>
      <c r="I45" s="128"/>
      <c r="J45" s="128"/>
      <c r="K45" s="128"/>
      <c r="L45" s="12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32"/>
      <c r="B46" s="137"/>
      <c r="C46" s="125">
        <f t="shared" si="2"/>
        <v>0</v>
      </c>
      <c r="D46" s="128"/>
      <c r="E46" s="128"/>
      <c r="F46" s="128"/>
      <c r="G46" s="128"/>
      <c r="H46" s="128"/>
      <c r="I46" s="128"/>
      <c r="J46" s="128"/>
      <c r="K46" s="128"/>
      <c r="L46" s="12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32"/>
      <c r="B47" s="137"/>
      <c r="C47" s="125">
        <f t="shared" si="2"/>
        <v>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32"/>
      <c r="B48" s="137"/>
      <c r="C48" s="125">
        <f t="shared" si="2"/>
        <v>0</v>
      </c>
      <c r="D48" s="128"/>
      <c r="E48" s="128"/>
      <c r="F48" s="128"/>
      <c r="G48" s="128"/>
      <c r="H48" s="128"/>
      <c r="I48" s="128"/>
      <c r="J48" s="128"/>
      <c r="K48" s="128"/>
      <c r="L48" s="12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32"/>
      <c r="B49" s="137"/>
      <c r="C49" s="125">
        <f t="shared" si="2"/>
        <v>0</v>
      </c>
      <c r="D49" s="128"/>
      <c r="E49" s="128"/>
      <c r="F49" s="128"/>
      <c r="G49" s="128"/>
      <c r="H49" s="128"/>
      <c r="I49" s="128"/>
      <c r="J49" s="128"/>
      <c r="K49" s="128"/>
      <c r="L49" s="12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32"/>
      <c r="B50" s="137"/>
      <c r="C50" s="125">
        <f t="shared" si="2"/>
        <v>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32"/>
      <c r="B51" s="137"/>
      <c r="C51" s="125">
        <f t="shared" si="2"/>
        <v>0</v>
      </c>
      <c r="D51" s="128"/>
      <c r="E51" s="128"/>
      <c r="F51" s="128"/>
      <c r="G51" s="128"/>
      <c r="H51" s="128"/>
      <c r="I51" s="128"/>
      <c r="J51" s="128"/>
      <c r="K51" s="128"/>
      <c r="L51" s="12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32"/>
      <c r="B52" s="137"/>
      <c r="C52" s="125">
        <f t="shared" si="2"/>
        <v>0</v>
      </c>
      <c r="D52" s="128"/>
      <c r="E52" s="128"/>
      <c r="F52" s="128"/>
      <c r="G52" s="128"/>
      <c r="H52" s="128"/>
      <c r="I52" s="128"/>
      <c r="J52" s="128"/>
      <c r="K52" s="128"/>
      <c r="L52" s="12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32"/>
      <c r="B53" s="137"/>
      <c r="C53" s="125">
        <f t="shared" si="2"/>
        <v>0</v>
      </c>
      <c r="D53" s="128"/>
      <c r="E53" s="128"/>
      <c r="F53" s="128"/>
      <c r="G53" s="128"/>
      <c r="H53" s="128"/>
      <c r="I53" s="128"/>
      <c r="J53" s="128"/>
      <c r="K53" s="128"/>
      <c r="L53" s="12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32"/>
      <c r="B54" s="137"/>
      <c r="C54" s="125">
        <f t="shared" si="2"/>
        <v>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32"/>
      <c r="B55" s="137"/>
      <c r="C55" s="125">
        <f t="shared" si="2"/>
        <v>0</v>
      </c>
      <c r="D55" s="128"/>
      <c r="E55" s="128"/>
      <c r="F55" s="128"/>
      <c r="G55" s="128"/>
      <c r="H55" s="128"/>
      <c r="I55" s="128"/>
      <c r="J55" s="128"/>
      <c r="K55" s="128"/>
      <c r="L55" s="12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32"/>
      <c r="B56" s="137"/>
      <c r="C56" s="125">
        <f t="shared" si="2"/>
        <v>0</v>
      </c>
      <c r="D56" s="128"/>
      <c r="E56" s="128"/>
      <c r="F56" s="128"/>
      <c r="G56" s="128"/>
      <c r="H56" s="128"/>
      <c r="I56" s="128"/>
      <c r="J56" s="128"/>
      <c r="K56" s="128"/>
      <c r="L56" s="12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32"/>
      <c r="B57" s="137"/>
      <c r="C57" s="125">
        <f t="shared" si="2"/>
        <v>0</v>
      </c>
      <c r="D57" s="128"/>
      <c r="E57" s="128"/>
      <c r="F57" s="128"/>
      <c r="G57" s="128"/>
      <c r="H57" s="128"/>
      <c r="I57" s="128"/>
      <c r="J57" s="128"/>
      <c r="K57" s="128"/>
      <c r="L57" s="12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32"/>
      <c r="B58" s="137"/>
      <c r="C58" s="125">
        <f t="shared" si="2"/>
        <v>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32"/>
      <c r="B59" s="137"/>
      <c r="C59" s="125">
        <f t="shared" si="2"/>
        <v>0</v>
      </c>
      <c r="D59" s="128"/>
      <c r="E59" s="128"/>
      <c r="F59" s="128"/>
      <c r="G59" s="128"/>
      <c r="H59" s="128"/>
      <c r="I59" s="128"/>
      <c r="J59" s="128"/>
      <c r="K59" s="128"/>
      <c r="L59" s="12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32"/>
      <c r="B60" s="137"/>
      <c r="C60" s="125">
        <f t="shared" si="2"/>
        <v>0</v>
      </c>
      <c r="D60" s="128"/>
      <c r="E60" s="128"/>
      <c r="F60" s="128"/>
      <c r="G60" s="128"/>
      <c r="H60" s="128"/>
      <c r="I60" s="128"/>
      <c r="J60" s="128"/>
      <c r="K60" s="128"/>
      <c r="L60" s="12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32"/>
      <c r="B61" s="137"/>
      <c r="C61" s="125">
        <f t="shared" si="2"/>
        <v>0</v>
      </c>
      <c r="D61" s="128"/>
      <c r="E61" s="128"/>
      <c r="F61" s="128"/>
      <c r="G61" s="128"/>
      <c r="H61" s="128"/>
      <c r="I61" s="128"/>
      <c r="J61" s="128"/>
      <c r="K61" s="128"/>
      <c r="L61" s="12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32"/>
      <c r="B62" s="137"/>
      <c r="C62" s="125">
        <f t="shared" si="2"/>
        <v>0</v>
      </c>
      <c r="D62" s="128"/>
      <c r="E62" s="128"/>
      <c r="F62" s="128"/>
      <c r="G62" s="128"/>
      <c r="H62" s="128"/>
      <c r="I62" s="128"/>
      <c r="J62" s="128"/>
      <c r="K62" s="128"/>
      <c r="L62" s="12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32"/>
      <c r="B63" s="137"/>
      <c r="C63" s="125">
        <f t="shared" si="2"/>
        <v>0</v>
      </c>
      <c r="D63" s="128"/>
      <c r="E63" s="128"/>
      <c r="F63" s="128"/>
      <c r="G63" s="128"/>
      <c r="H63" s="128"/>
      <c r="I63" s="128"/>
      <c r="J63" s="128"/>
      <c r="K63" s="128"/>
      <c r="L63" s="12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32"/>
      <c r="B64" s="137"/>
      <c r="C64" s="125">
        <f t="shared" si="2"/>
        <v>0</v>
      </c>
      <c r="D64" s="128"/>
      <c r="E64" s="128"/>
      <c r="F64" s="128"/>
      <c r="G64" s="128"/>
      <c r="H64" s="128"/>
      <c r="I64" s="128"/>
      <c r="J64" s="128"/>
      <c r="K64" s="128"/>
      <c r="L64" s="12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32"/>
      <c r="B65" s="137"/>
      <c r="C65" s="125">
        <f t="shared" si="2"/>
        <v>0</v>
      </c>
      <c r="D65" s="128"/>
      <c r="E65" s="128"/>
      <c r="F65" s="128"/>
      <c r="G65" s="128"/>
      <c r="H65" s="128"/>
      <c r="I65" s="128"/>
      <c r="J65" s="128"/>
      <c r="K65" s="128"/>
      <c r="L65" s="12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32"/>
      <c r="B66" s="137"/>
      <c r="C66" s="125">
        <f t="shared" si="2"/>
        <v>0</v>
      </c>
      <c r="D66" s="128"/>
      <c r="E66" s="128"/>
      <c r="F66" s="128"/>
      <c r="G66" s="128"/>
      <c r="H66" s="128"/>
      <c r="I66" s="128"/>
      <c r="J66" s="128"/>
      <c r="K66" s="128"/>
      <c r="L66" s="12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32"/>
      <c r="B67" s="137"/>
      <c r="C67" s="125">
        <f t="shared" si="2"/>
        <v>0</v>
      </c>
      <c r="D67" s="128"/>
      <c r="E67" s="128"/>
      <c r="F67" s="128"/>
      <c r="G67" s="128"/>
      <c r="H67" s="128"/>
      <c r="I67" s="128"/>
      <c r="J67" s="128"/>
      <c r="K67" s="128"/>
      <c r="L67" s="12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32"/>
      <c r="B68" s="138"/>
      <c r="C68" s="125">
        <f t="shared" si="2"/>
        <v>0</v>
      </c>
      <c r="D68" s="128"/>
      <c r="E68" s="128"/>
      <c r="F68" s="128"/>
      <c r="G68" s="128"/>
      <c r="H68" s="128"/>
      <c r="I68" s="128"/>
      <c r="J68" s="128"/>
      <c r="K68" s="128"/>
      <c r="L68" s="12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104"/>
      <c r="C69" s="3"/>
      <c r="D69" s="104"/>
      <c r="E69" s="104"/>
      <c r="F69" s="104"/>
      <c r="G69" s="104"/>
      <c r="H69" s="10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04"/>
      <c r="C70" s="3"/>
      <c r="D70" s="104"/>
      <c r="E70" s="104"/>
      <c r="F70" s="104"/>
      <c r="G70" s="104"/>
      <c r="H70" s="10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04"/>
      <c r="C71" s="3"/>
      <c r="D71" s="104"/>
      <c r="E71" s="104"/>
      <c r="F71" s="104"/>
      <c r="G71" s="104"/>
      <c r="H71" s="10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04"/>
      <c r="C72" s="3"/>
      <c r="D72" s="104"/>
      <c r="E72" s="104"/>
      <c r="F72" s="104"/>
      <c r="G72" s="104"/>
      <c r="H72" s="10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04"/>
      <c r="C73" s="3"/>
      <c r="D73" s="104"/>
      <c r="E73" s="104"/>
      <c r="F73" s="104"/>
      <c r="G73" s="104"/>
      <c r="H73" s="10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04"/>
      <c r="C74" s="3"/>
      <c r="D74" s="104"/>
      <c r="E74" s="104"/>
      <c r="F74" s="104"/>
      <c r="G74" s="104"/>
      <c r="H74" s="10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04"/>
      <c r="C75" s="3"/>
      <c r="D75" s="104"/>
      <c r="E75" s="104"/>
      <c r="F75" s="104"/>
      <c r="G75" s="104"/>
      <c r="H75" s="10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04"/>
      <c r="C76" s="3"/>
      <c r="D76" s="104"/>
      <c r="E76" s="104"/>
      <c r="F76" s="104"/>
      <c r="G76" s="104"/>
      <c r="H76" s="10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04"/>
      <c r="C77" s="3"/>
      <c r="D77" s="104"/>
      <c r="E77" s="104"/>
      <c r="F77" s="104"/>
      <c r="G77" s="104"/>
      <c r="H77" s="10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04"/>
      <c r="C78" s="3"/>
      <c r="D78" s="104"/>
      <c r="E78" s="104"/>
      <c r="F78" s="104"/>
      <c r="G78" s="104"/>
      <c r="H78" s="10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04"/>
      <c r="C79" s="3"/>
      <c r="D79" s="104"/>
      <c r="E79" s="104"/>
      <c r="F79" s="104"/>
      <c r="G79" s="104"/>
      <c r="H79" s="10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04"/>
      <c r="C80" s="3"/>
      <c r="D80" s="104"/>
      <c r="E80" s="104"/>
      <c r="F80" s="104"/>
      <c r="G80" s="104"/>
      <c r="H80" s="10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04"/>
      <c r="C81" s="3"/>
      <c r="D81" s="104"/>
      <c r="E81" s="104"/>
      <c r="F81" s="104"/>
      <c r="G81" s="104"/>
      <c r="H81" s="10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04"/>
      <c r="C82" s="3"/>
      <c r="D82" s="104"/>
      <c r="E82" s="104"/>
      <c r="F82" s="104"/>
      <c r="G82" s="104"/>
      <c r="H82" s="10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04"/>
      <c r="C83" s="3"/>
      <c r="D83" s="104"/>
      <c r="E83" s="104"/>
      <c r="F83" s="104"/>
      <c r="G83" s="104"/>
      <c r="H83" s="10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04"/>
      <c r="C84" s="3"/>
      <c r="D84" s="104"/>
      <c r="E84" s="104"/>
      <c r="F84" s="104"/>
      <c r="G84" s="104"/>
      <c r="H84" s="10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04"/>
      <c r="C85" s="3"/>
      <c r="D85" s="104"/>
      <c r="E85" s="104"/>
      <c r="F85" s="104"/>
      <c r="G85" s="104"/>
      <c r="H85" s="10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04"/>
      <c r="C86" s="3"/>
      <c r="D86" s="104"/>
      <c r="E86" s="104"/>
      <c r="F86" s="104"/>
      <c r="G86" s="104"/>
      <c r="H86" s="10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04"/>
      <c r="C87" s="3"/>
      <c r="D87" s="104"/>
      <c r="E87" s="104"/>
      <c r="F87" s="104"/>
      <c r="G87" s="104"/>
      <c r="H87" s="10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04"/>
      <c r="C88" s="3"/>
      <c r="D88" s="104"/>
      <c r="E88" s="104"/>
      <c r="F88" s="104"/>
      <c r="G88" s="104"/>
      <c r="H88" s="10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04"/>
      <c r="C89" s="3"/>
      <c r="D89" s="104"/>
      <c r="E89" s="104"/>
      <c r="F89" s="104"/>
      <c r="G89" s="104"/>
      <c r="H89" s="10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04"/>
      <c r="C90" s="3"/>
      <c r="D90" s="104"/>
      <c r="E90" s="104"/>
      <c r="F90" s="104"/>
      <c r="G90" s="104"/>
      <c r="H90" s="10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04"/>
      <c r="C91" s="3"/>
      <c r="D91" s="104"/>
      <c r="E91" s="104"/>
      <c r="F91" s="104"/>
      <c r="G91" s="104"/>
      <c r="H91" s="10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04"/>
      <c r="C92" s="3"/>
      <c r="D92" s="104"/>
      <c r="E92" s="104"/>
      <c r="F92" s="104"/>
      <c r="G92" s="104"/>
      <c r="H92" s="10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04"/>
      <c r="C93" s="3"/>
      <c r="D93" s="104"/>
      <c r="E93" s="104"/>
      <c r="F93" s="104"/>
      <c r="G93" s="104"/>
      <c r="H93" s="10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04"/>
      <c r="C94" s="3"/>
      <c r="D94" s="104"/>
      <c r="E94" s="104"/>
      <c r="F94" s="104"/>
      <c r="G94" s="104"/>
      <c r="H94" s="10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04"/>
      <c r="C95" s="3"/>
      <c r="D95" s="104"/>
      <c r="E95" s="104"/>
      <c r="F95" s="104"/>
      <c r="G95" s="104"/>
      <c r="H95" s="10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04"/>
      <c r="C96" s="3"/>
      <c r="D96" s="104"/>
      <c r="E96" s="104"/>
      <c r="F96" s="104"/>
      <c r="G96" s="104"/>
      <c r="H96" s="10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04"/>
      <c r="C97" s="3"/>
      <c r="D97" s="104"/>
      <c r="E97" s="104"/>
      <c r="F97" s="104"/>
      <c r="G97" s="104"/>
      <c r="H97" s="10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04"/>
      <c r="C98" s="3"/>
      <c r="D98" s="104"/>
      <c r="E98" s="104"/>
      <c r="F98" s="104"/>
      <c r="G98" s="104"/>
      <c r="H98" s="10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04"/>
      <c r="C99" s="3"/>
      <c r="D99" s="104"/>
      <c r="E99" s="104"/>
      <c r="F99" s="104"/>
      <c r="G99" s="104"/>
      <c r="H99" s="10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04"/>
      <c r="C100" s="3"/>
      <c r="D100" s="104"/>
      <c r="E100" s="104"/>
      <c r="F100" s="104"/>
      <c r="G100" s="104"/>
      <c r="H100" s="10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04"/>
      <c r="C101" s="3"/>
      <c r="D101" s="104"/>
      <c r="E101" s="104"/>
      <c r="F101" s="104"/>
      <c r="G101" s="104"/>
      <c r="H101" s="10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04"/>
      <c r="C102" s="3"/>
      <c r="D102" s="104"/>
      <c r="E102" s="104"/>
      <c r="F102" s="104"/>
      <c r="G102" s="104"/>
      <c r="H102" s="10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04"/>
      <c r="C103" s="3"/>
      <c r="D103" s="104"/>
      <c r="E103" s="104"/>
      <c r="F103" s="104"/>
      <c r="G103" s="104"/>
      <c r="H103" s="10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04"/>
      <c r="C104" s="3"/>
      <c r="D104" s="104"/>
      <c r="E104" s="104"/>
      <c r="F104" s="104"/>
      <c r="G104" s="104"/>
      <c r="H104" s="10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04"/>
      <c r="C105" s="3"/>
      <c r="D105" s="104"/>
      <c r="E105" s="104"/>
      <c r="F105" s="104"/>
      <c r="G105" s="104"/>
      <c r="H105" s="10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04"/>
      <c r="C106" s="3"/>
      <c r="D106" s="104"/>
      <c r="E106" s="104"/>
      <c r="F106" s="104"/>
      <c r="G106" s="104"/>
      <c r="H106" s="10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04"/>
      <c r="C107" s="3"/>
      <c r="D107" s="104"/>
      <c r="E107" s="104"/>
      <c r="F107" s="104"/>
      <c r="G107" s="104"/>
      <c r="H107" s="10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04"/>
      <c r="C108" s="3"/>
      <c r="D108" s="104"/>
      <c r="E108" s="104"/>
      <c r="F108" s="104"/>
      <c r="G108" s="104"/>
      <c r="H108" s="10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04"/>
      <c r="C109" s="3"/>
      <c r="D109" s="104"/>
      <c r="E109" s="104"/>
      <c r="F109" s="104"/>
      <c r="G109" s="104"/>
      <c r="H109" s="10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04"/>
      <c r="C110" s="3"/>
      <c r="D110" s="104"/>
      <c r="E110" s="104"/>
      <c r="F110" s="104"/>
      <c r="G110" s="104"/>
      <c r="H110" s="10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04"/>
      <c r="C111" s="3"/>
      <c r="D111" s="104"/>
      <c r="E111" s="104"/>
      <c r="F111" s="104"/>
      <c r="G111" s="104"/>
      <c r="H111" s="10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04"/>
      <c r="C112" s="3"/>
      <c r="D112" s="104"/>
      <c r="E112" s="104"/>
      <c r="F112" s="104"/>
      <c r="G112" s="104"/>
      <c r="H112" s="10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04"/>
      <c r="C113" s="3"/>
      <c r="D113" s="104"/>
      <c r="E113" s="104"/>
      <c r="F113" s="104"/>
      <c r="G113" s="104"/>
      <c r="H113" s="10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04"/>
      <c r="C114" s="3"/>
      <c r="D114" s="104"/>
      <c r="E114" s="104"/>
      <c r="F114" s="104"/>
      <c r="G114" s="104"/>
      <c r="H114" s="10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04"/>
      <c r="C115" s="3"/>
      <c r="D115" s="104"/>
      <c r="E115" s="104"/>
      <c r="F115" s="104"/>
      <c r="G115" s="104"/>
      <c r="H115" s="10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04"/>
      <c r="C116" s="3"/>
      <c r="D116" s="104"/>
      <c r="E116" s="104"/>
      <c r="F116" s="104"/>
      <c r="G116" s="104"/>
      <c r="H116" s="10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04"/>
      <c r="C117" s="3"/>
      <c r="D117" s="104"/>
      <c r="E117" s="104"/>
      <c r="F117" s="104"/>
      <c r="G117" s="104"/>
      <c r="H117" s="10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04"/>
      <c r="C118" s="3"/>
      <c r="D118" s="104"/>
      <c r="E118" s="104"/>
      <c r="F118" s="104"/>
      <c r="G118" s="104"/>
      <c r="H118" s="10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04"/>
      <c r="C119" s="3"/>
      <c r="D119" s="104"/>
      <c r="E119" s="104"/>
      <c r="F119" s="104"/>
      <c r="G119" s="104"/>
      <c r="H119" s="10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04"/>
      <c r="C120" s="3"/>
      <c r="D120" s="104"/>
      <c r="E120" s="104"/>
      <c r="F120" s="104"/>
      <c r="G120" s="104"/>
      <c r="H120" s="10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04"/>
      <c r="C121" s="3"/>
      <c r="D121" s="104"/>
      <c r="E121" s="104"/>
      <c r="F121" s="104"/>
      <c r="G121" s="104"/>
      <c r="H121" s="10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04"/>
      <c r="C122" s="3"/>
      <c r="D122" s="104"/>
      <c r="E122" s="104"/>
      <c r="F122" s="104"/>
      <c r="G122" s="104"/>
      <c r="H122" s="10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04"/>
      <c r="C123" s="3"/>
      <c r="D123" s="104"/>
      <c r="E123" s="104"/>
      <c r="F123" s="104"/>
      <c r="G123" s="104"/>
      <c r="H123" s="10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04"/>
      <c r="C124" s="3"/>
      <c r="D124" s="104"/>
      <c r="E124" s="104"/>
      <c r="F124" s="104"/>
      <c r="G124" s="104"/>
      <c r="H124" s="10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04"/>
      <c r="C125" s="3"/>
      <c r="D125" s="104"/>
      <c r="E125" s="104"/>
      <c r="F125" s="104"/>
      <c r="G125" s="104"/>
      <c r="H125" s="10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04"/>
      <c r="C126" s="3"/>
      <c r="D126" s="104"/>
      <c r="E126" s="104"/>
      <c r="F126" s="104"/>
      <c r="G126" s="104"/>
      <c r="H126" s="10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04"/>
      <c r="C127" s="3"/>
      <c r="D127" s="104"/>
      <c r="E127" s="104"/>
      <c r="F127" s="104"/>
      <c r="G127" s="104"/>
      <c r="H127" s="10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04"/>
      <c r="C128" s="3"/>
      <c r="D128" s="104"/>
      <c r="E128" s="104"/>
      <c r="F128" s="104"/>
      <c r="G128" s="104"/>
      <c r="H128" s="10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04"/>
      <c r="C129" s="3"/>
      <c r="D129" s="104"/>
      <c r="E129" s="104"/>
      <c r="F129" s="104"/>
      <c r="G129" s="104"/>
      <c r="H129" s="10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04"/>
      <c r="C130" s="3"/>
      <c r="D130" s="104"/>
      <c r="E130" s="104"/>
      <c r="F130" s="104"/>
      <c r="G130" s="104"/>
      <c r="H130" s="10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04"/>
      <c r="C131" s="3"/>
      <c r="D131" s="104"/>
      <c r="E131" s="104"/>
      <c r="F131" s="104"/>
      <c r="G131" s="104"/>
      <c r="H131" s="10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04"/>
      <c r="C132" s="3"/>
      <c r="D132" s="104"/>
      <c r="E132" s="104"/>
      <c r="F132" s="104"/>
      <c r="G132" s="104"/>
      <c r="H132" s="10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04"/>
      <c r="C133" s="3"/>
      <c r="D133" s="104"/>
      <c r="E133" s="104"/>
      <c r="F133" s="104"/>
      <c r="G133" s="104"/>
      <c r="H133" s="10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04"/>
      <c r="C134" s="3"/>
      <c r="D134" s="104"/>
      <c r="E134" s="104"/>
      <c r="F134" s="104"/>
      <c r="G134" s="104"/>
      <c r="H134" s="10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04"/>
      <c r="C135" s="3"/>
      <c r="D135" s="104"/>
      <c r="E135" s="104"/>
      <c r="F135" s="104"/>
      <c r="G135" s="104"/>
      <c r="H135" s="10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04"/>
      <c r="C136" s="3"/>
      <c r="D136" s="104"/>
      <c r="E136" s="104"/>
      <c r="F136" s="104"/>
      <c r="G136" s="104"/>
      <c r="H136" s="10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04"/>
      <c r="C137" s="3"/>
      <c r="D137" s="104"/>
      <c r="E137" s="104"/>
      <c r="F137" s="104"/>
      <c r="G137" s="104"/>
      <c r="H137" s="10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04"/>
      <c r="C138" s="3"/>
      <c r="D138" s="104"/>
      <c r="E138" s="104"/>
      <c r="F138" s="104"/>
      <c r="G138" s="104"/>
      <c r="H138" s="10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04"/>
      <c r="C139" s="3"/>
      <c r="D139" s="104"/>
      <c r="E139" s="104"/>
      <c r="F139" s="104"/>
      <c r="G139" s="104"/>
      <c r="H139" s="10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04"/>
      <c r="C140" s="3"/>
      <c r="D140" s="104"/>
      <c r="E140" s="104"/>
      <c r="F140" s="104"/>
      <c r="G140" s="104"/>
      <c r="H140" s="10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04"/>
      <c r="C141" s="3"/>
      <c r="D141" s="104"/>
      <c r="E141" s="104"/>
      <c r="F141" s="104"/>
      <c r="G141" s="104"/>
      <c r="H141" s="10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04"/>
      <c r="C142" s="3"/>
      <c r="D142" s="104"/>
      <c r="E142" s="104"/>
      <c r="F142" s="104"/>
      <c r="G142" s="104"/>
      <c r="H142" s="10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04"/>
      <c r="C143" s="3"/>
      <c r="D143" s="104"/>
      <c r="E143" s="104"/>
      <c r="F143" s="104"/>
      <c r="G143" s="104"/>
      <c r="H143" s="10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04"/>
      <c r="C144" s="3"/>
      <c r="D144" s="104"/>
      <c r="E144" s="104"/>
      <c r="F144" s="104"/>
      <c r="G144" s="104"/>
      <c r="H144" s="10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04"/>
      <c r="C145" s="3"/>
      <c r="D145" s="104"/>
      <c r="E145" s="104"/>
      <c r="F145" s="104"/>
      <c r="G145" s="104"/>
      <c r="H145" s="10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04"/>
      <c r="C146" s="3"/>
      <c r="D146" s="104"/>
      <c r="E146" s="104"/>
      <c r="F146" s="104"/>
      <c r="G146" s="104"/>
      <c r="H146" s="10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04"/>
      <c r="C147" s="3"/>
      <c r="D147" s="104"/>
      <c r="E147" s="104"/>
      <c r="F147" s="104"/>
      <c r="G147" s="104"/>
      <c r="H147" s="10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04"/>
      <c r="C148" s="3"/>
      <c r="D148" s="104"/>
      <c r="E148" s="104"/>
      <c r="F148" s="104"/>
      <c r="G148" s="104"/>
      <c r="H148" s="10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04"/>
      <c r="C149" s="3"/>
      <c r="D149" s="104"/>
      <c r="E149" s="104"/>
      <c r="F149" s="104"/>
      <c r="G149" s="104"/>
      <c r="H149" s="10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04"/>
      <c r="C150" s="3"/>
      <c r="D150" s="104"/>
      <c r="E150" s="104"/>
      <c r="F150" s="104"/>
      <c r="G150" s="104"/>
      <c r="H150" s="10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04"/>
      <c r="C151" s="3"/>
      <c r="D151" s="104"/>
      <c r="E151" s="104"/>
      <c r="F151" s="104"/>
      <c r="G151" s="104"/>
      <c r="H151" s="10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04"/>
      <c r="C152" s="3"/>
      <c r="D152" s="104"/>
      <c r="E152" s="104"/>
      <c r="F152" s="104"/>
      <c r="G152" s="104"/>
      <c r="H152" s="10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04"/>
      <c r="C153" s="3"/>
      <c r="D153" s="104"/>
      <c r="E153" s="104"/>
      <c r="F153" s="104"/>
      <c r="G153" s="104"/>
      <c r="H153" s="10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04"/>
      <c r="C154" s="3"/>
      <c r="D154" s="104"/>
      <c r="E154" s="104"/>
      <c r="F154" s="104"/>
      <c r="G154" s="104"/>
      <c r="H154" s="10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04"/>
      <c r="C155" s="3"/>
      <c r="D155" s="104"/>
      <c r="E155" s="104"/>
      <c r="F155" s="104"/>
      <c r="G155" s="104"/>
      <c r="H155" s="10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04"/>
      <c r="C156" s="3"/>
      <c r="D156" s="104"/>
      <c r="E156" s="104"/>
      <c r="F156" s="104"/>
      <c r="G156" s="104"/>
      <c r="H156" s="10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04"/>
      <c r="C157" s="3"/>
      <c r="D157" s="104"/>
      <c r="E157" s="104"/>
      <c r="F157" s="104"/>
      <c r="G157" s="104"/>
      <c r="H157" s="10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04"/>
      <c r="C158" s="3"/>
      <c r="D158" s="104"/>
      <c r="E158" s="104"/>
      <c r="F158" s="104"/>
      <c r="G158" s="104"/>
      <c r="H158" s="10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04"/>
      <c r="C159" s="3"/>
      <c r="D159" s="104"/>
      <c r="E159" s="104"/>
      <c r="F159" s="104"/>
      <c r="G159" s="104"/>
      <c r="H159" s="10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04"/>
      <c r="C160" s="3"/>
      <c r="D160" s="104"/>
      <c r="E160" s="104"/>
      <c r="F160" s="104"/>
      <c r="G160" s="104"/>
      <c r="H160" s="10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04"/>
      <c r="C161" s="3"/>
      <c r="D161" s="104"/>
      <c r="E161" s="104"/>
      <c r="F161" s="104"/>
      <c r="G161" s="104"/>
      <c r="H161" s="10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04"/>
      <c r="C162" s="3"/>
      <c r="D162" s="104"/>
      <c r="E162" s="104"/>
      <c r="F162" s="104"/>
      <c r="G162" s="104"/>
      <c r="H162" s="10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04"/>
      <c r="C163" s="3"/>
      <c r="D163" s="104"/>
      <c r="E163" s="104"/>
      <c r="F163" s="104"/>
      <c r="G163" s="104"/>
      <c r="H163" s="10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04"/>
      <c r="C164" s="3"/>
      <c r="D164" s="104"/>
      <c r="E164" s="104"/>
      <c r="F164" s="104"/>
      <c r="G164" s="104"/>
      <c r="H164" s="10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04"/>
      <c r="C165" s="3"/>
      <c r="D165" s="104"/>
      <c r="E165" s="104"/>
      <c r="F165" s="104"/>
      <c r="G165" s="104"/>
      <c r="H165" s="10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04"/>
      <c r="C166" s="3"/>
      <c r="D166" s="104"/>
      <c r="E166" s="104"/>
      <c r="F166" s="104"/>
      <c r="G166" s="104"/>
      <c r="H166" s="10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04"/>
      <c r="C167" s="3"/>
      <c r="D167" s="104"/>
      <c r="E167" s="104"/>
      <c r="F167" s="104"/>
      <c r="G167" s="104"/>
      <c r="H167" s="10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04"/>
      <c r="C168" s="3"/>
      <c r="D168" s="104"/>
      <c r="E168" s="104"/>
      <c r="F168" s="104"/>
      <c r="G168" s="104"/>
      <c r="H168" s="10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04"/>
      <c r="C169" s="3"/>
      <c r="D169" s="104"/>
      <c r="E169" s="104"/>
      <c r="F169" s="104"/>
      <c r="G169" s="104"/>
      <c r="H169" s="10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04"/>
      <c r="C170" s="3"/>
      <c r="D170" s="104"/>
      <c r="E170" s="104"/>
      <c r="F170" s="104"/>
      <c r="G170" s="104"/>
      <c r="H170" s="10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04"/>
      <c r="C171" s="3"/>
      <c r="D171" s="104"/>
      <c r="E171" s="104"/>
      <c r="F171" s="104"/>
      <c r="G171" s="104"/>
      <c r="H171" s="10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04"/>
      <c r="C172" s="3"/>
      <c r="D172" s="104"/>
      <c r="E172" s="104"/>
      <c r="F172" s="104"/>
      <c r="G172" s="104"/>
      <c r="H172" s="10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04"/>
      <c r="C173" s="3"/>
      <c r="D173" s="104"/>
      <c r="E173" s="104"/>
      <c r="F173" s="104"/>
      <c r="G173" s="104"/>
      <c r="H173" s="10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04"/>
      <c r="C174" s="3"/>
      <c r="D174" s="104"/>
      <c r="E174" s="104"/>
      <c r="F174" s="104"/>
      <c r="G174" s="104"/>
      <c r="H174" s="10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04"/>
      <c r="C175" s="3"/>
      <c r="D175" s="104"/>
      <c r="E175" s="104"/>
      <c r="F175" s="104"/>
      <c r="G175" s="104"/>
      <c r="H175" s="10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04"/>
      <c r="C176" s="3"/>
      <c r="D176" s="104"/>
      <c r="E176" s="104"/>
      <c r="F176" s="104"/>
      <c r="G176" s="104"/>
      <c r="H176" s="10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04"/>
      <c r="C177" s="3"/>
      <c r="D177" s="104"/>
      <c r="E177" s="104"/>
      <c r="F177" s="104"/>
      <c r="G177" s="104"/>
      <c r="H177" s="10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04"/>
      <c r="C178" s="3"/>
      <c r="D178" s="104"/>
      <c r="E178" s="104"/>
      <c r="F178" s="104"/>
      <c r="G178" s="104"/>
      <c r="H178" s="10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04"/>
      <c r="C179" s="3"/>
      <c r="D179" s="104"/>
      <c r="E179" s="104"/>
      <c r="F179" s="104"/>
      <c r="G179" s="104"/>
      <c r="H179" s="10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04"/>
      <c r="C180" s="3"/>
      <c r="D180" s="104"/>
      <c r="E180" s="104"/>
      <c r="F180" s="104"/>
      <c r="G180" s="104"/>
      <c r="H180" s="10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04"/>
      <c r="C181" s="3"/>
      <c r="D181" s="104"/>
      <c r="E181" s="104"/>
      <c r="F181" s="104"/>
      <c r="G181" s="104"/>
      <c r="H181" s="10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04"/>
      <c r="C182" s="3"/>
      <c r="D182" s="104"/>
      <c r="E182" s="104"/>
      <c r="F182" s="104"/>
      <c r="G182" s="104"/>
      <c r="H182" s="10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04"/>
      <c r="C183" s="3"/>
      <c r="D183" s="104"/>
      <c r="E183" s="104"/>
      <c r="F183" s="104"/>
      <c r="G183" s="104"/>
      <c r="H183" s="10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04"/>
      <c r="C184" s="3"/>
      <c r="D184" s="104"/>
      <c r="E184" s="104"/>
      <c r="F184" s="104"/>
      <c r="G184" s="104"/>
      <c r="H184" s="10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04"/>
      <c r="C185" s="3"/>
      <c r="D185" s="104"/>
      <c r="E185" s="104"/>
      <c r="F185" s="104"/>
      <c r="G185" s="104"/>
      <c r="H185" s="10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04"/>
      <c r="C186" s="3"/>
      <c r="D186" s="104"/>
      <c r="E186" s="104"/>
      <c r="F186" s="104"/>
      <c r="G186" s="104"/>
      <c r="H186" s="10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04"/>
      <c r="C187" s="3"/>
      <c r="D187" s="104"/>
      <c r="E187" s="104"/>
      <c r="F187" s="104"/>
      <c r="G187" s="104"/>
      <c r="H187" s="10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04"/>
      <c r="C188" s="3"/>
      <c r="D188" s="104"/>
      <c r="E188" s="104"/>
      <c r="F188" s="104"/>
      <c r="G188" s="104"/>
      <c r="H188" s="10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04"/>
      <c r="C189" s="3"/>
      <c r="D189" s="104"/>
      <c r="E189" s="104"/>
      <c r="F189" s="104"/>
      <c r="G189" s="104"/>
      <c r="H189" s="10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04"/>
      <c r="C190" s="3"/>
      <c r="D190" s="104"/>
      <c r="E190" s="104"/>
      <c r="F190" s="104"/>
      <c r="G190" s="104"/>
      <c r="H190" s="10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04"/>
      <c r="C191" s="3"/>
      <c r="D191" s="104"/>
      <c r="E191" s="104"/>
      <c r="F191" s="104"/>
      <c r="G191" s="104"/>
      <c r="H191" s="10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04"/>
      <c r="C192" s="3"/>
      <c r="D192" s="104"/>
      <c r="E192" s="104"/>
      <c r="F192" s="104"/>
      <c r="G192" s="104"/>
      <c r="H192" s="10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04"/>
      <c r="C193" s="3"/>
      <c r="D193" s="104"/>
      <c r="E193" s="104"/>
      <c r="F193" s="104"/>
      <c r="G193" s="104"/>
      <c r="H193" s="10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04"/>
      <c r="C194" s="3"/>
      <c r="D194" s="104"/>
      <c r="E194" s="104"/>
      <c r="F194" s="104"/>
      <c r="G194" s="104"/>
      <c r="H194" s="10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04"/>
      <c r="C195" s="3"/>
      <c r="D195" s="104"/>
      <c r="E195" s="104"/>
      <c r="F195" s="104"/>
      <c r="G195" s="104"/>
      <c r="H195" s="10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04"/>
      <c r="C196" s="3"/>
      <c r="D196" s="104"/>
      <c r="E196" s="104"/>
      <c r="F196" s="104"/>
      <c r="G196" s="104"/>
      <c r="H196" s="10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04"/>
      <c r="C197" s="3"/>
      <c r="D197" s="104"/>
      <c r="E197" s="104"/>
      <c r="F197" s="104"/>
      <c r="G197" s="104"/>
      <c r="H197" s="10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04"/>
      <c r="C198" s="3"/>
      <c r="D198" s="104"/>
      <c r="E198" s="104"/>
      <c r="F198" s="104"/>
      <c r="G198" s="104"/>
      <c r="H198" s="10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04"/>
      <c r="C199" s="3"/>
      <c r="D199" s="104"/>
      <c r="E199" s="104"/>
      <c r="F199" s="104"/>
      <c r="G199" s="104"/>
      <c r="H199" s="10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04"/>
      <c r="C200" s="3"/>
      <c r="D200" s="104"/>
      <c r="E200" s="104"/>
      <c r="F200" s="104"/>
      <c r="G200" s="104"/>
      <c r="H200" s="10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04"/>
      <c r="C201" s="3"/>
      <c r="D201" s="104"/>
      <c r="E201" s="104"/>
      <c r="F201" s="104"/>
      <c r="G201" s="104"/>
      <c r="H201" s="10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04"/>
      <c r="C202" s="3"/>
      <c r="D202" s="104"/>
      <c r="E202" s="104"/>
      <c r="F202" s="104"/>
      <c r="G202" s="104"/>
      <c r="H202" s="10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04"/>
      <c r="C203" s="3"/>
      <c r="D203" s="104"/>
      <c r="E203" s="104"/>
      <c r="F203" s="104"/>
      <c r="G203" s="104"/>
      <c r="H203" s="10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04"/>
      <c r="C204" s="3"/>
      <c r="D204" s="104"/>
      <c r="E204" s="104"/>
      <c r="F204" s="104"/>
      <c r="G204" s="104"/>
      <c r="H204" s="10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04"/>
      <c r="C205" s="3"/>
      <c r="D205" s="104"/>
      <c r="E205" s="104"/>
      <c r="F205" s="104"/>
      <c r="G205" s="104"/>
      <c r="H205" s="10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04"/>
      <c r="C206" s="3"/>
      <c r="D206" s="104"/>
      <c r="E206" s="104"/>
      <c r="F206" s="104"/>
      <c r="G206" s="104"/>
      <c r="H206" s="10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04"/>
      <c r="C207" s="3"/>
      <c r="D207" s="104"/>
      <c r="E207" s="104"/>
      <c r="F207" s="104"/>
      <c r="G207" s="104"/>
      <c r="H207" s="10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04"/>
      <c r="C208" s="3"/>
      <c r="D208" s="104"/>
      <c r="E208" s="104"/>
      <c r="F208" s="104"/>
      <c r="G208" s="104"/>
      <c r="H208" s="10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04"/>
      <c r="C209" s="3"/>
      <c r="D209" s="104"/>
      <c r="E209" s="104"/>
      <c r="F209" s="104"/>
      <c r="G209" s="104"/>
      <c r="H209" s="10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04"/>
      <c r="C210" s="3"/>
      <c r="D210" s="104"/>
      <c r="E210" s="104"/>
      <c r="F210" s="104"/>
      <c r="G210" s="104"/>
      <c r="H210" s="10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04"/>
      <c r="C211" s="3"/>
      <c r="D211" s="104"/>
      <c r="E211" s="104"/>
      <c r="F211" s="104"/>
      <c r="G211" s="104"/>
      <c r="H211" s="10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04"/>
      <c r="C212" s="3"/>
      <c r="D212" s="104"/>
      <c r="E212" s="104"/>
      <c r="F212" s="104"/>
      <c r="G212" s="104"/>
      <c r="H212" s="10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04"/>
      <c r="C213" s="3"/>
      <c r="D213" s="104"/>
      <c r="E213" s="104"/>
      <c r="F213" s="104"/>
      <c r="G213" s="104"/>
      <c r="H213" s="10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04"/>
      <c r="C214" s="3"/>
      <c r="D214" s="104"/>
      <c r="E214" s="104"/>
      <c r="F214" s="104"/>
      <c r="G214" s="104"/>
      <c r="H214" s="10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04"/>
      <c r="C215" s="3"/>
      <c r="D215" s="104"/>
      <c r="E215" s="104"/>
      <c r="F215" s="104"/>
      <c r="G215" s="104"/>
      <c r="H215" s="10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04"/>
      <c r="C216" s="3"/>
      <c r="D216" s="104"/>
      <c r="E216" s="104"/>
      <c r="F216" s="104"/>
      <c r="G216" s="104"/>
      <c r="H216" s="10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04"/>
      <c r="C217" s="3"/>
      <c r="D217" s="104"/>
      <c r="E217" s="104"/>
      <c r="F217" s="104"/>
      <c r="G217" s="104"/>
      <c r="H217" s="10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104"/>
      <c r="C218" s="3"/>
      <c r="D218" s="104"/>
      <c r="E218" s="104"/>
      <c r="F218" s="104"/>
      <c r="G218" s="104"/>
      <c r="H218" s="10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104"/>
      <c r="C219" s="3"/>
      <c r="D219" s="104"/>
      <c r="E219" s="104"/>
      <c r="F219" s="104"/>
      <c r="G219" s="104"/>
      <c r="H219" s="10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104"/>
      <c r="E220" s="104"/>
      <c r="F220" s="104"/>
      <c r="G220" s="104"/>
      <c r="H220" s="10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D1:L1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30.0"/>
    <col customWidth="1" min="3" max="3" width="20.0"/>
    <col customWidth="1" min="4" max="12" width="18.33"/>
    <col customWidth="1" min="13" max="19" width="8.33"/>
    <col customWidth="1" min="20" max="26" width="11.11"/>
  </cols>
  <sheetData>
    <row r="1" ht="18.0" customHeight="1">
      <c r="A1" s="105"/>
      <c r="B1" s="106"/>
      <c r="C1" s="105"/>
      <c r="D1" s="107">
        <v>2026.0</v>
      </c>
      <c r="E1" s="108"/>
      <c r="F1" s="108"/>
      <c r="G1" s="108"/>
      <c r="H1" s="108"/>
      <c r="I1" s="108"/>
      <c r="J1" s="108"/>
      <c r="K1" s="108"/>
      <c r="L1" s="109"/>
      <c r="M1" s="17"/>
      <c r="N1" s="17"/>
      <c r="O1" s="17"/>
      <c r="P1" s="17"/>
      <c r="Q1" s="17"/>
      <c r="R1" s="17"/>
      <c r="S1" s="17"/>
      <c r="T1" s="3"/>
      <c r="U1" s="3"/>
      <c r="V1" s="3"/>
      <c r="W1" s="3"/>
      <c r="X1" s="3"/>
      <c r="Y1" s="3"/>
      <c r="Z1" s="3"/>
    </row>
    <row r="2" ht="15.75" customHeight="1">
      <c r="A2" s="110" t="s">
        <v>72</v>
      </c>
      <c r="B2" s="106"/>
      <c r="C2" s="105"/>
      <c r="D2" s="112" t="s">
        <v>33</v>
      </c>
      <c r="E2" s="112" t="s">
        <v>34</v>
      </c>
      <c r="F2" s="112" t="s">
        <v>35</v>
      </c>
      <c r="G2" s="112" t="s">
        <v>36</v>
      </c>
      <c r="H2" s="112" t="s">
        <v>37</v>
      </c>
      <c r="I2" s="112" t="s">
        <v>38</v>
      </c>
      <c r="J2" s="112" t="s">
        <v>39</v>
      </c>
      <c r="K2" s="112" t="s">
        <v>40</v>
      </c>
      <c r="L2" s="112" t="s">
        <v>41</v>
      </c>
      <c r="M2" s="17"/>
      <c r="N2" s="17"/>
      <c r="O2" s="17"/>
      <c r="P2" s="17"/>
      <c r="Q2" s="17"/>
      <c r="R2" s="17"/>
      <c r="S2" s="17"/>
      <c r="T2" s="3"/>
      <c r="U2" s="3"/>
      <c r="V2" s="3"/>
      <c r="W2" s="3"/>
      <c r="X2" s="3"/>
      <c r="Y2" s="3"/>
      <c r="Z2" s="3"/>
    </row>
    <row r="3" ht="16.5" customHeight="1">
      <c r="A3" s="114"/>
      <c r="B3" s="115" t="s">
        <v>57</v>
      </c>
      <c r="C3" s="115">
        <f t="shared" ref="C3:C68" si="2">SUM(D3:L3)</f>
        <v>82841.8</v>
      </c>
      <c r="D3" s="131">
        <f t="shared" ref="D3:L3" si="1">SUM(D4:D134)</f>
        <v>0</v>
      </c>
      <c r="E3" s="131">
        <f t="shared" si="1"/>
        <v>10354.9</v>
      </c>
      <c r="F3" s="131">
        <f t="shared" si="1"/>
        <v>10354.9</v>
      </c>
      <c r="G3" s="131">
        <f t="shared" si="1"/>
        <v>38432</v>
      </c>
      <c r="H3" s="131">
        <f t="shared" si="1"/>
        <v>0</v>
      </c>
      <c r="I3" s="131">
        <f t="shared" si="1"/>
        <v>23700</v>
      </c>
      <c r="J3" s="131">
        <f t="shared" si="1"/>
        <v>0</v>
      </c>
      <c r="K3" s="131">
        <f t="shared" si="1"/>
        <v>0</v>
      </c>
      <c r="L3" s="131">
        <f t="shared" si="1"/>
        <v>0</v>
      </c>
      <c r="M3" s="63"/>
      <c r="N3" s="63"/>
      <c r="O3" s="63"/>
      <c r="P3" s="63"/>
      <c r="Q3" s="63"/>
      <c r="R3" s="63"/>
      <c r="S3" s="63"/>
      <c r="T3" s="3"/>
      <c r="U3" s="3"/>
      <c r="V3" s="3"/>
      <c r="W3" s="3"/>
      <c r="X3" s="3"/>
      <c r="Y3" s="3"/>
      <c r="Z3" s="3"/>
    </row>
    <row r="4" ht="16.5" customHeight="1">
      <c r="A4" s="132">
        <v>6.1010191E7</v>
      </c>
      <c r="B4" s="133" t="s">
        <v>209</v>
      </c>
      <c r="C4" s="119">
        <f t="shared" si="2"/>
        <v>9822.9</v>
      </c>
      <c r="D4" s="123"/>
      <c r="E4" s="121">
        <v>3522.9</v>
      </c>
      <c r="F4" s="123"/>
      <c r="G4" s="123">
        <v>2600.0</v>
      </c>
      <c r="H4" s="123"/>
      <c r="I4" s="123">
        <v>3700.0</v>
      </c>
      <c r="J4" s="123"/>
      <c r="K4" s="123">
        <v>0.0</v>
      </c>
      <c r="L4" s="12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32">
        <v>610101.0</v>
      </c>
      <c r="B5" s="134" t="s">
        <v>210</v>
      </c>
      <c r="C5" s="125">
        <f t="shared" si="2"/>
        <v>10000</v>
      </c>
      <c r="D5" s="123"/>
      <c r="E5" s="123"/>
      <c r="F5" s="123"/>
      <c r="G5" s="123">
        <v>5000.0</v>
      </c>
      <c r="H5" s="123"/>
      <c r="I5" s="128">
        <v>5000.0</v>
      </c>
      <c r="J5" s="128"/>
      <c r="K5" s="128"/>
      <c r="L5" s="12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32">
        <v>610105.0</v>
      </c>
      <c r="B6" s="134" t="s">
        <v>211</v>
      </c>
      <c r="C6" s="125">
        <f t="shared" si="2"/>
        <v>33522.9</v>
      </c>
      <c r="D6" s="123"/>
      <c r="E6" s="123"/>
      <c r="F6" s="123">
        <v>3522.9</v>
      </c>
      <c r="G6" s="123">
        <v>15000.0</v>
      </c>
      <c r="H6" s="123"/>
      <c r="I6" s="128">
        <v>15000.0</v>
      </c>
      <c r="J6" s="136"/>
      <c r="K6" s="128"/>
      <c r="L6" s="12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32">
        <v>610107.0</v>
      </c>
      <c r="B7" s="134" t="s">
        <v>212</v>
      </c>
      <c r="C7" s="125">
        <f t="shared" si="2"/>
        <v>0</v>
      </c>
      <c r="D7" s="128"/>
      <c r="E7" s="128"/>
      <c r="F7" s="128"/>
      <c r="G7" s="128"/>
      <c r="H7" s="128"/>
      <c r="I7" s="128"/>
      <c r="J7" s="128"/>
      <c r="K7" s="128"/>
      <c r="L7" s="12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32">
        <v>1549.0</v>
      </c>
      <c r="B8" s="134" t="s">
        <v>213</v>
      </c>
      <c r="C8" s="125">
        <f t="shared" si="2"/>
        <v>10248</v>
      </c>
      <c r="D8" s="128"/>
      <c r="E8" s="127">
        <v>3416.0</v>
      </c>
      <c r="F8" s="128">
        <v>3416.0</v>
      </c>
      <c r="G8" s="127">
        <v>3416.0</v>
      </c>
      <c r="H8" s="127"/>
      <c r="I8" s="127"/>
      <c r="J8" s="128"/>
      <c r="K8" s="128"/>
      <c r="L8" s="12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32">
        <v>630515.0</v>
      </c>
      <c r="B9" s="134" t="s">
        <v>214</v>
      </c>
      <c r="C9" s="125">
        <f t="shared" si="2"/>
        <v>9000</v>
      </c>
      <c r="D9" s="128"/>
      <c r="E9" s="128"/>
      <c r="F9" s="128"/>
      <c r="G9" s="128">
        <v>9000.0</v>
      </c>
      <c r="H9" s="128"/>
      <c r="I9" s="128"/>
      <c r="J9" s="128"/>
      <c r="K9" s="128"/>
      <c r="L9" s="12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32"/>
      <c r="B10" s="134" t="s">
        <v>121</v>
      </c>
      <c r="C10" s="125">
        <f t="shared" si="2"/>
        <v>10248</v>
      </c>
      <c r="D10" s="128"/>
      <c r="E10" s="128">
        <v>3416.0</v>
      </c>
      <c r="F10" s="128">
        <v>3416.0</v>
      </c>
      <c r="G10" s="127">
        <v>3416.0</v>
      </c>
      <c r="H10" s="127"/>
      <c r="I10" s="128"/>
      <c r="J10" s="128"/>
      <c r="K10" s="128"/>
      <c r="L10" s="12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32">
        <v>1693.0</v>
      </c>
      <c r="B11" s="134" t="s">
        <v>215</v>
      </c>
      <c r="C11" s="125">
        <f t="shared" si="2"/>
        <v>0</v>
      </c>
      <c r="D11" s="136"/>
      <c r="E11" s="128"/>
      <c r="F11" s="128"/>
      <c r="G11" s="128"/>
      <c r="H11" s="128"/>
      <c r="I11" s="128"/>
      <c r="J11" s="128"/>
      <c r="K11" s="128"/>
      <c r="L11" s="12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2"/>
      <c r="B12" s="137"/>
      <c r="C12" s="125">
        <f t="shared" si="2"/>
        <v>0</v>
      </c>
      <c r="D12" s="128"/>
      <c r="E12" s="128"/>
      <c r="F12" s="128"/>
      <c r="G12" s="128"/>
      <c r="H12" s="128"/>
      <c r="I12" s="128"/>
      <c r="J12" s="128"/>
      <c r="K12" s="128"/>
      <c r="L12" s="12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32"/>
      <c r="B13" s="137"/>
      <c r="C13" s="125">
        <f t="shared" si="2"/>
        <v>0</v>
      </c>
      <c r="D13" s="128"/>
      <c r="E13" s="128"/>
      <c r="F13" s="128"/>
      <c r="G13" s="128"/>
      <c r="H13" s="128"/>
      <c r="I13" s="128"/>
      <c r="J13" s="128"/>
      <c r="K13" s="128"/>
      <c r="L13" s="12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32"/>
      <c r="B14" s="137"/>
      <c r="C14" s="125">
        <f t="shared" si="2"/>
        <v>0</v>
      </c>
      <c r="D14" s="128"/>
      <c r="E14" s="128"/>
      <c r="F14" s="128"/>
      <c r="G14" s="128"/>
      <c r="H14" s="128"/>
      <c r="I14" s="128"/>
      <c r="J14" s="128"/>
      <c r="K14" s="128"/>
      <c r="L14" s="12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32"/>
      <c r="B15" s="137"/>
      <c r="C15" s="125">
        <f t="shared" si="2"/>
        <v>0</v>
      </c>
      <c r="D15" s="128"/>
      <c r="E15" s="128"/>
      <c r="F15" s="128"/>
      <c r="G15" s="128"/>
      <c r="H15" s="128"/>
      <c r="I15" s="128"/>
      <c r="J15" s="128"/>
      <c r="K15" s="128"/>
      <c r="L15" s="12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32"/>
      <c r="B16" s="137"/>
      <c r="C16" s="125">
        <f t="shared" si="2"/>
        <v>0</v>
      </c>
      <c r="D16" s="128"/>
      <c r="E16" s="128"/>
      <c r="F16" s="128"/>
      <c r="G16" s="128"/>
      <c r="H16" s="128"/>
      <c r="I16" s="128"/>
      <c r="J16" s="128"/>
      <c r="K16" s="128"/>
      <c r="L16" s="12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32"/>
      <c r="B17" s="137"/>
      <c r="C17" s="125">
        <f t="shared" si="2"/>
        <v>0</v>
      </c>
      <c r="D17" s="128"/>
      <c r="E17" s="128"/>
      <c r="F17" s="128"/>
      <c r="G17" s="128"/>
      <c r="H17" s="128"/>
      <c r="I17" s="128"/>
      <c r="J17" s="128"/>
      <c r="K17" s="128"/>
      <c r="L17" s="12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32"/>
      <c r="B18" s="137"/>
      <c r="C18" s="125">
        <f t="shared" si="2"/>
        <v>0</v>
      </c>
      <c r="D18" s="128"/>
      <c r="E18" s="128"/>
      <c r="F18" s="128"/>
      <c r="G18" s="128"/>
      <c r="H18" s="128"/>
      <c r="I18" s="128"/>
      <c r="J18" s="128"/>
      <c r="K18" s="128"/>
      <c r="L18" s="12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32"/>
      <c r="B19" s="137"/>
      <c r="C19" s="125">
        <f t="shared" si="2"/>
        <v>0</v>
      </c>
      <c r="D19" s="128"/>
      <c r="E19" s="128"/>
      <c r="F19" s="128"/>
      <c r="G19" s="128"/>
      <c r="H19" s="128"/>
      <c r="I19" s="128"/>
      <c r="J19" s="128"/>
      <c r="K19" s="128"/>
      <c r="L19" s="12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32"/>
      <c r="B20" s="137"/>
      <c r="C20" s="125">
        <f t="shared" si="2"/>
        <v>0</v>
      </c>
      <c r="D20" s="128"/>
      <c r="E20" s="128"/>
      <c r="F20" s="128"/>
      <c r="G20" s="128"/>
      <c r="H20" s="128"/>
      <c r="I20" s="128"/>
      <c r="J20" s="128"/>
      <c r="K20" s="128"/>
      <c r="L20" s="12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2"/>
      <c r="B21" s="137"/>
      <c r="C21" s="125">
        <f t="shared" si="2"/>
        <v>0</v>
      </c>
      <c r="D21" s="128"/>
      <c r="E21" s="128"/>
      <c r="F21" s="128"/>
      <c r="G21" s="128"/>
      <c r="H21" s="128"/>
      <c r="I21" s="128"/>
      <c r="J21" s="128"/>
      <c r="K21" s="128"/>
      <c r="L21" s="12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2"/>
      <c r="B22" s="137"/>
      <c r="C22" s="125">
        <f t="shared" si="2"/>
        <v>0</v>
      </c>
      <c r="D22" s="128"/>
      <c r="E22" s="128"/>
      <c r="F22" s="128"/>
      <c r="G22" s="128"/>
      <c r="H22" s="128"/>
      <c r="I22" s="128"/>
      <c r="J22" s="128"/>
      <c r="K22" s="128"/>
      <c r="L22" s="12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32"/>
      <c r="B23" s="137"/>
      <c r="C23" s="125">
        <f t="shared" si="2"/>
        <v>0</v>
      </c>
      <c r="D23" s="128"/>
      <c r="E23" s="128"/>
      <c r="F23" s="128"/>
      <c r="G23" s="128"/>
      <c r="H23" s="128"/>
      <c r="I23" s="128"/>
      <c r="J23" s="128"/>
      <c r="K23" s="128"/>
      <c r="L23" s="12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2"/>
      <c r="B24" s="137"/>
      <c r="C24" s="125">
        <f t="shared" si="2"/>
        <v>0</v>
      </c>
      <c r="D24" s="128"/>
      <c r="E24" s="128"/>
      <c r="F24" s="128"/>
      <c r="G24" s="128"/>
      <c r="H24" s="128"/>
      <c r="I24" s="128"/>
      <c r="J24" s="128"/>
      <c r="K24" s="128"/>
      <c r="L24" s="12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2"/>
      <c r="B25" s="137"/>
      <c r="C25" s="125">
        <f t="shared" si="2"/>
        <v>0</v>
      </c>
      <c r="D25" s="128"/>
      <c r="E25" s="128"/>
      <c r="F25" s="128"/>
      <c r="G25" s="128"/>
      <c r="H25" s="128"/>
      <c r="I25" s="128"/>
      <c r="J25" s="128"/>
      <c r="K25" s="128"/>
      <c r="L25" s="12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2"/>
      <c r="B26" s="137"/>
      <c r="C26" s="125">
        <f t="shared" si="2"/>
        <v>0</v>
      </c>
      <c r="D26" s="128"/>
      <c r="E26" s="128"/>
      <c r="F26" s="128"/>
      <c r="G26" s="128"/>
      <c r="H26" s="128"/>
      <c r="I26" s="128"/>
      <c r="J26" s="128"/>
      <c r="K26" s="128"/>
      <c r="L26" s="12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2"/>
      <c r="B27" s="137"/>
      <c r="C27" s="125">
        <f t="shared" si="2"/>
        <v>0</v>
      </c>
      <c r="D27" s="128"/>
      <c r="E27" s="128"/>
      <c r="F27" s="128"/>
      <c r="G27" s="128"/>
      <c r="H27" s="128"/>
      <c r="I27" s="128"/>
      <c r="J27" s="128"/>
      <c r="K27" s="128"/>
      <c r="L27" s="12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2"/>
      <c r="B28" s="137"/>
      <c r="C28" s="125">
        <f t="shared" si="2"/>
        <v>0</v>
      </c>
      <c r="D28" s="128"/>
      <c r="E28" s="128"/>
      <c r="F28" s="128"/>
      <c r="G28" s="128"/>
      <c r="H28" s="128"/>
      <c r="I28" s="128"/>
      <c r="J28" s="128"/>
      <c r="K28" s="128"/>
      <c r="L28" s="12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2"/>
      <c r="B29" s="137"/>
      <c r="C29" s="125">
        <f t="shared" si="2"/>
        <v>0</v>
      </c>
      <c r="D29" s="128"/>
      <c r="E29" s="128"/>
      <c r="F29" s="128"/>
      <c r="G29" s="128"/>
      <c r="H29" s="128"/>
      <c r="I29" s="128"/>
      <c r="J29" s="128"/>
      <c r="K29" s="128"/>
      <c r="L29" s="12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32"/>
      <c r="B30" s="137"/>
      <c r="C30" s="125">
        <f t="shared" si="2"/>
        <v>0</v>
      </c>
      <c r="D30" s="128"/>
      <c r="E30" s="128"/>
      <c r="F30" s="128"/>
      <c r="G30" s="128"/>
      <c r="H30" s="128"/>
      <c r="I30" s="128"/>
      <c r="J30" s="128"/>
      <c r="K30" s="128"/>
      <c r="L30" s="12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2"/>
      <c r="B31" s="137"/>
      <c r="C31" s="125">
        <f t="shared" si="2"/>
        <v>0</v>
      </c>
      <c r="D31" s="128"/>
      <c r="E31" s="128"/>
      <c r="F31" s="128"/>
      <c r="G31" s="128"/>
      <c r="H31" s="128"/>
      <c r="I31" s="128"/>
      <c r="J31" s="128"/>
      <c r="K31" s="128"/>
      <c r="L31" s="12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32"/>
      <c r="B32" s="137"/>
      <c r="C32" s="125">
        <f t="shared" si="2"/>
        <v>0</v>
      </c>
      <c r="D32" s="128"/>
      <c r="E32" s="128"/>
      <c r="F32" s="128"/>
      <c r="G32" s="128"/>
      <c r="H32" s="128"/>
      <c r="I32" s="128"/>
      <c r="J32" s="128"/>
      <c r="K32" s="128"/>
      <c r="L32" s="12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2"/>
      <c r="B33" s="137"/>
      <c r="C33" s="125">
        <f t="shared" si="2"/>
        <v>0</v>
      </c>
      <c r="D33" s="128"/>
      <c r="E33" s="128"/>
      <c r="F33" s="128"/>
      <c r="G33" s="128"/>
      <c r="H33" s="128"/>
      <c r="I33" s="128"/>
      <c r="J33" s="128"/>
      <c r="K33" s="128"/>
      <c r="L33" s="12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2"/>
      <c r="B34" s="137"/>
      <c r="C34" s="125">
        <f t="shared" si="2"/>
        <v>0</v>
      </c>
      <c r="D34" s="128"/>
      <c r="E34" s="128"/>
      <c r="F34" s="128"/>
      <c r="G34" s="128"/>
      <c r="H34" s="128"/>
      <c r="I34" s="128"/>
      <c r="J34" s="128"/>
      <c r="K34" s="128"/>
      <c r="L34" s="12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32"/>
      <c r="B35" s="137"/>
      <c r="C35" s="125">
        <f t="shared" si="2"/>
        <v>0</v>
      </c>
      <c r="D35" s="128"/>
      <c r="E35" s="128"/>
      <c r="F35" s="128"/>
      <c r="G35" s="128"/>
      <c r="H35" s="128"/>
      <c r="I35" s="128"/>
      <c r="J35" s="128"/>
      <c r="K35" s="128"/>
      <c r="L35" s="12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32"/>
      <c r="B36" s="137"/>
      <c r="C36" s="125">
        <f t="shared" si="2"/>
        <v>0</v>
      </c>
      <c r="D36" s="128"/>
      <c r="E36" s="128"/>
      <c r="F36" s="128"/>
      <c r="G36" s="128"/>
      <c r="H36" s="128"/>
      <c r="I36" s="128"/>
      <c r="J36" s="128"/>
      <c r="K36" s="128"/>
      <c r="L36" s="12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32"/>
      <c r="B37" s="137"/>
      <c r="C37" s="125">
        <f t="shared" si="2"/>
        <v>0</v>
      </c>
      <c r="D37" s="128"/>
      <c r="E37" s="128"/>
      <c r="F37" s="128"/>
      <c r="G37" s="128"/>
      <c r="H37" s="128"/>
      <c r="I37" s="128"/>
      <c r="J37" s="128"/>
      <c r="K37" s="128"/>
      <c r="L37" s="12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2"/>
      <c r="B38" s="137"/>
      <c r="C38" s="125">
        <f t="shared" si="2"/>
        <v>0</v>
      </c>
      <c r="D38" s="128"/>
      <c r="E38" s="128"/>
      <c r="F38" s="128"/>
      <c r="G38" s="128"/>
      <c r="H38" s="128"/>
      <c r="I38" s="128"/>
      <c r="J38" s="128"/>
      <c r="K38" s="128"/>
      <c r="L38" s="12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32"/>
      <c r="B39" s="137"/>
      <c r="C39" s="125">
        <f t="shared" si="2"/>
        <v>0</v>
      </c>
      <c r="D39" s="128"/>
      <c r="E39" s="128"/>
      <c r="F39" s="128"/>
      <c r="G39" s="128"/>
      <c r="H39" s="128"/>
      <c r="I39" s="128"/>
      <c r="J39" s="128"/>
      <c r="K39" s="128"/>
      <c r="L39" s="12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32"/>
      <c r="B40" s="137"/>
      <c r="C40" s="125">
        <f t="shared" si="2"/>
        <v>0</v>
      </c>
      <c r="D40" s="128"/>
      <c r="E40" s="128"/>
      <c r="F40" s="128"/>
      <c r="G40" s="128"/>
      <c r="H40" s="128"/>
      <c r="I40" s="128"/>
      <c r="J40" s="128"/>
      <c r="K40" s="128"/>
      <c r="L40" s="12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32"/>
      <c r="B41" s="137"/>
      <c r="C41" s="125">
        <f t="shared" si="2"/>
        <v>0</v>
      </c>
      <c r="D41" s="128"/>
      <c r="E41" s="128"/>
      <c r="F41" s="128"/>
      <c r="G41" s="128"/>
      <c r="H41" s="128"/>
      <c r="I41" s="128"/>
      <c r="J41" s="128"/>
      <c r="K41" s="128"/>
      <c r="L41" s="12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32"/>
      <c r="B42" s="137"/>
      <c r="C42" s="125">
        <f t="shared" si="2"/>
        <v>0</v>
      </c>
      <c r="D42" s="128"/>
      <c r="E42" s="128"/>
      <c r="F42" s="128"/>
      <c r="G42" s="128"/>
      <c r="H42" s="128"/>
      <c r="I42" s="128"/>
      <c r="J42" s="128"/>
      <c r="K42" s="128"/>
      <c r="L42" s="12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32"/>
      <c r="B43" s="137"/>
      <c r="C43" s="125">
        <f t="shared" si="2"/>
        <v>0</v>
      </c>
      <c r="D43" s="128"/>
      <c r="E43" s="128"/>
      <c r="F43" s="128"/>
      <c r="G43" s="128"/>
      <c r="H43" s="128"/>
      <c r="I43" s="128"/>
      <c r="J43" s="128"/>
      <c r="K43" s="128"/>
      <c r="L43" s="12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32"/>
      <c r="B44" s="137"/>
      <c r="C44" s="125">
        <f t="shared" si="2"/>
        <v>0</v>
      </c>
      <c r="D44" s="128"/>
      <c r="E44" s="128"/>
      <c r="F44" s="128"/>
      <c r="G44" s="128"/>
      <c r="H44" s="128"/>
      <c r="I44" s="128"/>
      <c r="J44" s="128"/>
      <c r="K44" s="128"/>
      <c r="L44" s="12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32"/>
      <c r="B45" s="137"/>
      <c r="C45" s="125">
        <f t="shared" si="2"/>
        <v>0</v>
      </c>
      <c r="D45" s="128"/>
      <c r="E45" s="128"/>
      <c r="F45" s="128"/>
      <c r="G45" s="128"/>
      <c r="H45" s="128"/>
      <c r="I45" s="128"/>
      <c r="J45" s="128"/>
      <c r="K45" s="128"/>
      <c r="L45" s="12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32"/>
      <c r="B46" s="137"/>
      <c r="C46" s="125">
        <f t="shared" si="2"/>
        <v>0</v>
      </c>
      <c r="D46" s="128"/>
      <c r="E46" s="128"/>
      <c r="F46" s="128"/>
      <c r="G46" s="128"/>
      <c r="H46" s="128"/>
      <c r="I46" s="128"/>
      <c r="J46" s="128"/>
      <c r="K46" s="128"/>
      <c r="L46" s="12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32"/>
      <c r="B47" s="137"/>
      <c r="C47" s="125">
        <f t="shared" si="2"/>
        <v>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32"/>
      <c r="B48" s="137"/>
      <c r="C48" s="125">
        <f t="shared" si="2"/>
        <v>0</v>
      </c>
      <c r="D48" s="128"/>
      <c r="E48" s="128"/>
      <c r="F48" s="128"/>
      <c r="G48" s="128"/>
      <c r="H48" s="128"/>
      <c r="I48" s="128"/>
      <c r="J48" s="128"/>
      <c r="K48" s="128"/>
      <c r="L48" s="12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32"/>
      <c r="B49" s="137"/>
      <c r="C49" s="125">
        <f t="shared" si="2"/>
        <v>0</v>
      </c>
      <c r="D49" s="128"/>
      <c r="E49" s="128"/>
      <c r="F49" s="128"/>
      <c r="G49" s="128"/>
      <c r="H49" s="128"/>
      <c r="I49" s="128"/>
      <c r="J49" s="128"/>
      <c r="K49" s="128"/>
      <c r="L49" s="12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32"/>
      <c r="B50" s="137"/>
      <c r="C50" s="125">
        <f t="shared" si="2"/>
        <v>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32"/>
      <c r="B51" s="137"/>
      <c r="C51" s="125">
        <f t="shared" si="2"/>
        <v>0</v>
      </c>
      <c r="D51" s="128"/>
      <c r="E51" s="128"/>
      <c r="F51" s="128"/>
      <c r="G51" s="128"/>
      <c r="H51" s="128"/>
      <c r="I51" s="128"/>
      <c r="J51" s="128"/>
      <c r="K51" s="128"/>
      <c r="L51" s="12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32"/>
      <c r="B52" s="137"/>
      <c r="C52" s="125">
        <f t="shared" si="2"/>
        <v>0</v>
      </c>
      <c r="D52" s="128"/>
      <c r="E52" s="128"/>
      <c r="F52" s="128"/>
      <c r="G52" s="128"/>
      <c r="H52" s="128"/>
      <c r="I52" s="128"/>
      <c r="J52" s="128"/>
      <c r="K52" s="128"/>
      <c r="L52" s="12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32"/>
      <c r="B53" s="137"/>
      <c r="C53" s="125">
        <f t="shared" si="2"/>
        <v>0</v>
      </c>
      <c r="D53" s="128"/>
      <c r="E53" s="128"/>
      <c r="F53" s="128"/>
      <c r="G53" s="128"/>
      <c r="H53" s="128"/>
      <c r="I53" s="128"/>
      <c r="J53" s="128"/>
      <c r="K53" s="128"/>
      <c r="L53" s="12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32"/>
      <c r="B54" s="137"/>
      <c r="C54" s="125">
        <f t="shared" si="2"/>
        <v>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32"/>
      <c r="B55" s="137"/>
      <c r="C55" s="125">
        <f t="shared" si="2"/>
        <v>0</v>
      </c>
      <c r="D55" s="128"/>
      <c r="E55" s="128"/>
      <c r="F55" s="128"/>
      <c r="G55" s="128"/>
      <c r="H55" s="128"/>
      <c r="I55" s="128"/>
      <c r="J55" s="128"/>
      <c r="K55" s="128"/>
      <c r="L55" s="12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32"/>
      <c r="B56" s="137"/>
      <c r="C56" s="125">
        <f t="shared" si="2"/>
        <v>0</v>
      </c>
      <c r="D56" s="128"/>
      <c r="E56" s="128"/>
      <c r="F56" s="128"/>
      <c r="G56" s="128"/>
      <c r="H56" s="128"/>
      <c r="I56" s="128"/>
      <c r="J56" s="128"/>
      <c r="K56" s="128"/>
      <c r="L56" s="12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32"/>
      <c r="B57" s="137"/>
      <c r="C57" s="125">
        <f t="shared" si="2"/>
        <v>0</v>
      </c>
      <c r="D57" s="128"/>
      <c r="E57" s="128"/>
      <c r="F57" s="128"/>
      <c r="G57" s="128"/>
      <c r="H57" s="128"/>
      <c r="I57" s="128"/>
      <c r="J57" s="128"/>
      <c r="K57" s="128"/>
      <c r="L57" s="12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32"/>
      <c r="B58" s="137"/>
      <c r="C58" s="125">
        <f t="shared" si="2"/>
        <v>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32"/>
      <c r="B59" s="137"/>
      <c r="C59" s="125">
        <f t="shared" si="2"/>
        <v>0</v>
      </c>
      <c r="D59" s="128"/>
      <c r="E59" s="128"/>
      <c r="F59" s="128"/>
      <c r="G59" s="128"/>
      <c r="H59" s="128"/>
      <c r="I59" s="128"/>
      <c r="J59" s="128"/>
      <c r="K59" s="128"/>
      <c r="L59" s="12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32"/>
      <c r="B60" s="137"/>
      <c r="C60" s="125">
        <f t="shared" si="2"/>
        <v>0</v>
      </c>
      <c r="D60" s="128"/>
      <c r="E60" s="128"/>
      <c r="F60" s="128"/>
      <c r="G60" s="128"/>
      <c r="H60" s="128"/>
      <c r="I60" s="128"/>
      <c r="J60" s="128"/>
      <c r="K60" s="128"/>
      <c r="L60" s="12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32"/>
      <c r="B61" s="137"/>
      <c r="C61" s="125">
        <f t="shared" si="2"/>
        <v>0</v>
      </c>
      <c r="D61" s="128"/>
      <c r="E61" s="128"/>
      <c r="F61" s="128"/>
      <c r="G61" s="128"/>
      <c r="H61" s="128"/>
      <c r="I61" s="128"/>
      <c r="J61" s="128"/>
      <c r="K61" s="128"/>
      <c r="L61" s="12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32"/>
      <c r="B62" s="137"/>
      <c r="C62" s="125">
        <f t="shared" si="2"/>
        <v>0</v>
      </c>
      <c r="D62" s="128"/>
      <c r="E62" s="128"/>
      <c r="F62" s="128"/>
      <c r="G62" s="128"/>
      <c r="H62" s="128"/>
      <c r="I62" s="128"/>
      <c r="J62" s="128"/>
      <c r="K62" s="128"/>
      <c r="L62" s="12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32"/>
      <c r="B63" s="137"/>
      <c r="C63" s="125">
        <f t="shared" si="2"/>
        <v>0</v>
      </c>
      <c r="D63" s="128"/>
      <c r="E63" s="128"/>
      <c r="F63" s="128"/>
      <c r="G63" s="128"/>
      <c r="H63" s="128"/>
      <c r="I63" s="128"/>
      <c r="J63" s="128"/>
      <c r="K63" s="128"/>
      <c r="L63" s="12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32"/>
      <c r="B64" s="137"/>
      <c r="C64" s="125">
        <f t="shared" si="2"/>
        <v>0</v>
      </c>
      <c r="D64" s="128"/>
      <c r="E64" s="128"/>
      <c r="F64" s="128"/>
      <c r="G64" s="128"/>
      <c r="H64" s="128"/>
      <c r="I64" s="128"/>
      <c r="J64" s="128"/>
      <c r="K64" s="128"/>
      <c r="L64" s="12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32"/>
      <c r="B65" s="137"/>
      <c r="C65" s="125">
        <f t="shared" si="2"/>
        <v>0</v>
      </c>
      <c r="D65" s="128"/>
      <c r="E65" s="128"/>
      <c r="F65" s="128"/>
      <c r="G65" s="128"/>
      <c r="H65" s="128"/>
      <c r="I65" s="128"/>
      <c r="J65" s="128"/>
      <c r="K65" s="128"/>
      <c r="L65" s="12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32"/>
      <c r="B66" s="137"/>
      <c r="C66" s="125">
        <f t="shared" si="2"/>
        <v>0</v>
      </c>
      <c r="D66" s="128"/>
      <c r="E66" s="128"/>
      <c r="F66" s="128"/>
      <c r="G66" s="128"/>
      <c r="H66" s="128"/>
      <c r="I66" s="128"/>
      <c r="J66" s="128"/>
      <c r="K66" s="128"/>
      <c r="L66" s="12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32"/>
      <c r="B67" s="137"/>
      <c r="C67" s="125">
        <f t="shared" si="2"/>
        <v>0</v>
      </c>
      <c r="D67" s="128"/>
      <c r="E67" s="128"/>
      <c r="F67" s="128"/>
      <c r="G67" s="128"/>
      <c r="H67" s="128"/>
      <c r="I67" s="128"/>
      <c r="J67" s="128"/>
      <c r="K67" s="128"/>
      <c r="L67" s="12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32"/>
      <c r="B68" s="138"/>
      <c r="C68" s="125">
        <f t="shared" si="2"/>
        <v>0</v>
      </c>
      <c r="D68" s="128"/>
      <c r="E68" s="128"/>
      <c r="F68" s="128"/>
      <c r="G68" s="128"/>
      <c r="H68" s="128"/>
      <c r="I68" s="128"/>
      <c r="J68" s="128"/>
      <c r="K68" s="128"/>
      <c r="L68" s="12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104"/>
      <c r="C69" s="3"/>
      <c r="D69" s="104"/>
      <c r="E69" s="104"/>
      <c r="F69" s="104"/>
      <c r="G69" s="104"/>
      <c r="H69" s="104"/>
      <c r="I69" s="104"/>
      <c r="J69" s="104"/>
      <c r="K69" s="104"/>
      <c r="L69" s="10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04"/>
      <c r="C70" s="3"/>
      <c r="D70" s="104"/>
      <c r="E70" s="104"/>
      <c r="F70" s="104"/>
      <c r="G70" s="104"/>
      <c r="H70" s="104"/>
      <c r="I70" s="104"/>
      <c r="J70" s="104"/>
      <c r="K70" s="104"/>
      <c r="L70" s="10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04"/>
      <c r="C71" s="3"/>
      <c r="D71" s="104"/>
      <c r="E71" s="104"/>
      <c r="F71" s="104"/>
      <c r="G71" s="104"/>
      <c r="H71" s="104"/>
      <c r="I71" s="104"/>
      <c r="J71" s="104"/>
      <c r="K71" s="104"/>
      <c r="L71" s="10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04"/>
      <c r="C72" s="3"/>
      <c r="D72" s="104"/>
      <c r="E72" s="104"/>
      <c r="F72" s="104"/>
      <c r="G72" s="104"/>
      <c r="H72" s="104"/>
      <c r="I72" s="104"/>
      <c r="J72" s="104"/>
      <c r="K72" s="104"/>
      <c r="L72" s="10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04"/>
      <c r="C73" s="3"/>
      <c r="D73" s="104"/>
      <c r="E73" s="104"/>
      <c r="F73" s="104"/>
      <c r="G73" s="104"/>
      <c r="H73" s="104"/>
      <c r="I73" s="104"/>
      <c r="J73" s="104"/>
      <c r="K73" s="104"/>
      <c r="L73" s="10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04"/>
      <c r="C74" s="3"/>
      <c r="D74" s="104"/>
      <c r="E74" s="104"/>
      <c r="F74" s="104"/>
      <c r="G74" s="104"/>
      <c r="H74" s="104"/>
      <c r="I74" s="104"/>
      <c r="J74" s="104"/>
      <c r="K74" s="104"/>
      <c r="L74" s="10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04"/>
      <c r="C75" s="3"/>
      <c r="D75" s="104"/>
      <c r="E75" s="104"/>
      <c r="F75" s="104"/>
      <c r="G75" s="104"/>
      <c r="H75" s="104"/>
      <c r="I75" s="104"/>
      <c r="J75" s="104"/>
      <c r="K75" s="104"/>
      <c r="L75" s="10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04"/>
      <c r="C76" s="3"/>
      <c r="D76" s="104"/>
      <c r="E76" s="104"/>
      <c r="F76" s="104"/>
      <c r="G76" s="104"/>
      <c r="H76" s="104"/>
      <c r="I76" s="104"/>
      <c r="J76" s="104"/>
      <c r="K76" s="104"/>
      <c r="L76" s="10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04"/>
      <c r="C77" s="3"/>
      <c r="D77" s="104"/>
      <c r="E77" s="104"/>
      <c r="F77" s="104"/>
      <c r="G77" s="104"/>
      <c r="H77" s="104"/>
      <c r="I77" s="104"/>
      <c r="J77" s="104"/>
      <c r="K77" s="104"/>
      <c r="L77" s="10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04"/>
      <c r="C78" s="3"/>
      <c r="D78" s="104"/>
      <c r="E78" s="104"/>
      <c r="F78" s="104"/>
      <c r="G78" s="104"/>
      <c r="H78" s="104"/>
      <c r="I78" s="104"/>
      <c r="J78" s="104"/>
      <c r="K78" s="104"/>
      <c r="L78" s="10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04"/>
      <c r="C79" s="3"/>
      <c r="D79" s="104"/>
      <c r="E79" s="104"/>
      <c r="F79" s="104"/>
      <c r="G79" s="104"/>
      <c r="H79" s="104"/>
      <c r="I79" s="104"/>
      <c r="J79" s="104"/>
      <c r="K79" s="104"/>
      <c r="L79" s="10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04"/>
      <c r="C80" s="3"/>
      <c r="D80" s="104"/>
      <c r="E80" s="104"/>
      <c r="F80" s="104"/>
      <c r="G80" s="104"/>
      <c r="H80" s="104"/>
      <c r="I80" s="104"/>
      <c r="J80" s="104"/>
      <c r="K80" s="104"/>
      <c r="L80" s="10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04"/>
      <c r="C81" s="3"/>
      <c r="D81" s="104"/>
      <c r="E81" s="104"/>
      <c r="F81" s="104"/>
      <c r="G81" s="104"/>
      <c r="H81" s="104"/>
      <c r="I81" s="104"/>
      <c r="J81" s="104"/>
      <c r="K81" s="104"/>
      <c r="L81" s="10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04"/>
      <c r="C82" s="3"/>
      <c r="D82" s="104"/>
      <c r="E82" s="104"/>
      <c r="F82" s="104"/>
      <c r="G82" s="104"/>
      <c r="H82" s="104"/>
      <c r="I82" s="104"/>
      <c r="J82" s="104"/>
      <c r="K82" s="104"/>
      <c r="L82" s="10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04"/>
      <c r="C83" s="3"/>
      <c r="D83" s="104"/>
      <c r="E83" s="104"/>
      <c r="F83" s="104"/>
      <c r="G83" s="104"/>
      <c r="H83" s="104"/>
      <c r="I83" s="104"/>
      <c r="J83" s="104"/>
      <c r="K83" s="104"/>
      <c r="L83" s="10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04"/>
      <c r="C84" s="3"/>
      <c r="D84" s="104"/>
      <c r="E84" s="104"/>
      <c r="F84" s="104"/>
      <c r="G84" s="104"/>
      <c r="H84" s="104"/>
      <c r="I84" s="104"/>
      <c r="J84" s="104"/>
      <c r="K84" s="104"/>
      <c r="L84" s="10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04"/>
      <c r="C85" s="3"/>
      <c r="D85" s="104"/>
      <c r="E85" s="104"/>
      <c r="F85" s="104"/>
      <c r="G85" s="104"/>
      <c r="H85" s="104"/>
      <c r="I85" s="104"/>
      <c r="J85" s="104"/>
      <c r="K85" s="104"/>
      <c r="L85" s="10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04"/>
      <c r="C86" s="3"/>
      <c r="D86" s="104"/>
      <c r="E86" s="104"/>
      <c r="F86" s="104"/>
      <c r="G86" s="104"/>
      <c r="H86" s="104"/>
      <c r="I86" s="104"/>
      <c r="J86" s="104"/>
      <c r="K86" s="104"/>
      <c r="L86" s="10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04"/>
      <c r="C87" s="3"/>
      <c r="D87" s="104"/>
      <c r="E87" s="104"/>
      <c r="F87" s="104"/>
      <c r="G87" s="104"/>
      <c r="H87" s="104"/>
      <c r="I87" s="104"/>
      <c r="J87" s="104"/>
      <c r="K87" s="104"/>
      <c r="L87" s="10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04"/>
      <c r="C88" s="3"/>
      <c r="D88" s="104"/>
      <c r="E88" s="104"/>
      <c r="F88" s="104"/>
      <c r="G88" s="104"/>
      <c r="H88" s="104"/>
      <c r="I88" s="104"/>
      <c r="J88" s="104"/>
      <c r="K88" s="104"/>
      <c r="L88" s="10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04"/>
      <c r="C89" s="3"/>
      <c r="D89" s="104"/>
      <c r="E89" s="104"/>
      <c r="F89" s="104"/>
      <c r="G89" s="104"/>
      <c r="H89" s="104"/>
      <c r="I89" s="104"/>
      <c r="J89" s="104"/>
      <c r="K89" s="104"/>
      <c r="L89" s="10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04"/>
      <c r="C90" s="3"/>
      <c r="D90" s="104"/>
      <c r="E90" s="104"/>
      <c r="F90" s="104"/>
      <c r="G90" s="104"/>
      <c r="H90" s="104"/>
      <c r="I90" s="104"/>
      <c r="J90" s="104"/>
      <c r="K90" s="104"/>
      <c r="L90" s="10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04"/>
      <c r="C91" s="3"/>
      <c r="D91" s="104"/>
      <c r="E91" s="104"/>
      <c r="F91" s="104"/>
      <c r="G91" s="104"/>
      <c r="H91" s="104"/>
      <c r="I91" s="104"/>
      <c r="J91" s="104"/>
      <c r="K91" s="104"/>
      <c r="L91" s="10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04"/>
      <c r="C92" s="3"/>
      <c r="D92" s="104"/>
      <c r="E92" s="104"/>
      <c r="F92" s="104"/>
      <c r="G92" s="104"/>
      <c r="H92" s="104"/>
      <c r="I92" s="104"/>
      <c r="J92" s="104"/>
      <c r="K92" s="104"/>
      <c r="L92" s="10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04"/>
      <c r="C93" s="3"/>
      <c r="D93" s="104"/>
      <c r="E93" s="104"/>
      <c r="F93" s="104"/>
      <c r="G93" s="104"/>
      <c r="H93" s="104"/>
      <c r="I93" s="104"/>
      <c r="J93" s="104"/>
      <c r="K93" s="104"/>
      <c r="L93" s="10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04"/>
      <c r="C94" s="3"/>
      <c r="D94" s="104"/>
      <c r="E94" s="104"/>
      <c r="F94" s="104"/>
      <c r="G94" s="104"/>
      <c r="H94" s="104"/>
      <c r="I94" s="104"/>
      <c r="J94" s="104"/>
      <c r="K94" s="104"/>
      <c r="L94" s="10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04"/>
      <c r="C95" s="3"/>
      <c r="D95" s="104"/>
      <c r="E95" s="104"/>
      <c r="F95" s="104"/>
      <c r="G95" s="104"/>
      <c r="H95" s="104"/>
      <c r="I95" s="104"/>
      <c r="J95" s="104"/>
      <c r="K95" s="104"/>
      <c r="L95" s="10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04"/>
      <c r="C96" s="3"/>
      <c r="D96" s="104"/>
      <c r="E96" s="104"/>
      <c r="F96" s="104"/>
      <c r="G96" s="104"/>
      <c r="H96" s="104"/>
      <c r="I96" s="104"/>
      <c r="J96" s="104"/>
      <c r="K96" s="104"/>
      <c r="L96" s="10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04"/>
      <c r="C97" s="3"/>
      <c r="D97" s="104"/>
      <c r="E97" s="104"/>
      <c r="F97" s="104"/>
      <c r="G97" s="104"/>
      <c r="H97" s="104"/>
      <c r="I97" s="104"/>
      <c r="J97" s="104"/>
      <c r="K97" s="104"/>
      <c r="L97" s="10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04"/>
      <c r="C98" s="3"/>
      <c r="D98" s="104"/>
      <c r="E98" s="104"/>
      <c r="F98" s="104"/>
      <c r="G98" s="104"/>
      <c r="H98" s="104"/>
      <c r="I98" s="104"/>
      <c r="J98" s="104"/>
      <c r="K98" s="104"/>
      <c r="L98" s="10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04"/>
      <c r="C99" s="3"/>
      <c r="D99" s="104"/>
      <c r="E99" s="104"/>
      <c r="F99" s="104"/>
      <c r="G99" s="104"/>
      <c r="H99" s="104"/>
      <c r="I99" s="104"/>
      <c r="J99" s="104"/>
      <c r="K99" s="104"/>
      <c r="L99" s="10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04"/>
      <c r="C100" s="3"/>
      <c r="D100" s="104"/>
      <c r="E100" s="104"/>
      <c r="F100" s="104"/>
      <c r="G100" s="104"/>
      <c r="H100" s="104"/>
      <c r="I100" s="104"/>
      <c r="J100" s="104"/>
      <c r="K100" s="104"/>
      <c r="L100" s="10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04"/>
      <c r="C101" s="3"/>
      <c r="D101" s="104"/>
      <c r="E101" s="104"/>
      <c r="F101" s="104"/>
      <c r="G101" s="104"/>
      <c r="H101" s="104"/>
      <c r="I101" s="104"/>
      <c r="J101" s="104"/>
      <c r="K101" s="104"/>
      <c r="L101" s="10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04"/>
      <c r="C102" s="3"/>
      <c r="D102" s="104"/>
      <c r="E102" s="104"/>
      <c r="F102" s="104"/>
      <c r="G102" s="104"/>
      <c r="H102" s="104"/>
      <c r="I102" s="104"/>
      <c r="J102" s="104"/>
      <c r="K102" s="104"/>
      <c r="L102" s="10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04"/>
      <c r="C103" s="3"/>
      <c r="D103" s="104"/>
      <c r="E103" s="104"/>
      <c r="F103" s="104"/>
      <c r="G103" s="104"/>
      <c r="H103" s="104"/>
      <c r="I103" s="104"/>
      <c r="J103" s="104"/>
      <c r="K103" s="104"/>
      <c r="L103" s="10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04"/>
      <c r="C104" s="3"/>
      <c r="D104" s="104"/>
      <c r="E104" s="104"/>
      <c r="F104" s="104"/>
      <c r="G104" s="104"/>
      <c r="H104" s="104"/>
      <c r="I104" s="104"/>
      <c r="J104" s="104"/>
      <c r="K104" s="104"/>
      <c r="L104" s="10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04"/>
      <c r="C105" s="3"/>
      <c r="D105" s="104"/>
      <c r="E105" s="104"/>
      <c r="F105" s="104"/>
      <c r="G105" s="104"/>
      <c r="H105" s="104"/>
      <c r="I105" s="104"/>
      <c r="J105" s="104"/>
      <c r="K105" s="104"/>
      <c r="L105" s="10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04"/>
      <c r="C106" s="3"/>
      <c r="D106" s="104"/>
      <c r="E106" s="104"/>
      <c r="F106" s="104"/>
      <c r="G106" s="104"/>
      <c r="H106" s="104"/>
      <c r="I106" s="104"/>
      <c r="J106" s="104"/>
      <c r="K106" s="104"/>
      <c r="L106" s="10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04"/>
      <c r="C107" s="3"/>
      <c r="D107" s="104"/>
      <c r="E107" s="104"/>
      <c r="F107" s="104"/>
      <c r="G107" s="104"/>
      <c r="H107" s="104"/>
      <c r="I107" s="104"/>
      <c r="J107" s="104"/>
      <c r="K107" s="104"/>
      <c r="L107" s="10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04"/>
      <c r="C108" s="3"/>
      <c r="D108" s="104"/>
      <c r="E108" s="104"/>
      <c r="F108" s="104"/>
      <c r="G108" s="104"/>
      <c r="H108" s="104"/>
      <c r="I108" s="104"/>
      <c r="J108" s="104"/>
      <c r="K108" s="104"/>
      <c r="L108" s="10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04"/>
      <c r="C109" s="3"/>
      <c r="D109" s="104"/>
      <c r="E109" s="104"/>
      <c r="F109" s="104"/>
      <c r="G109" s="104"/>
      <c r="H109" s="104"/>
      <c r="I109" s="104"/>
      <c r="J109" s="104"/>
      <c r="K109" s="104"/>
      <c r="L109" s="10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04"/>
      <c r="C110" s="3"/>
      <c r="D110" s="104"/>
      <c r="E110" s="104"/>
      <c r="F110" s="104"/>
      <c r="G110" s="104"/>
      <c r="H110" s="104"/>
      <c r="I110" s="104"/>
      <c r="J110" s="104"/>
      <c r="K110" s="104"/>
      <c r="L110" s="10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04"/>
      <c r="C111" s="3"/>
      <c r="D111" s="104"/>
      <c r="E111" s="104"/>
      <c r="F111" s="104"/>
      <c r="G111" s="104"/>
      <c r="H111" s="104"/>
      <c r="I111" s="104"/>
      <c r="J111" s="104"/>
      <c r="K111" s="104"/>
      <c r="L111" s="10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04"/>
      <c r="C112" s="3"/>
      <c r="D112" s="104"/>
      <c r="E112" s="104"/>
      <c r="F112" s="104"/>
      <c r="G112" s="104"/>
      <c r="H112" s="104"/>
      <c r="I112" s="104"/>
      <c r="J112" s="104"/>
      <c r="K112" s="104"/>
      <c r="L112" s="10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04"/>
      <c r="C113" s="3"/>
      <c r="D113" s="104"/>
      <c r="E113" s="104"/>
      <c r="F113" s="104"/>
      <c r="G113" s="104"/>
      <c r="H113" s="104"/>
      <c r="I113" s="104"/>
      <c r="J113" s="104"/>
      <c r="K113" s="104"/>
      <c r="L113" s="10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04"/>
      <c r="C114" s="3"/>
      <c r="D114" s="104"/>
      <c r="E114" s="104"/>
      <c r="F114" s="104"/>
      <c r="G114" s="104"/>
      <c r="H114" s="104"/>
      <c r="I114" s="104"/>
      <c r="J114" s="104"/>
      <c r="K114" s="104"/>
      <c r="L114" s="10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04"/>
      <c r="C115" s="3"/>
      <c r="D115" s="104"/>
      <c r="E115" s="104"/>
      <c r="F115" s="104"/>
      <c r="G115" s="104"/>
      <c r="H115" s="104"/>
      <c r="I115" s="104"/>
      <c r="J115" s="104"/>
      <c r="K115" s="104"/>
      <c r="L115" s="10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04"/>
      <c r="C116" s="3"/>
      <c r="D116" s="104"/>
      <c r="E116" s="104"/>
      <c r="F116" s="104"/>
      <c r="G116" s="104"/>
      <c r="H116" s="104"/>
      <c r="I116" s="104"/>
      <c r="J116" s="104"/>
      <c r="K116" s="104"/>
      <c r="L116" s="10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04"/>
      <c r="C117" s="3"/>
      <c r="D117" s="104"/>
      <c r="E117" s="104"/>
      <c r="F117" s="104"/>
      <c r="G117" s="104"/>
      <c r="H117" s="104"/>
      <c r="I117" s="104"/>
      <c r="J117" s="104"/>
      <c r="K117" s="104"/>
      <c r="L117" s="10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04"/>
      <c r="C118" s="3"/>
      <c r="D118" s="104"/>
      <c r="E118" s="104"/>
      <c r="F118" s="104"/>
      <c r="G118" s="104"/>
      <c r="H118" s="104"/>
      <c r="I118" s="104"/>
      <c r="J118" s="104"/>
      <c r="K118" s="104"/>
      <c r="L118" s="10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04"/>
      <c r="C119" s="3"/>
      <c r="D119" s="104"/>
      <c r="E119" s="104"/>
      <c r="F119" s="104"/>
      <c r="G119" s="104"/>
      <c r="H119" s="104"/>
      <c r="I119" s="104"/>
      <c r="J119" s="104"/>
      <c r="K119" s="104"/>
      <c r="L119" s="10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04"/>
      <c r="C120" s="3"/>
      <c r="D120" s="104"/>
      <c r="E120" s="104"/>
      <c r="F120" s="104"/>
      <c r="G120" s="104"/>
      <c r="H120" s="104"/>
      <c r="I120" s="104"/>
      <c r="J120" s="104"/>
      <c r="K120" s="104"/>
      <c r="L120" s="10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04"/>
      <c r="C121" s="3"/>
      <c r="D121" s="104"/>
      <c r="E121" s="104"/>
      <c r="F121" s="104"/>
      <c r="G121" s="104"/>
      <c r="H121" s="104"/>
      <c r="I121" s="104"/>
      <c r="J121" s="104"/>
      <c r="K121" s="104"/>
      <c r="L121" s="10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04"/>
      <c r="C122" s="3"/>
      <c r="D122" s="104"/>
      <c r="E122" s="104"/>
      <c r="F122" s="104"/>
      <c r="G122" s="104"/>
      <c r="H122" s="104"/>
      <c r="I122" s="104"/>
      <c r="J122" s="104"/>
      <c r="K122" s="104"/>
      <c r="L122" s="10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04"/>
      <c r="C123" s="3"/>
      <c r="D123" s="104"/>
      <c r="E123" s="104"/>
      <c r="F123" s="104"/>
      <c r="G123" s="104"/>
      <c r="H123" s="104"/>
      <c r="I123" s="104"/>
      <c r="J123" s="104"/>
      <c r="K123" s="104"/>
      <c r="L123" s="10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04"/>
      <c r="C124" s="3"/>
      <c r="D124" s="104"/>
      <c r="E124" s="104"/>
      <c r="F124" s="104"/>
      <c r="G124" s="104"/>
      <c r="H124" s="104"/>
      <c r="I124" s="104"/>
      <c r="J124" s="104"/>
      <c r="K124" s="104"/>
      <c r="L124" s="10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04"/>
      <c r="C125" s="3"/>
      <c r="D125" s="104"/>
      <c r="E125" s="104"/>
      <c r="F125" s="104"/>
      <c r="G125" s="104"/>
      <c r="H125" s="104"/>
      <c r="I125" s="104"/>
      <c r="J125" s="104"/>
      <c r="K125" s="104"/>
      <c r="L125" s="10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04"/>
      <c r="C126" s="3"/>
      <c r="D126" s="104"/>
      <c r="E126" s="104"/>
      <c r="F126" s="104"/>
      <c r="G126" s="104"/>
      <c r="H126" s="104"/>
      <c r="I126" s="104"/>
      <c r="J126" s="104"/>
      <c r="K126" s="104"/>
      <c r="L126" s="10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04"/>
      <c r="C127" s="3"/>
      <c r="D127" s="104"/>
      <c r="E127" s="104"/>
      <c r="F127" s="104"/>
      <c r="G127" s="104"/>
      <c r="H127" s="104"/>
      <c r="I127" s="104"/>
      <c r="J127" s="104"/>
      <c r="K127" s="104"/>
      <c r="L127" s="10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04"/>
      <c r="C128" s="3"/>
      <c r="D128" s="104"/>
      <c r="E128" s="104"/>
      <c r="F128" s="104"/>
      <c r="G128" s="104"/>
      <c r="H128" s="104"/>
      <c r="I128" s="104"/>
      <c r="J128" s="104"/>
      <c r="K128" s="104"/>
      <c r="L128" s="10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04"/>
      <c r="C129" s="3"/>
      <c r="D129" s="104"/>
      <c r="E129" s="104"/>
      <c r="F129" s="104"/>
      <c r="G129" s="104"/>
      <c r="H129" s="104"/>
      <c r="I129" s="104"/>
      <c r="J129" s="104"/>
      <c r="K129" s="104"/>
      <c r="L129" s="10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04"/>
      <c r="C130" s="3"/>
      <c r="D130" s="104"/>
      <c r="E130" s="104"/>
      <c r="F130" s="104"/>
      <c r="G130" s="104"/>
      <c r="H130" s="104"/>
      <c r="I130" s="104"/>
      <c r="J130" s="104"/>
      <c r="K130" s="104"/>
      <c r="L130" s="10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04"/>
      <c r="C131" s="3"/>
      <c r="D131" s="104"/>
      <c r="E131" s="104"/>
      <c r="F131" s="104"/>
      <c r="G131" s="104"/>
      <c r="H131" s="104"/>
      <c r="I131" s="104"/>
      <c r="J131" s="104"/>
      <c r="K131" s="104"/>
      <c r="L131" s="10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04"/>
      <c r="C132" s="3"/>
      <c r="D132" s="104"/>
      <c r="E132" s="104"/>
      <c r="F132" s="104"/>
      <c r="G132" s="104"/>
      <c r="H132" s="104"/>
      <c r="I132" s="104"/>
      <c r="J132" s="104"/>
      <c r="K132" s="104"/>
      <c r="L132" s="10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04"/>
      <c r="C133" s="3"/>
      <c r="D133" s="104"/>
      <c r="E133" s="104"/>
      <c r="F133" s="104"/>
      <c r="G133" s="104"/>
      <c r="H133" s="104"/>
      <c r="I133" s="104"/>
      <c r="J133" s="104"/>
      <c r="K133" s="104"/>
      <c r="L133" s="10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04"/>
      <c r="C134" s="3"/>
      <c r="D134" s="104"/>
      <c r="E134" s="104"/>
      <c r="F134" s="104"/>
      <c r="G134" s="104"/>
      <c r="H134" s="104"/>
      <c r="I134" s="104"/>
      <c r="J134" s="104"/>
      <c r="K134" s="104"/>
      <c r="L134" s="10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04"/>
      <c r="C135" s="3"/>
      <c r="D135" s="104"/>
      <c r="E135" s="104"/>
      <c r="F135" s="104"/>
      <c r="G135" s="104"/>
      <c r="H135" s="104"/>
      <c r="I135" s="104"/>
      <c r="J135" s="104"/>
      <c r="K135" s="104"/>
      <c r="L135" s="10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04"/>
      <c r="C136" s="3"/>
      <c r="D136" s="104"/>
      <c r="E136" s="104"/>
      <c r="F136" s="104"/>
      <c r="G136" s="104"/>
      <c r="H136" s="104"/>
      <c r="I136" s="104"/>
      <c r="J136" s="104"/>
      <c r="K136" s="104"/>
      <c r="L136" s="10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04"/>
      <c r="C137" s="3"/>
      <c r="D137" s="104"/>
      <c r="E137" s="104"/>
      <c r="F137" s="104"/>
      <c r="G137" s="104"/>
      <c r="H137" s="104"/>
      <c r="I137" s="104"/>
      <c r="J137" s="104"/>
      <c r="K137" s="104"/>
      <c r="L137" s="10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04"/>
      <c r="C138" s="3"/>
      <c r="D138" s="104"/>
      <c r="E138" s="104"/>
      <c r="F138" s="104"/>
      <c r="G138" s="104"/>
      <c r="H138" s="104"/>
      <c r="I138" s="104"/>
      <c r="J138" s="104"/>
      <c r="K138" s="104"/>
      <c r="L138" s="10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04"/>
      <c r="C139" s="3"/>
      <c r="D139" s="104"/>
      <c r="E139" s="104"/>
      <c r="F139" s="104"/>
      <c r="G139" s="104"/>
      <c r="H139" s="104"/>
      <c r="I139" s="104"/>
      <c r="J139" s="104"/>
      <c r="K139" s="104"/>
      <c r="L139" s="10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04"/>
      <c r="C140" s="3"/>
      <c r="D140" s="104"/>
      <c r="E140" s="104"/>
      <c r="F140" s="104"/>
      <c r="G140" s="104"/>
      <c r="H140" s="104"/>
      <c r="I140" s="104"/>
      <c r="J140" s="104"/>
      <c r="K140" s="104"/>
      <c r="L140" s="10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04"/>
      <c r="C141" s="3"/>
      <c r="D141" s="104"/>
      <c r="E141" s="104"/>
      <c r="F141" s="104"/>
      <c r="G141" s="104"/>
      <c r="H141" s="104"/>
      <c r="I141" s="104"/>
      <c r="J141" s="104"/>
      <c r="K141" s="104"/>
      <c r="L141" s="10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04"/>
      <c r="C142" s="3"/>
      <c r="D142" s="104"/>
      <c r="E142" s="104"/>
      <c r="F142" s="104"/>
      <c r="G142" s="104"/>
      <c r="H142" s="104"/>
      <c r="I142" s="104"/>
      <c r="J142" s="104"/>
      <c r="K142" s="104"/>
      <c r="L142" s="10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04"/>
      <c r="C143" s="3"/>
      <c r="D143" s="104"/>
      <c r="E143" s="104"/>
      <c r="F143" s="104"/>
      <c r="G143" s="104"/>
      <c r="H143" s="104"/>
      <c r="I143" s="104"/>
      <c r="J143" s="104"/>
      <c r="K143" s="104"/>
      <c r="L143" s="10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04"/>
      <c r="C144" s="3"/>
      <c r="D144" s="104"/>
      <c r="E144" s="104"/>
      <c r="F144" s="104"/>
      <c r="G144" s="104"/>
      <c r="H144" s="104"/>
      <c r="I144" s="104"/>
      <c r="J144" s="104"/>
      <c r="K144" s="104"/>
      <c r="L144" s="10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04"/>
      <c r="C145" s="3"/>
      <c r="D145" s="104"/>
      <c r="E145" s="104"/>
      <c r="F145" s="104"/>
      <c r="G145" s="104"/>
      <c r="H145" s="104"/>
      <c r="I145" s="104"/>
      <c r="J145" s="104"/>
      <c r="K145" s="104"/>
      <c r="L145" s="10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04"/>
      <c r="C146" s="3"/>
      <c r="D146" s="104"/>
      <c r="E146" s="104"/>
      <c r="F146" s="104"/>
      <c r="G146" s="104"/>
      <c r="H146" s="104"/>
      <c r="I146" s="104"/>
      <c r="J146" s="104"/>
      <c r="K146" s="104"/>
      <c r="L146" s="10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04"/>
      <c r="C147" s="3"/>
      <c r="D147" s="104"/>
      <c r="E147" s="104"/>
      <c r="F147" s="104"/>
      <c r="G147" s="104"/>
      <c r="H147" s="104"/>
      <c r="I147" s="104"/>
      <c r="J147" s="104"/>
      <c r="K147" s="104"/>
      <c r="L147" s="10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04"/>
      <c r="C148" s="3"/>
      <c r="D148" s="104"/>
      <c r="E148" s="104"/>
      <c r="F148" s="104"/>
      <c r="G148" s="104"/>
      <c r="H148" s="104"/>
      <c r="I148" s="104"/>
      <c r="J148" s="104"/>
      <c r="K148" s="104"/>
      <c r="L148" s="10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04"/>
      <c r="C149" s="3"/>
      <c r="D149" s="104"/>
      <c r="E149" s="104"/>
      <c r="F149" s="104"/>
      <c r="G149" s="104"/>
      <c r="H149" s="104"/>
      <c r="I149" s="104"/>
      <c r="J149" s="104"/>
      <c r="K149" s="104"/>
      <c r="L149" s="10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04"/>
      <c r="C150" s="3"/>
      <c r="D150" s="104"/>
      <c r="E150" s="104"/>
      <c r="F150" s="104"/>
      <c r="G150" s="104"/>
      <c r="H150" s="104"/>
      <c r="I150" s="104"/>
      <c r="J150" s="104"/>
      <c r="K150" s="104"/>
      <c r="L150" s="10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04"/>
      <c r="C151" s="3"/>
      <c r="D151" s="104"/>
      <c r="E151" s="104"/>
      <c r="F151" s="104"/>
      <c r="G151" s="104"/>
      <c r="H151" s="104"/>
      <c r="I151" s="104"/>
      <c r="J151" s="104"/>
      <c r="K151" s="104"/>
      <c r="L151" s="10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04"/>
      <c r="C152" s="3"/>
      <c r="D152" s="104"/>
      <c r="E152" s="104"/>
      <c r="F152" s="104"/>
      <c r="G152" s="104"/>
      <c r="H152" s="104"/>
      <c r="I152" s="104"/>
      <c r="J152" s="104"/>
      <c r="K152" s="104"/>
      <c r="L152" s="10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04"/>
      <c r="C153" s="3"/>
      <c r="D153" s="104"/>
      <c r="E153" s="104"/>
      <c r="F153" s="104"/>
      <c r="G153" s="104"/>
      <c r="H153" s="104"/>
      <c r="I153" s="104"/>
      <c r="J153" s="104"/>
      <c r="K153" s="104"/>
      <c r="L153" s="10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04"/>
      <c r="C154" s="3"/>
      <c r="D154" s="104"/>
      <c r="E154" s="104"/>
      <c r="F154" s="104"/>
      <c r="G154" s="104"/>
      <c r="H154" s="104"/>
      <c r="I154" s="104"/>
      <c r="J154" s="104"/>
      <c r="K154" s="104"/>
      <c r="L154" s="10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04"/>
      <c r="C155" s="3"/>
      <c r="D155" s="104"/>
      <c r="E155" s="104"/>
      <c r="F155" s="104"/>
      <c r="G155" s="104"/>
      <c r="H155" s="104"/>
      <c r="I155" s="104"/>
      <c r="J155" s="104"/>
      <c r="K155" s="104"/>
      <c r="L155" s="10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04"/>
      <c r="C156" s="3"/>
      <c r="D156" s="104"/>
      <c r="E156" s="104"/>
      <c r="F156" s="104"/>
      <c r="G156" s="104"/>
      <c r="H156" s="104"/>
      <c r="I156" s="104"/>
      <c r="J156" s="104"/>
      <c r="K156" s="104"/>
      <c r="L156" s="10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04"/>
      <c r="C157" s="3"/>
      <c r="D157" s="104"/>
      <c r="E157" s="104"/>
      <c r="F157" s="104"/>
      <c r="G157" s="104"/>
      <c r="H157" s="104"/>
      <c r="I157" s="104"/>
      <c r="J157" s="104"/>
      <c r="K157" s="104"/>
      <c r="L157" s="10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04"/>
      <c r="C158" s="3"/>
      <c r="D158" s="104"/>
      <c r="E158" s="104"/>
      <c r="F158" s="104"/>
      <c r="G158" s="104"/>
      <c r="H158" s="104"/>
      <c r="I158" s="104"/>
      <c r="J158" s="104"/>
      <c r="K158" s="104"/>
      <c r="L158" s="10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04"/>
      <c r="C159" s="3"/>
      <c r="D159" s="104"/>
      <c r="E159" s="104"/>
      <c r="F159" s="104"/>
      <c r="G159" s="104"/>
      <c r="H159" s="104"/>
      <c r="I159" s="104"/>
      <c r="J159" s="104"/>
      <c r="K159" s="104"/>
      <c r="L159" s="10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04"/>
      <c r="C160" s="3"/>
      <c r="D160" s="104"/>
      <c r="E160" s="104"/>
      <c r="F160" s="104"/>
      <c r="G160" s="104"/>
      <c r="H160" s="104"/>
      <c r="I160" s="104"/>
      <c r="J160" s="104"/>
      <c r="K160" s="104"/>
      <c r="L160" s="10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04"/>
      <c r="C161" s="3"/>
      <c r="D161" s="104"/>
      <c r="E161" s="104"/>
      <c r="F161" s="104"/>
      <c r="G161" s="104"/>
      <c r="H161" s="104"/>
      <c r="I161" s="104"/>
      <c r="J161" s="104"/>
      <c r="K161" s="104"/>
      <c r="L161" s="10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04"/>
      <c r="C162" s="3"/>
      <c r="D162" s="104"/>
      <c r="E162" s="104"/>
      <c r="F162" s="104"/>
      <c r="G162" s="104"/>
      <c r="H162" s="104"/>
      <c r="I162" s="104"/>
      <c r="J162" s="104"/>
      <c r="K162" s="104"/>
      <c r="L162" s="10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04"/>
      <c r="C163" s="3"/>
      <c r="D163" s="104"/>
      <c r="E163" s="104"/>
      <c r="F163" s="104"/>
      <c r="G163" s="104"/>
      <c r="H163" s="104"/>
      <c r="I163" s="104"/>
      <c r="J163" s="104"/>
      <c r="K163" s="104"/>
      <c r="L163" s="10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04"/>
      <c r="C164" s="3"/>
      <c r="D164" s="104"/>
      <c r="E164" s="104"/>
      <c r="F164" s="104"/>
      <c r="G164" s="104"/>
      <c r="H164" s="104"/>
      <c r="I164" s="104"/>
      <c r="J164" s="104"/>
      <c r="K164" s="104"/>
      <c r="L164" s="10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04"/>
      <c r="C165" s="3"/>
      <c r="D165" s="104"/>
      <c r="E165" s="104"/>
      <c r="F165" s="104"/>
      <c r="G165" s="104"/>
      <c r="H165" s="104"/>
      <c r="I165" s="104"/>
      <c r="J165" s="104"/>
      <c r="K165" s="104"/>
      <c r="L165" s="10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04"/>
      <c r="C166" s="3"/>
      <c r="D166" s="104"/>
      <c r="E166" s="104"/>
      <c r="F166" s="104"/>
      <c r="G166" s="104"/>
      <c r="H166" s="104"/>
      <c r="I166" s="104"/>
      <c r="J166" s="104"/>
      <c r="K166" s="104"/>
      <c r="L166" s="10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04"/>
      <c r="C167" s="3"/>
      <c r="D167" s="104"/>
      <c r="E167" s="104"/>
      <c r="F167" s="104"/>
      <c r="G167" s="104"/>
      <c r="H167" s="104"/>
      <c r="I167" s="104"/>
      <c r="J167" s="104"/>
      <c r="K167" s="104"/>
      <c r="L167" s="10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04"/>
      <c r="C168" s="3"/>
      <c r="D168" s="104"/>
      <c r="E168" s="104"/>
      <c r="F168" s="104"/>
      <c r="G168" s="104"/>
      <c r="H168" s="104"/>
      <c r="I168" s="104"/>
      <c r="J168" s="104"/>
      <c r="K168" s="104"/>
      <c r="L168" s="10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04"/>
      <c r="C169" s="3"/>
      <c r="D169" s="104"/>
      <c r="E169" s="104"/>
      <c r="F169" s="104"/>
      <c r="G169" s="104"/>
      <c r="H169" s="104"/>
      <c r="I169" s="104"/>
      <c r="J169" s="104"/>
      <c r="K169" s="104"/>
      <c r="L169" s="10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04"/>
      <c r="C170" s="3"/>
      <c r="D170" s="104"/>
      <c r="E170" s="104"/>
      <c r="F170" s="104"/>
      <c r="G170" s="104"/>
      <c r="H170" s="104"/>
      <c r="I170" s="104"/>
      <c r="J170" s="104"/>
      <c r="K170" s="104"/>
      <c r="L170" s="10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04"/>
      <c r="C171" s="3"/>
      <c r="D171" s="104"/>
      <c r="E171" s="104"/>
      <c r="F171" s="104"/>
      <c r="G171" s="104"/>
      <c r="H171" s="104"/>
      <c r="I171" s="104"/>
      <c r="J171" s="104"/>
      <c r="K171" s="104"/>
      <c r="L171" s="10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04"/>
      <c r="C172" s="3"/>
      <c r="D172" s="104"/>
      <c r="E172" s="104"/>
      <c r="F172" s="104"/>
      <c r="G172" s="104"/>
      <c r="H172" s="104"/>
      <c r="I172" s="104"/>
      <c r="J172" s="104"/>
      <c r="K172" s="104"/>
      <c r="L172" s="10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04"/>
      <c r="C173" s="3"/>
      <c r="D173" s="104"/>
      <c r="E173" s="104"/>
      <c r="F173" s="104"/>
      <c r="G173" s="104"/>
      <c r="H173" s="104"/>
      <c r="I173" s="104"/>
      <c r="J173" s="104"/>
      <c r="K173" s="104"/>
      <c r="L173" s="10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04"/>
      <c r="C174" s="3"/>
      <c r="D174" s="104"/>
      <c r="E174" s="104"/>
      <c r="F174" s="104"/>
      <c r="G174" s="104"/>
      <c r="H174" s="104"/>
      <c r="I174" s="104"/>
      <c r="J174" s="104"/>
      <c r="K174" s="104"/>
      <c r="L174" s="10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04"/>
      <c r="C175" s="3"/>
      <c r="D175" s="104"/>
      <c r="E175" s="104"/>
      <c r="F175" s="104"/>
      <c r="G175" s="104"/>
      <c r="H175" s="104"/>
      <c r="I175" s="104"/>
      <c r="J175" s="104"/>
      <c r="K175" s="104"/>
      <c r="L175" s="10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04"/>
      <c r="C176" s="3"/>
      <c r="D176" s="104"/>
      <c r="E176" s="104"/>
      <c r="F176" s="104"/>
      <c r="G176" s="104"/>
      <c r="H176" s="104"/>
      <c r="I176" s="104"/>
      <c r="J176" s="104"/>
      <c r="K176" s="104"/>
      <c r="L176" s="10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04"/>
      <c r="C177" s="3"/>
      <c r="D177" s="104"/>
      <c r="E177" s="104"/>
      <c r="F177" s="104"/>
      <c r="G177" s="104"/>
      <c r="H177" s="104"/>
      <c r="I177" s="104"/>
      <c r="J177" s="104"/>
      <c r="K177" s="104"/>
      <c r="L177" s="10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04"/>
      <c r="C178" s="3"/>
      <c r="D178" s="104"/>
      <c r="E178" s="104"/>
      <c r="F178" s="104"/>
      <c r="G178" s="104"/>
      <c r="H178" s="104"/>
      <c r="I178" s="104"/>
      <c r="J178" s="104"/>
      <c r="K178" s="104"/>
      <c r="L178" s="10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04"/>
      <c r="C179" s="3"/>
      <c r="D179" s="104"/>
      <c r="E179" s="104"/>
      <c r="F179" s="104"/>
      <c r="G179" s="104"/>
      <c r="H179" s="104"/>
      <c r="I179" s="104"/>
      <c r="J179" s="104"/>
      <c r="K179" s="104"/>
      <c r="L179" s="10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04"/>
      <c r="C180" s="3"/>
      <c r="D180" s="104"/>
      <c r="E180" s="104"/>
      <c r="F180" s="104"/>
      <c r="G180" s="104"/>
      <c r="H180" s="104"/>
      <c r="I180" s="104"/>
      <c r="J180" s="104"/>
      <c r="K180" s="104"/>
      <c r="L180" s="10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04"/>
      <c r="C181" s="3"/>
      <c r="D181" s="104"/>
      <c r="E181" s="104"/>
      <c r="F181" s="104"/>
      <c r="G181" s="104"/>
      <c r="H181" s="104"/>
      <c r="I181" s="104"/>
      <c r="J181" s="104"/>
      <c r="K181" s="104"/>
      <c r="L181" s="10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04"/>
      <c r="C182" s="3"/>
      <c r="D182" s="104"/>
      <c r="E182" s="104"/>
      <c r="F182" s="104"/>
      <c r="G182" s="104"/>
      <c r="H182" s="104"/>
      <c r="I182" s="104"/>
      <c r="J182" s="104"/>
      <c r="K182" s="104"/>
      <c r="L182" s="10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04"/>
      <c r="C183" s="3"/>
      <c r="D183" s="104"/>
      <c r="E183" s="104"/>
      <c r="F183" s="104"/>
      <c r="G183" s="104"/>
      <c r="H183" s="104"/>
      <c r="I183" s="104"/>
      <c r="J183" s="104"/>
      <c r="K183" s="104"/>
      <c r="L183" s="10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04"/>
      <c r="C184" s="3"/>
      <c r="D184" s="104"/>
      <c r="E184" s="104"/>
      <c r="F184" s="104"/>
      <c r="G184" s="104"/>
      <c r="H184" s="104"/>
      <c r="I184" s="104"/>
      <c r="J184" s="104"/>
      <c r="K184" s="104"/>
      <c r="L184" s="10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04"/>
      <c r="C185" s="3"/>
      <c r="D185" s="104"/>
      <c r="E185" s="104"/>
      <c r="F185" s="104"/>
      <c r="G185" s="104"/>
      <c r="H185" s="104"/>
      <c r="I185" s="104"/>
      <c r="J185" s="104"/>
      <c r="K185" s="104"/>
      <c r="L185" s="10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04"/>
      <c r="C186" s="3"/>
      <c r="D186" s="104"/>
      <c r="E186" s="104"/>
      <c r="F186" s="104"/>
      <c r="G186" s="104"/>
      <c r="H186" s="104"/>
      <c r="I186" s="104"/>
      <c r="J186" s="104"/>
      <c r="K186" s="104"/>
      <c r="L186" s="10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04"/>
      <c r="C187" s="3"/>
      <c r="D187" s="104"/>
      <c r="E187" s="104"/>
      <c r="F187" s="104"/>
      <c r="G187" s="104"/>
      <c r="H187" s="104"/>
      <c r="I187" s="104"/>
      <c r="J187" s="104"/>
      <c r="K187" s="104"/>
      <c r="L187" s="10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04"/>
      <c r="C188" s="3"/>
      <c r="D188" s="104"/>
      <c r="E188" s="104"/>
      <c r="F188" s="104"/>
      <c r="G188" s="104"/>
      <c r="H188" s="104"/>
      <c r="I188" s="104"/>
      <c r="J188" s="104"/>
      <c r="K188" s="104"/>
      <c r="L188" s="10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04"/>
      <c r="C189" s="3"/>
      <c r="D189" s="104"/>
      <c r="E189" s="104"/>
      <c r="F189" s="104"/>
      <c r="G189" s="104"/>
      <c r="H189" s="104"/>
      <c r="I189" s="104"/>
      <c r="J189" s="104"/>
      <c r="K189" s="104"/>
      <c r="L189" s="10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04"/>
      <c r="C190" s="3"/>
      <c r="D190" s="104"/>
      <c r="E190" s="104"/>
      <c r="F190" s="104"/>
      <c r="G190" s="104"/>
      <c r="H190" s="104"/>
      <c r="I190" s="104"/>
      <c r="J190" s="104"/>
      <c r="K190" s="104"/>
      <c r="L190" s="10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04"/>
      <c r="C191" s="3"/>
      <c r="D191" s="104"/>
      <c r="E191" s="104"/>
      <c r="F191" s="104"/>
      <c r="G191" s="104"/>
      <c r="H191" s="104"/>
      <c r="I191" s="104"/>
      <c r="J191" s="104"/>
      <c r="K191" s="104"/>
      <c r="L191" s="10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04"/>
      <c r="C192" s="3"/>
      <c r="D192" s="104"/>
      <c r="E192" s="104"/>
      <c r="F192" s="104"/>
      <c r="G192" s="104"/>
      <c r="H192" s="104"/>
      <c r="I192" s="104"/>
      <c r="J192" s="104"/>
      <c r="K192" s="104"/>
      <c r="L192" s="10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04"/>
      <c r="C193" s="3"/>
      <c r="D193" s="104"/>
      <c r="E193" s="104"/>
      <c r="F193" s="104"/>
      <c r="G193" s="104"/>
      <c r="H193" s="104"/>
      <c r="I193" s="104"/>
      <c r="J193" s="104"/>
      <c r="K193" s="104"/>
      <c r="L193" s="10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04"/>
      <c r="C194" s="3"/>
      <c r="D194" s="104"/>
      <c r="E194" s="104"/>
      <c r="F194" s="104"/>
      <c r="G194" s="104"/>
      <c r="H194" s="104"/>
      <c r="I194" s="104"/>
      <c r="J194" s="104"/>
      <c r="K194" s="104"/>
      <c r="L194" s="10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04"/>
      <c r="C195" s="3"/>
      <c r="D195" s="104"/>
      <c r="E195" s="104"/>
      <c r="F195" s="104"/>
      <c r="G195" s="104"/>
      <c r="H195" s="104"/>
      <c r="I195" s="104"/>
      <c r="J195" s="104"/>
      <c r="K195" s="104"/>
      <c r="L195" s="10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04"/>
      <c r="C196" s="3"/>
      <c r="D196" s="104"/>
      <c r="E196" s="104"/>
      <c r="F196" s="104"/>
      <c r="G196" s="104"/>
      <c r="H196" s="104"/>
      <c r="I196" s="104"/>
      <c r="J196" s="104"/>
      <c r="K196" s="104"/>
      <c r="L196" s="10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04"/>
      <c r="C197" s="3"/>
      <c r="D197" s="104"/>
      <c r="E197" s="104"/>
      <c r="F197" s="104"/>
      <c r="G197" s="104"/>
      <c r="H197" s="104"/>
      <c r="I197" s="104"/>
      <c r="J197" s="104"/>
      <c r="K197" s="104"/>
      <c r="L197" s="10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04"/>
      <c r="C198" s="3"/>
      <c r="D198" s="104"/>
      <c r="E198" s="104"/>
      <c r="F198" s="104"/>
      <c r="G198" s="104"/>
      <c r="H198" s="104"/>
      <c r="I198" s="104"/>
      <c r="J198" s="104"/>
      <c r="K198" s="104"/>
      <c r="L198" s="10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04"/>
      <c r="C199" s="3"/>
      <c r="D199" s="104"/>
      <c r="E199" s="104"/>
      <c r="F199" s="104"/>
      <c r="G199" s="104"/>
      <c r="H199" s="104"/>
      <c r="I199" s="104"/>
      <c r="J199" s="104"/>
      <c r="K199" s="104"/>
      <c r="L199" s="10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04"/>
      <c r="C200" s="3"/>
      <c r="D200" s="104"/>
      <c r="E200" s="104"/>
      <c r="F200" s="104"/>
      <c r="G200" s="104"/>
      <c r="H200" s="104"/>
      <c r="I200" s="104"/>
      <c r="J200" s="104"/>
      <c r="K200" s="104"/>
      <c r="L200" s="10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04"/>
      <c r="C201" s="3"/>
      <c r="D201" s="104"/>
      <c r="E201" s="104"/>
      <c r="F201" s="104"/>
      <c r="G201" s="104"/>
      <c r="H201" s="104"/>
      <c r="I201" s="104"/>
      <c r="J201" s="104"/>
      <c r="K201" s="104"/>
      <c r="L201" s="10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04"/>
      <c r="C202" s="3"/>
      <c r="D202" s="104"/>
      <c r="E202" s="104"/>
      <c r="F202" s="104"/>
      <c r="G202" s="104"/>
      <c r="H202" s="104"/>
      <c r="I202" s="104"/>
      <c r="J202" s="104"/>
      <c r="K202" s="104"/>
      <c r="L202" s="10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04"/>
      <c r="C203" s="3"/>
      <c r="D203" s="104"/>
      <c r="E203" s="104"/>
      <c r="F203" s="104"/>
      <c r="G203" s="104"/>
      <c r="H203" s="104"/>
      <c r="I203" s="104"/>
      <c r="J203" s="104"/>
      <c r="K203" s="104"/>
      <c r="L203" s="10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04"/>
      <c r="C204" s="3"/>
      <c r="D204" s="104"/>
      <c r="E204" s="104"/>
      <c r="F204" s="104"/>
      <c r="G204" s="104"/>
      <c r="H204" s="104"/>
      <c r="I204" s="104"/>
      <c r="J204" s="104"/>
      <c r="K204" s="104"/>
      <c r="L204" s="10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04"/>
      <c r="C205" s="3"/>
      <c r="D205" s="104"/>
      <c r="E205" s="104"/>
      <c r="F205" s="104"/>
      <c r="G205" s="104"/>
      <c r="H205" s="104"/>
      <c r="I205" s="104"/>
      <c r="J205" s="104"/>
      <c r="K205" s="104"/>
      <c r="L205" s="10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04"/>
      <c r="C206" s="3"/>
      <c r="D206" s="104"/>
      <c r="E206" s="104"/>
      <c r="F206" s="104"/>
      <c r="G206" s="104"/>
      <c r="H206" s="104"/>
      <c r="I206" s="104"/>
      <c r="J206" s="104"/>
      <c r="K206" s="104"/>
      <c r="L206" s="10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04"/>
      <c r="C207" s="3"/>
      <c r="D207" s="104"/>
      <c r="E207" s="104"/>
      <c r="F207" s="104"/>
      <c r="G207" s="104"/>
      <c r="H207" s="104"/>
      <c r="I207" s="104"/>
      <c r="J207" s="104"/>
      <c r="K207" s="104"/>
      <c r="L207" s="10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04"/>
      <c r="C208" s="3"/>
      <c r="D208" s="104"/>
      <c r="E208" s="104"/>
      <c r="F208" s="104"/>
      <c r="G208" s="104"/>
      <c r="H208" s="104"/>
      <c r="I208" s="104"/>
      <c r="J208" s="104"/>
      <c r="K208" s="104"/>
      <c r="L208" s="10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04"/>
      <c r="C209" s="3"/>
      <c r="D209" s="104"/>
      <c r="E209" s="104"/>
      <c r="F209" s="104"/>
      <c r="G209" s="104"/>
      <c r="H209" s="104"/>
      <c r="I209" s="104"/>
      <c r="J209" s="104"/>
      <c r="K209" s="104"/>
      <c r="L209" s="10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04"/>
      <c r="C210" s="3"/>
      <c r="D210" s="104"/>
      <c r="E210" s="104"/>
      <c r="F210" s="104"/>
      <c r="G210" s="104"/>
      <c r="H210" s="104"/>
      <c r="I210" s="104"/>
      <c r="J210" s="104"/>
      <c r="K210" s="104"/>
      <c r="L210" s="10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04"/>
      <c r="C211" s="3"/>
      <c r="D211" s="104"/>
      <c r="E211" s="104"/>
      <c r="F211" s="104"/>
      <c r="G211" s="104"/>
      <c r="H211" s="104"/>
      <c r="I211" s="104"/>
      <c r="J211" s="104"/>
      <c r="K211" s="104"/>
      <c r="L211" s="10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04"/>
      <c r="C212" s="3"/>
      <c r="D212" s="104"/>
      <c r="E212" s="104"/>
      <c r="F212" s="104"/>
      <c r="G212" s="104"/>
      <c r="H212" s="104"/>
      <c r="I212" s="104"/>
      <c r="J212" s="104"/>
      <c r="K212" s="104"/>
      <c r="L212" s="10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04"/>
      <c r="C213" s="3"/>
      <c r="D213" s="104"/>
      <c r="E213" s="104"/>
      <c r="F213" s="104"/>
      <c r="G213" s="104"/>
      <c r="H213" s="104"/>
      <c r="I213" s="104"/>
      <c r="J213" s="104"/>
      <c r="K213" s="104"/>
      <c r="L213" s="10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04"/>
      <c r="C214" s="3"/>
      <c r="D214" s="104"/>
      <c r="E214" s="104"/>
      <c r="F214" s="104"/>
      <c r="G214" s="104"/>
      <c r="H214" s="104"/>
      <c r="I214" s="104"/>
      <c r="J214" s="104"/>
      <c r="K214" s="104"/>
      <c r="L214" s="10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04"/>
      <c r="C215" s="3"/>
      <c r="D215" s="104"/>
      <c r="E215" s="104"/>
      <c r="F215" s="104"/>
      <c r="G215" s="104"/>
      <c r="H215" s="104"/>
      <c r="I215" s="104"/>
      <c r="J215" s="104"/>
      <c r="K215" s="104"/>
      <c r="L215" s="10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04"/>
      <c r="C216" s="3"/>
      <c r="D216" s="104"/>
      <c r="E216" s="104"/>
      <c r="F216" s="104"/>
      <c r="G216" s="104"/>
      <c r="H216" s="104"/>
      <c r="I216" s="104"/>
      <c r="J216" s="104"/>
      <c r="K216" s="104"/>
      <c r="L216" s="10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04"/>
      <c r="C217" s="3"/>
      <c r="D217" s="104"/>
      <c r="E217" s="104"/>
      <c r="F217" s="104"/>
      <c r="G217" s="104"/>
      <c r="H217" s="104"/>
      <c r="I217" s="104"/>
      <c r="J217" s="104"/>
      <c r="K217" s="104"/>
      <c r="L217" s="10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104"/>
      <c r="C218" s="3"/>
      <c r="D218" s="104"/>
      <c r="E218" s="104"/>
      <c r="F218" s="104"/>
      <c r="G218" s="104"/>
      <c r="H218" s="104"/>
      <c r="I218" s="104"/>
      <c r="J218" s="104"/>
      <c r="K218" s="104"/>
      <c r="L218" s="10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104"/>
      <c r="C219" s="3"/>
      <c r="D219" s="104"/>
      <c r="E219" s="104"/>
      <c r="F219" s="104"/>
      <c r="G219" s="104"/>
      <c r="H219" s="104"/>
      <c r="I219" s="104"/>
      <c r="J219" s="104"/>
      <c r="K219" s="104"/>
      <c r="L219" s="10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104"/>
      <c r="E220" s="104"/>
      <c r="F220" s="104"/>
      <c r="G220" s="104"/>
      <c r="H220" s="104"/>
      <c r="I220" s="104"/>
      <c r="J220" s="104"/>
      <c r="K220" s="104"/>
      <c r="L220" s="10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">
    <mergeCell ref="D1:L1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30.0"/>
    <col customWidth="1" min="3" max="3" width="20.0"/>
    <col customWidth="1" min="4" max="12" width="18.33"/>
    <col customWidth="1" min="13" max="19" width="8.33"/>
    <col customWidth="1" min="20" max="26" width="11.11"/>
  </cols>
  <sheetData>
    <row r="1" ht="18.0" customHeight="1">
      <c r="A1" s="105"/>
      <c r="B1" s="106"/>
      <c r="C1" s="105"/>
      <c r="D1" s="107">
        <v>2026.0</v>
      </c>
      <c r="E1" s="108"/>
      <c r="F1" s="108"/>
      <c r="G1" s="108"/>
      <c r="H1" s="108"/>
      <c r="I1" s="108"/>
      <c r="J1" s="108"/>
      <c r="K1" s="108"/>
      <c r="L1" s="109"/>
      <c r="M1" s="17"/>
      <c r="N1" s="17"/>
      <c r="O1" s="17"/>
      <c r="P1" s="17"/>
      <c r="Q1" s="17"/>
      <c r="R1" s="17"/>
      <c r="S1" s="17"/>
      <c r="T1" s="3"/>
      <c r="U1" s="3"/>
      <c r="V1" s="3"/>
      <c r="W1" s="3"/>
      <c r="X1" s="3"/>
      <c r="Y1" s="3"/>
      <c r="Z1" s="3"/>
    </row>
    <row r="2" ht="15.75" customHeight="1">
      <c r="A2" s="110" t="s">
        <v>72</v>
      </c>
      <c r="B2" s="106"/>
      <c r="C2" s="105"/>
      <c r="D2" s="139" t="s">
        <v>33</v>
      </c>
      <c r="E2" s="139" t="s">
        <v>34</v>
      </c>
      <c r="F2" s="139" t="s">
        <v>35</v>
      </c>
      <c r="G2" s="139" t="s">
        <v>36</v>
      </c>
      <c r="H2" s="139" t="s">
        <v>37</v>
      </c>
      <c r="I2" s="139" t="s">
        <v>38</v>
      </c>
      <c r="J2" s="139" t="s">
        <v>39</v>
      </c>
      <c r="K2" s="139" t="s">
        <v>40</v>
      </c>
      <c r="L2" s="139" t="s">
        <v>41</v>
      </c>
      <c r="M2" s="17"/>
      <c r="N2" s="17"/>
      <c r="O2" s="17"/>
      <c r="P2" s="17"/>
      <c r="Q2" s="17"/>
      <c r="R2" s="17"/>
      <c r="S2" s="17"/>
      <c r="T2" s="3"/>
      <c r="U2" s="3"/>
      <c r="V2" s="3"/>
      <c r="W2" s="3"/>
      <c r="X2" s="3"/>
      <c r="Y2" s="3"/>
      <c r="Z2" s="3"/>
    </row>
    <row r="3" ht="15.75" customHeight="1">
      <c r="A3" s="105"/>
      <c r="B3" s="106"/>
      <c r="C3" s="105"/>
      <c r="D3" s="156"/>
      <c r="E3" s="156"/>
      <c r="F3" s="156"/>
      <c r="G3" s="156"/>
      <c r="H3" s="156"/>
      <c r="I3" s="156"/>
      <c r="J3" s="156"/>
      <c r="K3" s="156"/>
      <c r="L3" s="156"/>
      <c r="M3" s="17"/>
      <c r="N3" s="17"/>
      <c r="O3" s="17"/>
      <c r="P3" s="17"/>
      <c r="Q3" s="17"/>
      <c r="R3" s="17"/>
      <c r="S3" s="17"/>
      <c r="T3" s="3"/>
      <c r="U3" s="3"/>
      <c r="V3" s="3"/>
      <c r="W3" s="3"/>
      <c r="X3" s="3"/>
      <c r="Y3" s="3"/>
      <c r="Z3" s="3"/>
    </row>
    <row r="4" ht="16.5" customHeight="1">
      <c r="A4" s="114"/>
      <c r="B4" s="115" t="s">
        <v>216</v>
      </c>
      <c r="C4" s="115">
        <f t="shared" ref="C4:C69" si="2">SUM(D4:L4)</f>
        <v>838425.69</v>
      </c>
      <c r="D4" s="116">
        <f t="shared" ref="D4:L4" si="1">SUM(D5:D135)</f>
        <v>0</v>
      </c>
      <c r="E4" s="116">
        <f t="shared" si="1"/>
        <v>196998.53</v>
      </c>
      <c r="F4" s="116">
        <f t="shared" si="1"/>
        <v>299427.16</v>
      </c>
      <c r="G4" s="116">
        <f t="shared" si="1"/>
        <v>122000</v>
      </c>
      <c r="H4" s="116">
        <f t="shared" si="1"/>
        <v>120000</v>
      </c>
      <c r="I4" s="116">
        <f t="shared" si="1"/>
        <v>0</v>
      </c>
      <c r="J4" s="116">
        <f t="shared" si="1"/>
        <v>0</v>
      </c>
      <c r="K4" s="116">
        <f t="shared" si="1"/>
        <v>100000</v>
      </c>
      <c r="L4" s="116">
        <f t="shared" si="1"/>
        <v>0</v>
      </c>
      <c r="M4" s="3"/>
      <c r="N4" s="63"/>
      <c r="O4" s="63"/>
      <c r="P4" s="63"/>
      <c r="Q4" s="63"/>
      <c r="R4" s="63"/>
      <c r="S4" s="63"/>
      <c r="T4" s="3"/>
      <c r="U4" s="3"/>
      <c r="V4" s="3"/>
      <c r="W4" s="3"/>
      <c r="X4" s="3"/>
      <c r="Y4" s="3"/>
      <c r="Z4" s="3"/>
    </row>
    <row r="5" ht="16.5" customHeight="1">
      <c r="A5" s="132">
        <v>651101.0</v>
      </c>
      <c r="B5" s="133" t="s">
        <v>217</v>
      </c>
      <c r="C5" s="119">
        <f t="shared" si="2"/>
        <v>568425.69</v>
      </c>
      <c r="D5" s="123"/>
      <c r="E5" s="123">
        <v>146998.53</v>
      </c>
      <c r="F5" s="123">
        <v>299427.16</v>
      </c>
      <c r="G5" s="123">
        <v>122000.0</v>
      </c>
      <c r="H5" s="123"/>
      <c r="I5" s="123"/>
      <c r="J5" s="123"/>
      <c r="K5" s="123"/>
      <c r="L5" s="12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32">
        <v>651101.0</v>
      </c>
      <c r="B6" s="134" t="s">
        <v>218</v>
      </c>
      <c r="C6" s="125">
        <f t="shared" si="2"/>
        <v>120000</v>
      </c>
      <c r="D6" s="128"/>
      <c r="E6" s="128"/>
      <c r="F6" s="128"/>
      <c r="G6" s="128"/>
      <c r="H6" s="128">
        <v>120000.0</v>
      </c>
      <c r="I6" s="128"/>
      <c r="J6" s="128"/>
      <c r="K6" s="128"/>
      <c r="L6" s="12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32">
        <v>651101.0</v>
      </c>
      <c r="B7" s="134" t="s">
        <v>219</v>
      </c>
      <c r="C7" s="125">
        <f t="shared" si="2"/>
        <v>150000</v>
      </c>
      <c r="D7" s="128"/>
      <c r="E7" s="127">
        <v>50000.0</v>
      </c>
      <c r="F7" s="128"/>
      <c r="G7" s="128"/>
      <c r="H7" s="128"/>
      <c r="I7" s="128"/>
      <c r="J7" s="128"/>
      <c r="K7" s="128">
        <v>100000.0</v>
      </c>
      <c r="L7" s="12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32"/>
      <c r="B8" s="134"/>
      <c r="C8" s="125">
        <f t="shared" si="2"/>
        <v>0</v>
      </c>
      <c r="D8" s="128"/>
      <c r="E8" s="128"/>
      <c r="F8" s="128"/>
      <c r="G8" s="128"/>
      <c r="H8" s="128"/>
      <c r="I8" s="128"/>
      <c r="J8" s="128"/>
      <c r="K8" s="128"/>
      <c r="L8" s="12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32"/>
      <c r="B9" s="137"/>
      <c r="C9" s="125">
        <f t="shared" si="2"/>
        <v>0</v>
      </c>
      <c r="D9" s="128"/>
      <c r="E9" s="128"/>
      <c r="F9" s="128"/>
      <c r="G9" s="128"/>
      <c r="H9" s="128"/>
      <c r="I9" s="128"/>
      <c r="J9" s="128"/>
      <c r="K9" s="128"/>
      <c r="L9" s="12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32"/>
      <c r="B10" s="137"/>
      <c r="C10" s="125">
        <f t="shared" si="2"/>
        <v>0</v>
      </c>
      <c r="D10" s="128"/>
      <c r="E10" s="128"/>
      <c r="F10" s="128"/>
      <c r="G10" s="128"/>
      <c r="H10" s="128"/>
      <c r="I10" s="128"/>
      <c r="J10" s="128"/>
      <c r="K10" s="128"/>
      <c r="L10" s="12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32"/>
      <c r="B11" s="137"/>
      <c r="C11" s="125">
        <f t="shared" si="2"/>
        <v>0</v>
      </c>
      <c r="D11" s="128"/>
      <c r="E11" s="128"/>
      <c r="F11" s="128"/>
      <c r="G11" s="128"/>
      <c r="H11" s="128"/>
      <c r="I11" s="128"/>
      <c r="J11" s="128"/>
      <c r="K11" s="128"/>
      <c r="L11" s="12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2"/>
      <c r="B12" s="137"/>
      <c r="C12" s="125">
        <f t="shared" si="2"/>
        <v>0</v>
      </c>
      <c r="D12" s="128"/>
      <c r="E12" s="128"/>
      <c r="F12" s="128"/>
      <c r="G12" s="128"/>
      <c r="H12" s="128"/>
      <c r="I12" s="128"/>
      <c r="J12" s="128"/>
      <c r="K12" s="128"/>
      <c r="L12" s="12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32"/>
      <c r="B13" s="137"/>
      <c r="C13" s="125">
        <f t="shared" si="2"/>
        <v>0</v>
      </c>
      <c r="D13" s="128"/>
      <c r="E13" s="128"/>
      <c r="F13" s="128"/>
      <c r="G13" s="128"/>
      <c r="H13" s="128"/>
      <c r="I13" s="128"/>
      <c r="J13" s="128"/>
      <c r="K13" s="128"/>
      <c r="L13" s="12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32"/>
      <c r="B14" s="137"/>
      <c r="C14" s="125">
        <f t="shared" si="2"/>
        <v>0</v>
      </c>
      <c r="D14" s="128"/>
      <c r="E14" s="128"/>
      <c r="F14" s="128"/>
      <c r="G14" s="128"/>
      <c r="H14" s="128"/>
      <c r="I14" s="128"/>
      <c r="J14" s="128"/>
      <c r="K14" s="128"/>
      <c r="L14" s="12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32"/>
      <c r="B15" s="137"/>
      <c r="C15" s="125">
        <f t="shared" si="2"/>
        <v>0</v>
      </c>
      <c r="D15" s="128"/>
      <c r="E15" s="128"/>
      <c r="F15" s="128"/>
      <c r="G15" s="128"/>
      <c r="H15" s="128"/>
      <c r="I15" s="128"/>
      <c r="J15" s="128"/>
      <c r="K15" s="128"/>
      <c r="L15" s="12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32"/>
      <c r="B16" s="137"/>
      <c r="C16" s="125">
        <f t="shared" si="2"/>
        <v>0</v>
      </c>
      <c r="D16" s="128"/>
      <c r="E16" s="128"/>
      <c r="F16" s="128"/>
      <c r="G16" s="128"/>
      <c r="H16" s="128"/>
      <c r="I16" s="128"/>
      <c r="J16" s="128"/>
      <c r="K16" s="128"/>
      <c r="L16" s="12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32"/>
      <c r="B17" s="137"/>
      <c r="C17" s="125">
        <f t="shared" si="2"/>
        <v>0</v>
      </c>
      <c r="D17" s="128"/>
      <c r="E17" s="128"/>
      <c r="F17" s="128"/>
      <c r="G17" s="128"/>
      <c r="H17" s="128"/>
      <c r="I17" s="128"/>
      <c r="J17" s="128"/>
      <c r="K17" s="128"/>
      <c r="L17" s="12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32"/>
      <c r="B18" s="137"/>
      <c r="C18" s="125">
        <f t="shared" si="2"/>
        <v>0</v>
      </c>
      <c r="D18" s="128"/>
      <c r="E18" s="128"/>
      <c r="F18" s="128"/>
      <c r="G18" s="128"/>
      <c r="H18" s="128"/>
      <c r="I18" s="128"/>
      <c r="J18" s="128"/>
      <c r="K18" s="128"/>
      <c r="L18" s="12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32"/>
      <c r="B19" s="137"/>
      <c r="C19" s="125">
        <f t="shared" si="2"/>
        <v>0</v>
      </c>
      <c r="D19" s="128"/>
      <c r="E19" s="128"/>
      <c r="F19" s="128"/>
      <c r="G19" s="128"/>
      <c r="H19" s="128"/>
      <c r="I19" s="128"/>
      <c r="J19" s="128"/>
      <c r="K19" s="128"/>
      <c r="L19" s="12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32"/>
      <c r="B20" s="137"/>
      <c r="C20" s="125">
        <f t="shared" si="2"/>
        <v>0</v>
      </c>
      <c r="D20" s="128"/>
      <c r="E20" s="128"/>
      <c r="F20" s="128"/>
      <c r="G20" s="128"/>
      <c r="H20" s="128"/>
      <c r="I20" s="128"/>
      <c r="J20" s="128"/>
      <c r="K20" s="128"/>
      <c r="L20" s="12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2"/>
      <c r="B21" s="137"/>
      <c r="C21" s="125">
        <f t="shared" si="2"/>
        <v>0</v>
      </c>
      <c r="D21" s="128"/>
      <c r="E21" s="128"/>
      <c r="F21" s="128"/>
      <c r="G21" s="128"/>
      <c r="H21" s="128"/>
      <c r="I21" s="128"/>
      <c r="J21" s="128"/>
      <c r="K21" s="128"/>
      <c r="L21" s="12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2"/>
      <c r="B22" s="137"/>
      <c r="C22" s="125">
        <f t="shared" si="2"/>
        <v>0</v>
      </c>
      <c r="D22" s="128"/>
      <c r="E22" s="128"/>
      <c r="F22" s="128"/>
      <c r="G22" s="128"/>
      <c r="H22" s="128"/>
      <c r="I22" s="128"/>
      <c r="J22" s="128"/>
      <c r="K22" s="128"/>
      <c r="L22" s="12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32"/>
      <c r="B23" s="137"/>
      <c r="C23" s="125">
        <f t="shared" si="2"/>
        <v>0</v>
      </c>
      <c r="D23" s="128"/>
      <c r="E23" s="128"/>
      <c r="F23" s="128"/>
      <c r="G23" s="128"/>
      <c r="H23" s="128"/>
      <c r="I23" s="128"/>
      <c r="J23" s="128"/>
      <c r="K23" s="128"/>
      <c r="L23" s="12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2"/>
      <c r="B24" s="137"/>
      <c r="C24" s="125">
        <f t="shared" si="2"/>
        <v>0</v>
      </c>
      <c r="D24" s="128"/>
      <c r="E24" s="128"/>
      <c r="F24" s="128"/>
      <c r="G24" s="128"/>
      <c r="H24" s="128"/>
      <c r="I24" s="128"/>
      <c r="J24" s="128"/>
      <c r="K24" s="128"/>
      <c r="L24" s="12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2"/>
      <c r="B25" s="137"/>
      <c r="C25" s="125">
        <f t="shared" si="2"/>
        <v>0</v>
      </c>
      <c r="D25" s="128"/>
      <c r="E25" s="128"/>
      <c r="F25" s="128"/>
      <c r="G25" s="128"/>
      <c r="H25" s="128"/>
      <c r="I25" s="128"/>
      <c r="J25" s="128"/>
      <c r="K25" s="128"/>
      <c r="L25" s="12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2"/>
      <c r="B26" s="137"/>
      <c r="C26" s="125">
        <f t="shared" si="2"/>
        <v>0</v>
      </c>
      <c r="D26" s="128"/>
      <c r="E26" s="128"/>
      <c r="F26" s="128"/>
      <c r="G26" s="128"/>
      <c r="H26" s="128"/>
      <c r="I26" s="128"/>
      <c r="J26" s="128"/>
      <c r="K26" s="128"/>
      <c r="L26" s="12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2"/>
      <c r="B27" s="137"/>
      <c r="C27" s="125">
        <f t="shared" si="2"/>
        <v>0</v>
      </c>
      <c r="D27" s="128"/>
      <c r="E27" s="128"/>
      <c r="F27" s="128"/>
      <c r="G27" s="128"/>
      <c r="H27" s="128"/>
      <c r="I27" s="128"/>
      <c r="J27" s="128"/>
      <c r="K27" s="128"/>
      <c r="L27" s="12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2"/>
      <c r="B28" s="137"/>
      <c r="C28" s="125">
        <f t="shared" si="2"/>
        <v>0</v>
      </c>
      <c r="D28" s="128"/>
      <c r="E28" s="128"/>
      <c r="F28" s="128"/>
      <c r="G28" s="128"/>
      <c r="H28" s="128"/>
      <c r="I28" s="128"/>
      <c r="J28" s="128"/>
      <c r="K28" s="128"/>
      <c r="L28" s="12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2"/>
      <c r="B29" s="137"/>
      <c r="C29" s="125">
        <f t="shared" si="2"/>
        <v>0</v>
      </c>
      <c r="D29" s="128"/>
      <c r="E29" s="128"/>
      <c r="F29" s="128"/>
      <c r="G29" s="128"/>
      <c r="H29" s="128"/>
      <c r="I29" s="128"/>
      <c r="J29" s="128"/>
      <c r="K29" s="128"/>
      <c r="L29" s="12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32"/>
      <c r="B30" s="137"/>
      <c r="C30" s="125">
        <f t="shared" si="2"/>
        <v>0</v>
      </c>
      <c r="D30" s="128"/>
      <c r="E30" s="128"/>
      <c r="F30" s="128"/>
      <c r="G30" s="128"/>
      <c r="H30" s="128"/>
      <c r="I30" s="128"/>
      <c r="J30" s="128"/>
      <c r="K30" s="128"/>
      <c r="L30" s="12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2"/>
      <c r="B31" s="137"/>
      <c r="C31" s="125">
        <f t="shared" si="2"/>
        <v>0</v>
      </c>
      <c r="D31" s="128"/>
      <c r="E31" s="128"/>
      <c r="F31" s="128"/>
      <c r="G31" s="128"/>
      <c r="H31" s="128"/>
      <c r="I31" s="128"/>
      <c r="J31" s="128"/>
      <c r="K31" s="128"/>
      <c r="L31" s="12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32"/>
      <c r="B32" s="137"/>
      <c r="C32" s="125">
        <f t="shared" si="2"/>
        <v>0</v>
      </c>
      <c r="D32" s="128"/>
      <c r="E32" s="128"/>
      <c r="F32" s="128"/>
      <c r="G32" s="128"/>
      <c r="H32" s="128"/>
      <c r="I32" s="128"/>
      <c r="J32" s="128"/>
      <c r="K32" s="128"/>
      <c r="L32" s="12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2"/>
      <c r="B33" s="137"/>
      <c r="C33" s="125">
        <f t="shared" si="2"/>
        <v>0</v>
      </c>
      <c r="D33" s="128"/>
      <c r="E33" s="128"/>
      <c r="F33" s="128"/>
      <c r="G33" s="128"/>
      <c r="H33" s="128"/>
      <c r="I33" s="128"/>
      <c r="J33" s="128"/>
      <c r="K33" s="128"/>
      <c r="L33" s="12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2"/>
      <c r="B34" s="137"/>
      <c r="C34" s="125">
        <f t="shared" si="2"/>
        <v>0</v>
      </c>
      <c r="D34" s="128"/>
      <c r="E34" s="128"/>
      <c r="F34" s="128"/>
      <c r="G34" s="128"/>
      <c r="H34" s="128"/>
      <c r="I34" s="128"/>
      <c r="J34" s="128"/>
      <c r="K34" s="128"/>
      <c r="L34" s="12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32"/>
      <c r="B35" s="137"/>
      <c r="C35" s="125">
        <f t="shared" si="2"/>
        <v>0</v>
      </c>
      <c r="D35" s="128"/>
      <c r="E35" s="128"/>
      <c r="F35" s="128"/>
      <c r="G35" s="128"/>
      <c r="H35" s="128"/>
      <c r="I35" s="128"/>
      <c r="J35" s="128"/>
      <c r="K35" s="128"/>
      <c r="L35" s="12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32"/>
      <c r="B36" s="137"/>
      <c r="C36" s="125">
        <f t="shared" si="2"/>
        <v>0</v>
      </c>
      <c r="D36" s="128"/>
      <c r="E36" s="128"/>
      <c r="F36" s="128"/>
      <c r="G36" s="128"/>
      <c r="H36" s="128"/>
      <c r="I36" s="128"/>
      <c r="J36" s="128"/>
      <c r="K36" s="128"/>
      <c r="L36" s="12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32"/>
      <c r="B37" s="137"/>
      <c r="C37" s="125">
        <f t="shared" si="2"/>
        <v>0</v>
      </c>
      <c r="D37" s="128"/>
      <c r="E37" s="128"/>
      <c r="F37" s="128"/>
      <c r="G37" s="128"/>
      <c r="H37" s="128"/>
      <c r="I37" s="128"/>
      <c r="J37" s="128"/>
      <c r="K37" s="128"/>
      <c r="L37" s="12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2"/>
      <c r="B38" s="137"/>
      <c r="C38" s="125">
        <f t="shared" si="2"/>
        <v>0</v>
      </c>
      <c r="D38" s="128"/>
      <c r="E38" s="128"/>
      <c r="F38" s="128"/>
      <c r="G38" s="128"/>
      <c r="H38" s="128"/>
      <c r="I38" s="128"/>
      <c r="J38" s="128"/>
      <c r="K38" s="128"/>
      <c r="L38" s="12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32"/>
      <c r="B39" s="137"/>
      <c r="C39" s="125">
        <f t="shared" si="2"/>
        <v>0</v>
      </c>
      <c r="D39" s="128"/>
      <c r="E39" s="128"/>
      <c r="F39" s="128"/>
      <c r="G39" s="128"/>
      <c r="H39" s="128"/>
      <c r="I39" s="128"/>
      <c r="J39" s="128"/>
      <c r="K39" s="128"/>
      <c r="L39" s="12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32"/>
      <c r="B40" s="137"/>
      <c r="C40" s="125">
        <f t="shared" si="2"/>
        <v>0</v>
      </c>
      <c r="D40" s="128"/>
      <c r="E40" s="128"/>
      <c r="F40" s="128"/>
      <c r="G40" s="128"/>
      <c r="H40" s="128"/>
      <c r="I40" s="128"/>
      <c r="J40" s="128"/>
      <c r="K40" s="128"/>
      <c r="L40" s="12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32"/>
      <c r="B41" s="137"/>
      <c r="C41" s="125">
        <f t="shared" si="2"/>
        <v>0</v>
      </c>
      <c r="D41" s="128"/>
      <c r="E41" s="128"/>
      <c r="F41" s="128"/>
      <c r="G41" s="128"/>
      <c r="H41" s="128"/>
      <c r="I41" s="128"/>
      <c r="J41" s="128"/>
      <c r="K41" s="128"/>
      <c r="L41" s="12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32"/>
      <c r="B42" s="137"/>
      <c r="C42" s="125">
        <f t="shared" si="2"/>
        <v>0</v>
      </c>
      <c r="D42" s="128"/>
      <c r="E42" s="128"/>
      <c r="F42" s="128"/>
      <c r="G42" s="128"/>
      <c r="H42" s="128"/>
      <c r="I42" s="128"/>
      <c r="J42" s="128"/>
      <c r="K42" s="128"/>
      <c r="L42" s="12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32"/>
      <c r="B43" s="137"/>
      <c r="C43" s="125">
        <f t="shared" si="2"/>
        <v>0</v>
      </c>
      <c r="D43" s="128"/>
      <c r="E43" s="128"/>
      <c r="F43" s="128"/>
      <c r="G43" s="128"/>
      <c r="H43" s="128"/>
      <c r="I43" s="128"/>
      <c r="J43" s="128"/>
      <c r="K43" s="128"/>
      <c r="L43" s="12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32"/>
      <c r="B44" s="137"/>
      <c r="C44" s="125">
        <f t="shared" si="2"/>
        <v>0</v>
      </c>
      <c r="D44" s="128"/>
      <c r="E44" s="128"/>
      <c r="F44" s="128"/>
      <c r="G44" s="128"/>
      <c r="H44" s="128"/>
      <c r="I44" s="128"/>
      <c r="J44" s="128"/>
      <c r="K44" s="128"/>
      <c r="L44" s="12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32"/>
      <c r="B45" s="137"/>
      <c r="C45" s="125">
        <f t="shared" si="2"/>
        <v>0</v>
      </c>
      <c r="D45" s="128"/>
      <c r="E45" s="128"/>
      <c r="F45" s="128"/>
      <c r="G45" s="128"/>
      <c r="H45" s="128"/>
      <c r="I45" s="128"/>
      <c r="J45" s="128"/>
      <c r="K45" s="128"/>
      <c r="L45" s="12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32"/>
      <c r="B46" s="137"/>
      <c r="C46" s="125">
        <f t="shared" si="2"/>
        <v>0</v>
      </c>
      <c r="D46" s="128"/>
      <c r="E46" s="128"/>
      <c r="F46" s="128"/>
      <c r="G46" s="128"/>
      <c r="H46" s="128"/>
      <c r="I46" s="128"/>
      <c r="J46" s="128"/>
      <c r="K46" s="128"/>
      <c r="L46" s="12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32"/>
      <c r="B47" s="137"/>
      <c r="C47" s="125">
        <f t="shared" si="2"/>
        <v>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32"/>
      <c r="B48" s="137"/>
      <c r="C48" s="125">
        <f t="shared" si="2"/>
        <v>0</v>
      </c>
      <c r="D48" s="128"/>
      <c r="E48" s="128"/>
      <c r="F48" s="128"/>
      <c r="G48" s="128"/>
      <c r="H48" s="128"/>
      <c r="I48" s="128"/>
      <c r="J48" s="128"/>
      <c r="K48" s="128"/>
      <c r="L48" s="12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32"/>
      <c r="B49" s="137"/>
      <c r="C49" s="125">
        <f t="shared" si="2"/>
        <v>0</v>
      </c>
      <c r="D49" s="128"/>
      <c r="E49" s="128"/>
      <c r="F49" s="128"/>
      <c r="G49" s="128"/>
      <c r="H49" s="128"/>
      <c r="I49" s="128"/>
      <c r="J49" s="128"/>
      <c r="K49" s="128"/>
      <c r="L49" s="12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32"/>
      <c r="B50" s="137"/>
      <c r="C50" s="125">
        <f t="shared" si="2"/>
        <v>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32"/>
      <c r="B51" s="137"/>
      <c r="C51" s="125">
        <f t="shared" si="2"/>
        <v>0</v>
      </c>
      <c r="D51" s="128"/>
      <c r="E51" s="128"/>
      <c r="F51" s="128"/>
      <c r="G51" s="128"/>
      <c r="H51" s="128"/>
      <c r="I51" s="128"/>
      <c r="J51" s="128"/>
      <c r="K51" s="128"/>
      <c r="L51" s="12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32"/>
      <c r="B52" s="137"/>
      <c r="C52" s="125">
        <f t="shared" si="2"/>
        <v>0</v>
      </c>
      <c r="D52" s="128"/>
      <c r="E52" s="128"/>
      <c r="F52" s="128"/>
      <c r="G52" s="128"/>
      <c r="H52" s="128"/>
      <c r="I52" s="128"/>
      <c r="J52" s="128"/>
      <c r="K52" s="128"/>
      <c r="L52" s="12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32"/>
      <c r="B53" s="137"/>
      <c r="C53" s="125">
        <f t="shared" si="2"/>
        <v>0</v>
      </c>
      <c r="D53" s="128"/>
      <c r="E53" s="128"/>
      <c r="F53" s="128"/>
      <c r="G53" s="128"/>
      <c r="H53" s="128"/>
      <c r="I53" s="128"/>
      <c r="J53" s="128"/>
      <c r="K53" s="128"/>
      <c r="L53" s="12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32"/>
      <c r="B54" s="137"/>
      <c r="C54" s="125">
        <f t="shared" si="2"/>
        <v>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32"/>
      <c r="B55" s="137"/>
      <c r="C55" s="125">
        <f t="shared" si="2"/>
        <v>0</v>
      </c>
      <c r="D55" s="128"/>
      <c r="E55" s="128"/>
      <c r="F55" s="128"/>
      <c r="G55" s="128"/>
      <c r="H55" s="128"/>
      <c r="I55" s="128"/>
      <c r="J55" s="128"/>
      <c r="K55" s="128"/>
      <c r="L55" s="12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32"/>
      <c r="B56" s="137"/>
      <c r="C56" s="125">
        <f t="shared" si="2"/>
        <v>0</v>
      </c>
      <c r="D56" s="128"/>
      <c r="E56" s="128"/>
      <c r="F56" s="128"/>
      <c r="G56" s="128"/>
      <c r="H56" s="128"/>
      <c r="I56" s="128"/>
      <c r="J56" s="128"/>
      <c r="K56" s="128"/>
      <c r="L56" s="12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32"/>
      <c r="B57" s="137"/>
      <c r="C57" s="125">
        <f t="shared" si="2"/>
        <v>0</v>
      </c>
      <c r="D57" s="128"/>
      <c r="E57" s="128"/>
      <c r="F57" s="128"/>
      <c r="G57" s="128"/>
      <c r="H57" s="128"/>
      <c r="I57" s="128"/>
      <c r="J57" s="128"/>
      <c r="K57" s="128"/>
      <c r="L57" s="12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32"/>
      <c r="B58" s="137"/>
      <c r="C58" s="125">
        <f t="shared" si="2"/>
        <v>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32"/>
      <c r="B59" s="137"/>
      <c r="C59" s="125">
        <f t="shared" si="2"/>
        <v>0</v>
      </c>
      <c r="D59" s="128"/>
      <c r="E59" s="128"/>
      <c r="F59" s="128"/>
      <c r="G59" s="128"/>
      <c r="H59" s="128"/>
      <c r="I59" s="128"/>
      <c r="J59" s="128"/>
      <c r="K59" s="128"/>
      <c r="L59" s="12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32"/>
      <c r="B60" s="137"/>
      <c r="C60" s="125">
        <f t="shared" si="2"/>
        <v>0</v>
      </c>
      <c r="D60" s="128"/>
      <c r="E60" s="128"/>
      <c r="F60" s="128"/>
      <c r="G60" s="128"/>
      <c r="H60" s="128"/>
      <c r="I60" s="128"/>
      <c r="J60" s="128"/>
      <c r="K60" s="128"/>
      <c r="L60" s="12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32"/>
      <c r="B61" s="137"/>
      <c r="C61" s="125">
        <f t="shared" si="2"/>
        <v>0</v>
      </c>
      <c r="D61" s="128"/>
      <c r="E61" s="128"/>
      <c r="F61" s="128"/>
      <c r="G61" s="128"/>
      <c r="H61" s="128"/>
      <c r="I61" s="128"/>
      <c r="J61" s="128"/>
      <c r="K61" s="128"/>
      <c r="L61" s="12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32"/>
      <c r="B62" s="137"/>
      <c r="C62" s="125">
        <f t="shared" si="2"/>
        <v>0</v>
      </c>
      <c r="D62" s="128"/>
      <c r="E62" s="128"/>
      <c r="F62" s="128"/>
      <c r="G62" s="128"/>
      <c r="H62" s="128"/>
      <c r="I62" s="128"/>
      <c r="J62" s="128"/>
      <c r="K62" s="128"/>
      <c r="L62" s="12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32"/>
      <c r="B63" s="137"/>
      <c r="C63" s="125">
        <f t="shared" si="2"/>
        <v>0</v>
      </c>
      <c r="D63" s="128"/>
      <c r="E63" s="128"/>
      <c r="F63" s="128"/>
      <c r="G63" s="128"/>
      <c r="H63" s="128"/>
      <c r="I63" s="128"/>
      <c r="J63" s="128"/>
      <c r="K63" s="128"/>
      <c r="L63" s="12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32"/>
      <c r="B64" s="137"/>
      <c r="C64" s="125">
        <f t="shared" si="2"/>
        <v>0</v>
      </c>
      <c r="D64" s="128"/>
      <c r="E64" s="128"/>
      <c r="F64" s="128"/>
      <c r="G64" s="128"/>
      <c r="H64" s="128"/>
      <c r="I64" s="128"/>
      <c r="J64" s="128"/>
      <c r="K64" s="128"/>
      <c r="L64" s="12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32"/>
      <c r="B65" s="137"/>
      <c r="C65" s="125">
        <f t="shared" si="2"/>
        <v>0</v>
      </c>
      <c r="D65" s="128"/>
      <c r="E65" s="128"/>
      <c r="F65" s="128"/>
      <c r="G65" s="128"/>
      <c r="H65" s="128"/>
      <c r="I65" s="128"/>
      <c r="J65" s="128"/>
      <c r="K65" s="128"/>
      <c r="L65" s="12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32"/>
      <c r="B66" s="137"/>
      <c r="C66" s="125">
        <f t="shared" si="2"/>
        <v>0</v>
      </c>
      <c r="D66" s="128"/>
      <c r="E66" s="128"/>
      <c r="F66" s="128"/>
      <c r="G66" s="128"/>
      <c r="H66" s="128"/>
      <c r="I66" s="128"/>
      <c r="J66" s="128"/>
      <c r="K66" s="128"/>
      <c r="L66" s="12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32"/>
      <c r="B67" s="137"/>
      <c r="C67" s="125">
        <f t="shared" si="2"/>
        <v>0</v>
      </c>
      <c r="D67" s="128"/>
      <c r="E67" s="128"/>
      <c r="F67" s="128"/>
      <c r="G67" s="128"/>
      <c r="H67" s="128"/>
      <c r="I67" s="128"/>
      <c r="J67" s="128"/>
      <c r="K67" s="128"/>
      <c r="L67" s="12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32"/>
      <c r="B68" s="137"/>
      <c r="C68" s="125">
        <f t="shared" si="2"/>
        <v>0</v>
      </c>
      <c r="D68" s="128"/>
      <c r="E68" s="128"/>
      <c r="F68" s="128"/>
      <c r="G68" s="128"/>
      <c r="H68" s="128"/>
      <c r="I68" s="128"/>
      <c r="J68" s="128"/>
      <c r="K68" s="128"/>
      <c r="L68" s="12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32"/>
      <c r="B69" s="138"/>
      <c r="C69" s="125">
        <f t="shared" si="2"/>
        <v>0</v>
      </c>
      <c r="D69" s="128"/>
      <c r="E69" s="128"/>
      <c r="F69" s="128"/>
      <c r="G69" s="128"/>
      <c r="H69" s="128"/>
      <c r="I69" s="128"/>
      <c r="J69" s="128"/>
      <c r="K69" s="128"/>
      <c r="L69" s="128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04"/>
      <c r="C70" s="3"/>
      <c r="D70" s="104"/>
      <c r="E70" s="104"/>
      <c r="F70" s="104"/>
      <c r="G70" s="104"/>
      <c r="H70" s="104"/>
      <c r="I70" s="104"/>
      <c r="J70" s="104"/>
      <c r="K70" s="104"/>
      <c r="L70" s="10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04"/>
      <c r="C71" s="3"/>
      <c r="D71" s="104"/>
      <c r="E71" s="104"/>
      <c r="F71" s="104"/>
      <c r="G71" s="104"/>
      <c r="H71" s="104"/>
      <c r="I71" s="104"/>
      <c r="J71" s="104"/>
      <c r="K71" s="104"/>
      <c r="L71" s="10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04"/>
      <c r="C72" s="3"/>
      <c r="D72" s="104"/>
      <c r="E72" s="104"/>
      <c r="F72" s="104"/>
      <c r="G72" s="104"/>
      <c r="H72" s="104"/>
      <c r="I72" s="104"/>
      <c r="J72" s="104"/>
      <c r="K72" s="104"/>
      <c r="L72" s="10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04"/>
      <c r="C73" s="3"/>
      <c r="D73" s="104"/>
      <c r="E73" s="104"/>
      <c r="F73" s="104"/>
      <c r="G73" s="104"/>
      <c r="H73" s="104"/>
      <c r="I73" s="104"/>
      <c r="J73" s="104"/>
      <c r="K73" s="104"/>
      <c r="L73" s="10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04"/>
      <c r="C74" s="3"/>
      <c r="D74" s="104"/>
      <c r="E74" s="104"/>
      <c r="F74" s="104"/>
      <c r="G74" s="104"/>
      <c r="H74" s="104"/>
      <c r="I74" s="104"/>
      <c r="J74" s="104"/>
      <c r="K74" s="104"/>
      <c r="L74" s="10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04"/>
      <c r="C75" s="3"/>
      <c r="D75" s="104"/>
      <c r="E75" s="104"/>
      <c r="F75" s="104"/>
      <c r="G75" s="104"/>
      <c r="H75" s="104"/>
      <c r="I75" s="104"/>
      <c r="J75" s="104"/>
      <c r="K75" s="104"/>
      <c r="L75" s="10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04"/>
      <c r="C76" s="3"/>
      <c r="D76" s="104"/>
      <c r="E76" s="104"/>
      <c r="F76" s="104"/>
      <c r="G76" s="104"/>
      <c r="H76" s="104"/>
      <c r="I76" s="104"/>
      <c r="J76" s="104"/>
      <c r="K76" s="104"/>
      <c r="L76" s="10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04"/>
      <c r="C77" s="3"/>
      <c r="D77" s="104"/>
      <c r="E77" s="104"/>
      <c r="F77" s="104"/>
      <c r="G77" s="104"/>
      <c r="H77" s="104"/>
      <c r="I77" s="104"/>
      <c r="J77" s="104"/>
      <c r="K77" s="104"/>
      <c r="L77" s="10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04"/>
      <c r="C78" s="3"/>
      <c r="D78" s="104"/>
      <c r="E78" s="104"/>
      <c r="F78" s="104"/>
      <c r="G78" s="104"/>
      <c r="H78" s="104"/>
      <c r="I78" s="104"/>
      <c r="J78" s="104"/>
      <c r="K78" s="104"/>
      <c r="L78" s="10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04"/>
      <c r="C79" s="3"/>
      <c r="D79" s="104"/>
      <c r="E79" s="104"/>
      <c r="F79" s="104"/>
      <c r="G79" s="104"/>
      <c r="H79" s="104"/>
      <c r="I79" s="104"/>
      <c r="J79" s="104"/>
      <c r="K79" s="104"/>
      <c r="L79" s="10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04"/>
      <c r="C80" s="3"/>
      <c r="D80" s="104"/>
      <c r="E80" s="104"/>
      <c r="F80" s="104"/>
      <c r="G80" s="104"/>
      <c r="H80" s="104"/>
      <c r="I80" s="104"/>
      <c r="J80" s="104"/>
      <c r="K80" s="104"/>
      <c r="L80" s="10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04"/>
      <c r="C81" s="3"/>
      <c r="D81" s="104"/>
      <c r="E81" s="104"/>
      <c r="F81" s="104"/>
      <c r="G81" s="104"/>
      <c r="H81" s="104"/>
      <c r="I81" s="104"/>
      <c r="J81" s="104"/>
      <c r="K81" s="104"/>
      <c r="L81" s="10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04"/>
      <c r="C82" s="3"/>
      <c r="D82" s="104"/>
      <c r="E82" s="104"/>
      <c r="F82" s="104"/>
      <c r="G82" s="104"/>
      <c r="H82" s="104"/>
      <c r="I82" s="104"/>
      <c r="J82" s="104"/>
      <c r="K82" s="104"/>
      <c r="L82" s="10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04"/>
      <c r="C83" s="3"/>
      <c r="D83" s="104"/>
      <c r="E83" s="104"/>
      <c r="F83" s="104"/>
      <c r="G83" s="104"/>
      <c r="H83" s="104"/>
      <c r="I83" s="104"/>
      <c r="J83" s="104"/>
      <c r="K83" s="104"/>
      <c r="L83" s="10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04"/>
      <c r="C84" s="3"/>
      <c r="D84" s="104"/>
      <c r="E84" s="104"/>
      <c r="F84" s="104"/>
      <c r="G84" s="104"/>
      <c r="H84" s="104"/>
      <c r="I84" s="104"/>
      <c r="J84" s="104"/>
      <c r="K84" s="104"/>
      <c r="L84" s="10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04"/>
      <c r="C85" s="3"/>
      <c r="D85" s="104"/>
      <c r="E85" s="104"/>
      <c r="F85" s="104"/>
      <c r="G85" s="104"/>
      <c r="H85" s="104"/>
      <c r="I85" s="104"/>
      <c r="J85" s="104"/>
      <c r="K85" s="104"/>
      <c r="L85" s="10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04"/>
      <c r="C86" s="3"/>
      <c r="D86" s="104"/>
      <c r="E86" s="104"/>
      <c r="F86" s="104"/>
      <c r="G86" s="104"/>
      <c r="H86" s="104"/>
      <c r="I86" s="104"/>
      <c r="J86" s="104"/>
      <c r="K86" s="104"/>
      <c r="L86" s="10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04"/>
      <c r="C87" s="3"/>
      <c r="D87" s="104"/>
      <c r="E87" s="104"/>
      <c r="F87" s="104"/>
      <c r="G87" s="104"/>
      <c r="H87" s="104"/>
      <c r="I87" s="104"/>
      <c r="J87" s="104"/>
      <c r="K87" s="104"/>
      <c r="L87" s="10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04"/>
      <c r="C88" s="3"/>
      <c r="D88" s="104"/>
      <c r="E88" s="104"/>
      <c r="F88" s="104"/>
      <c r="G88" s="104"/>
      <c r="H88" s="104"/>
      <c r="I88" s="104"/>
      <c r="J88" s="104"/>
      <c r="K88" s="104"/>
      <c r="L88" s="10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04"/>
      <c r="C89" s="3"/>
      <c r="D89" s="104"/>
      <c r="E89" s="104"/>
      <c r="F89" s="104"/>
      <c r="G89" s="104"/>
      <c r="H89" s="104"/>
      <c r="I89" s="104"/>
      <c r="J89" s="104"/>
      <c r="K89" s="104"/>
      <c r="L89" s="10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04"/>
      <c r="C90" s="3"/>
      <c r="D90" s="104"/>
      <c r="E90" s="104"/>
      <c r="F90" s="104"/>
      <c r="G90" s="104"/>
      <c r="H90" s="104"/>
      <c r="I90" s="104"/>
      <c r="J90" s="104"/>
      <c r="K90" s="104"/>
      <c r="L90" s="10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04"/>
      <c r="C91" s="3"/>
      <c r="D91" s="104"/>
      <c r="E91" s="104"/>
      <c r="F91" s="104"/>
      <c r="G91" s="104"/>
      <c r="H91" s="104"/>
      <c r="I91" s="104"/>
      <c r="J91" s="104"/>
      <c r="K91" s="104"/>
      <c r="L91" s="10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04"/>
      <c r="C92" s="3"/>
      <c r="D92" s="104"/>
      <c r="E92" s="104"/>
      <c r="F92" s="104"/>
      <c r="G92" s="104"/>
      <c r="H92" s="104"/>
      <c r="I92" s="104"/>
      <c r="J92" s="104"/>
      <c r="K92" s="104"/>
      <c r="L92" s="10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04"/>
      <c r="C93" s="3"/>
      <c r="D93" s="104"/>
      <c r="E93" s="104"/>
      <c r="F93" s="104"/>
      <c r="G93" s="104"/>
      <c r="H93" s="104"/>
      <c r="I93" s="104"/>
      <c r="J93" s="104"/>
      <c r="K93" s="104"/>
      <c r="L93" s="10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04"/>
      <c r="C94" s="3"/>
      <c r="D94" s="104"/>
      <c r="E94" s="104"/>
      <c r="F94" s="104"/>
      <c r="G94" s="104"/>
      <c r="H94" s="104"/>
      <c r="I94" s="104"/>
      <c r="J94" s="104"/>
      <c r="K94" s="104"/>
      <c r="L94" s="10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04"/>
      <c r="C95" s="3"/>
      <c r="D95" s="104"/>
      <c r="E95" s="104"/>
      <c r="F95" s="104"/>
      <c r="G95" s="104"/>
      <c r="H95" s="104"/>
      <c r="I95" s="104"/>
      <c r="J95" s="104"/>
      <c r="K95" s="104"/>
      <c r="L95" s="10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04"/>
      <c r="C96" s="3"/>
      <c r="D96" s="104"/>
      <c r="E96" s="104"/>
      <c r="F96" s="104"/>
      <c r="G96" s="104"/>
      <c r="H96" s="104"/>
      <c r="I96" s="104"/>
      <c r="J96" s="104"/>
      <c r="K96" s="104"/>
      <c r="L96" s="10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04"/>
      <c r="C97" s="3"/>
      <c r="D97" s="104"/>
      <c r="E97" s="104"/>
      <c r="F97" s="104"/>
      <c r="G97" s="104"/>
      <c r="H97" s="104"/>
      <c r="I97" s="104"/>
      <c r="J97" s="104"/>
      <c r="K97" s="104"/>
      <c r="L97" s="10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04"/>
      <c r="C98" s="3"/>
      <c r="D98" s="104"/>
      <c r="E98" s="104"/>
      <c r="F98" s="104"/>
      <c r="G98" s="104"/>
      <c r="H98" s="104"/>
      <c r="I98" s="104"/>
      <c r="J98" s="104"/>
      <c r="K98" s="104"/>
      <c r="L98" s="10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04"/>
      <c r="C99" s="3"/>
      <c r="D99" s="104"/>
      <c r="E99" s="104"/>
      <c r="F99" s="104"/>
      <c r="G99" s="104"/>
      <c r="H99" s="104"/>
      <c r="I99" s="104"/>
      <c r="J99" s="104"/>
      <c r="K99" s="104"/>
      <c r="L99" s="10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04"/>
      <c r="C100" s="3"/>
      <c r="D100" s="104"/>
      <c r="E100" s="104"/>
      <c r="F100" s="104"/>
      <c r="G100" s="104"/>
      <c r="H100" s="104"/>
      <c r="I100" s="104"/>
      <c r="J100" s="104"/>
      <c r="K100" s="104"/>
      <c r="L100" s="10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04"/>
      <c r="C101" s="3"/>
      <c r="D101" s="104"/>
      <c r="E101" s="104"/>
      <c r="F101" s="104"/>
      <c r="G101" s="104"/>
      <c r="H101" s="104"/>
      <c r="I101" s="104"/>
      <c r="J101" s="104"/>
      <c r="K101" s="104"/>
      <c r="L101" s="10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04"/>
      <c r="C102" s="3"/>
      <c r="D102" s="104"/>
      <c r="E102" s="104"/>
      <c r="F102" s="104"/>
      <c r="G102" s="104"/>
      <c r="H102" s="104"/>
      <c r="I102" s="104"/>
      <c r="J102" s="104"/>
      <c r="K102" s="104"/>
      <c r="L102" s="10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04"/>
      <c r="C103" s="3"/>
      <c r="D103" s="104"/>
      <c r="E103" s="104"/>
      <c r="F103" s="104"/>
      <c r="G103" s="104"/>
      <c r="H103" s="104"/>
      <c r="I103" s="104"/>
      <c r="J103" s="104"/>
      <c r="K103" s="104"/>
      <c r="L103" s="10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04"/>
      <c r="C104" s="3"/>
      <c r="D104" s="104"/>
      <c r="E104" s="104"/>
      <c r="F104" s="104"/>
      <c r="G104" s="104"/>
      <c r="H104" s="104"/>
      <c r="I104" s="104"/>
      <c r="J104" s="104"/>
      <c r="K104" s="104"/>
      <c r="L104" s="10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04"/>
      <c r="C105" s="3"/>
      <c r="D105" s="104"/>
      <c r="E105" s="104"/>
      <c r="F105" s="104"/>
      <c r="G105" s="104"/>
      <c r="H105" s="104"/>
      <c r="I105" s="104"/>
      <c r="J105" s="104"/>
      <c r="K105" s="104"/>
      <c r="L105" s="10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04"/>
      <c r="C106" s="3"/>
      <c r="D106" s="104"/>
      <c r="E106" s="104"/>
      <c r="F106" s="104"/>
      <c r="G106" s="104"/>
      <c r="H106" s="104"/>
      <c r="I106" s="104"/>
      <c r="J106" s="104"/>
      <c r="K106" s="104"/>
      <c r="L106" s="10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04"/>
      <c r="C107" s="3"/>
      <c r="D107" s="104"/>
      <c r="E107" s="104"/>
      <c r="F107" s="104"/>
      <c r="G107" s="104"/>
      <c r="H107" s="104"/>
      <c r="I107" s="104"/>
      <c r="J107" s="104"/>
      <c r="K107" s="104"/>
      <c r="L107" s="10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04"/>
      <c r="C108" s="3"/>
      <c r="D108" s="104"/>
      <c r="E108" s="104"/>
      <c r="F108" s="104"/>
      <c r="G108" s="104"/>
      <c r="H108" s="104"/>
      <c r="I108" s="104"/>
      <c r="J108" s="104"/>
      <c r="K108" s="104"/>
      <c r="L108" s="10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04"/>
      <c r="C109" s="3"/>
      <c r="D109" s="104"/>
      <c r="E109" s="104"/>
      <c r="F109" s="104"/>
      <c r="G109" s="104"/>
      <c r="H109" s="104"/>
      <c r="I109" s="104"/>
      <c r="J109" s="104"/>
      <c r="K109" s="104"/>
      <c r="L109" s="10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04"/>
      <c r="C110" s="3"/>
      <c r="D110" s="104"/>
      <c r="E110" s="104"/>
      <c r="F110" s="104"/>
      <c r="G110" s="104"/>
      <c r="H110" s="104"/>
      <c r="I110" s="104"/>
      <c r="J110" s="104"/>
      <c r="K110" s="104"/>
      <c r="L110" s="10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04"/>
      <c r="C111" s="3"/>
      <c r="D111" s="104"/>
      <c r="E111" s="104"/>
      <c r="F111" s="104"/>
      <c r="G111" s="104"/>
      <c r="H111" s="104"/>
      <c r="I111" s="104"/>
      <c r="J111" s="104"/>
      <c r="K111" s="104"/>
      <c r="L111" s="10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04"/>
      <c r="C112" s="3"/>
      <c r="D112" s="104"/>
      <c r="E112" s="104"/>
      <c r="F112" s="104"/>
      <c r="G112" s="104"/>
      <c r="H112" s="104"/>
      <c r="I112" s="104"/>
      <c r="J112" s="104"/>
      <c r="K112" s="104"/>
      <c r="L112" s="10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04"/>
      <c r="C113" s="3"/>
      <c r="D113" s="104"/>
      <c r="E113" s="104"/>
      <c r="F113" s="104"/>
      <c r="G113" s="104"/>
      <c r="H113" s="104"/>
      <c r="I113" s="104"/>
      <c r="J113" s="104"/>
      <c r="K113" s="104"/>
      <c r="L113" s="10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04"/>
      <c r="C114" s="3"/>
      <c r="D114" s="104"/>
      <c r="E114" s="104"/>
      <c r="F114" s="104"/>
      <c r="G114" s="104"/>
      <c r="H114" s="104"/>
      <c r="I114" s="104"/>
      <c r="J114" s="104"/>
      <c r="K114" s="104"/>
      <c r="L114" s="10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04"/>
      <c r="C115" s="3"/>
      <c r="D115" s="104"/>
      <c r="E115" s="104"/>
      <c r="F115" s="104"/>
      <c r="G115" s="104"/>
      <c r="H115" s="104"/>
      <c r="I115" s="104"/>
      <c r="J115" s="104"/>
      <c r="K115" s="104"/>
      <c r="L115" s="10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04"/>
      <c r="C116" s="3"/>
      <c r="D116" s="104"/>
      <c r="E116" s="104"/>
      <c r="F116" s="104"/>
      <c r="G116" s="104"/>
      <c r="H116" s="104"/>
      <c r="I116" s="104"/>
      <c r="J116" s="104"/>
      <c r="K116" s="104"/>
      <c r="L116" s="10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04"/>
      <c r="C117" s="3"/>
      <c r="D117" s="104"/>
      <c r="E117" s="104"/>
      <c r="F117" s="104"/>
      <c r="G117" s="104"/>
      <c r="H117" s="104"/>
      <c r="I117" s="104"/>
      <c r="J117" s="104"/>
      <c r="K117" s="104"/>
      <c r="L117" s="10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04"/>
      <c r="C118" s="3"/>
      <c r="D118" s="104"/>
      <c r="E118" s="104"/>
      <c r="F118" s="104"/>
      <c r="G118" s="104"/>
      <c r="H118" s="104"/>
      <c r="I118" s="104"/>
      <c r="J118" s="104"/>
      <c r="K118" s="104"/>
      <c r="L118" s="10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04"/>
      <c r="C119" s="3"/>
      <c r="D119" s="104"/>
      <c r="E119" s="104"/>
      <c r="F119" s="104"/>
      <c r="G119" s="104"/>
      <c r="H119" s="104"/>
      <c r="I119" s="104"/>
      <c r="J119" s="104"/>
      <c r="K119" s="104"/>
      <c r="L119" s="10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04"/>
      <c r="C120" s="3"/>
      <c r="D120" s="104"/>
      <c r="E120" s="104"/>
      <c r="F120" s="104"/>
      <c r="G120" s="104"/>
      <c r="H120" s="104"/>
      <c r="I120" s="104"/>
      <c r="J120" s="104"/>
      <c r="K120" s="104"/>
      <c r="L120" s="10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04"/>
      <c r="C121" s="3"/>
      <c r="D121" s="104"/>
      <c r="E121" s="104"/>
      <c r="F121" s="104"/>
      <c r="G121" s="104"/>
      <c r="H121" s="104"/>
      <c r="I121" s="104"/>
      <c r="J121" s="104"/>
      <c r="K121" s="104"/>
      <c r="L121" s="10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04"/>
      <c r="C122" s="3"/>
      <c r="D122" s="104"/>
      <c r="E122" s="104"/>
      <c r="F122" s="104"/>
      <c r="G122" s="104"/>
      <c r="H122" s="104"/>
      <c r="I122" s="104"/>
      <c r="J122" s="104"/>
      <c r="K122" s="104"/>
      <c r="L122" s="10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04"/>
      <c r="C123" s="3"/>
      <c r="D123" s="104"/>
      <c r="E123" s="104"/>
      <c r="F123" s="104"/>
      <c r="G123" s="104"/>
      <c r="H123" s="104"/>
      <c r="I123" s="104"/>
      <c r="J123" s="104"/>
      <c r="K123" s="104"/>
      <c r="L123" s="10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04"/>
      <c r="C124" s="3"/>
      <c r="D124" s="104"/>
      <c r="E124" s="104"/>
      <c r="F124" s="104"/>
      <c r="G124" s="104"/>
      <c r="H124" s="104"/>
      <c r="I124" s="104"/>
      <c r="J124" s="104"/>
      <c r="K124" s="104"/>
      <c r="L124" s="10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04"/>
      <c r="C125" s="3"/>
      <c r="D125" s="104"/>
      <c r="E125" s="104"/>
      <c r="F125" s="104"/>
      <c r="G125" s="104"/>
      <c r="H125" s="104"/>
      <c r="I125" s="104"/>
      <c r="J125" s="104"/>
      <c r="K125" s="104"/>
      <c r="L125" s="10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04"/>
      <c r="C126" s="3"/>
      <c r="D126" s="104"/>
      <c r="E126" s="104"/>
      <c r="F126" s="104"/>
      <c r="G126" s="104"/>
      <c r="H126" s="104"/>
      <c r="I126" s="104"/>
      <c r="J126" s="104"/>
      <c r="K126" s="104"/>
      <c r="L126" s="10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04"/>
      <c r="C127" s="3"/>
      <c r="D127" s="104"/>
      <c r="E127" s="104"/>
      <c r="F127" s="104"/>
      <c r="G127" s="104"/>
      <c r="H127" s="104"/>
      <c r="I127" s="104"/>
      <c r="J127" s="104"/>
      <c r="K127" s="104"/>
      <c r="L127" s="10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04"/>
      <c r="C128" s="3"/>
      <c r="D128" s="104"/>
      <c r="E128" s="104"/>
      <c r="F128" s="104"/>
      <c r="G128" s="104"/>
      <c r="H128" s="104"/>
      <c r="I128" s="104"/>
      <c r="J128" s="104"/>
      <c r="K128" s="104"/>
      <c r="L128" s="10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04"/>
      <c r="C129" s="3"/>
      <c r="D129" s="104"/>
      <c r="E129" s="104"/>
      <c r="F129" s="104"/>
      <c r="G129" s="104"/>
      <c r="H129" s="104"/>
      <c r="I129" s="104"/>
      <c r="J129" s="104"/>
      <c r="K129" s="104"/>
      <c r="L129" s="10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04"/>
      <c r="C130" s="3"/>
      <c r="D130" s="104"/>
      <c r="E130" s="104"/>
      <c r="F130" s="104"/>
      <c r="G130" s="104"/>
      <c r="H130" s="104"/>
      <c r="I130" s="104"/>
      <c r="J130" s="104"/>
      <c r="K130" s="104"/>
      <c r="L130" s="10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04"/>
      <c r="C131" s="3"/>
      <c r="D131" s="104"/>
      <c r="E131" s="104"/>
      <c r="F131" s="104"/>
      <c r="G131" s="104"/>
      <c r="H131" s="104"/>
      <c r="I131" s="104"/>
      <c r="J131" s="104"/>
      <c r="K131" s="104"/>
      <c r="L131" s="10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04"/>
      <c r="C132" s="3"/>
      <c r="D132" s="104"/>
      <c r="E132" s="104"/>
      <c r="F132" s="104"/>
      <c r="G132" s="104"/>
      <c r="H132" s="104"/>
      <c r="I132" s="104"/>
      <c r="J132" s="104"/>
      <c r="K132" s="104"/>
      <c r="L132" s="10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04"/>
      <c r="C133" s="3"/>
      <c r="D133" s="104"/>
      <c r="E133" s="104"/>
      <c r="F133" s="104"/>
      <c r="G133" s="104"/>
      <c r="H133" s="104"/>
      <c r="I133" s="104"/>
      <c r="J133" s="104"/>
      <c r="K133" s="104"/>
      <c r="L133" s="10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04"/>
      <c r="C134" s="3"/>
      <c r="D134" s="104"/>
      <c r="E134" s="104"/>
      <c r="F134" s="104"/>
      <c r="G134" s="104"/>
      <c r="H134" s="104"/>
      <c r="I134" s="104"/>
      <c r="J134" s="104"/>
      <c r="K134" s="104"/>
      <c r="L134" s="10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04"/>
      <c r="C135" s="3"/>
      <c r="D135" s="104"/>
      <c r="E135" s="104"/>
      <c r="F135" s="104"/>
      <c r="G135" s="104"/>
      <c r="H135" s="104"/>
      <c r="I135" s="104"/>
      <c r="J135" s="104"/>
      <c r="K135" s="104"/>
      <c r="L135" s="10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04"/>
      <c r="C136" s="3"/>
      <c r="D136" s="104"/>
      <c r="E136" s="104"/>
      <c r="F136" s="104"/>
      <c r="G136" s="104"/>
      <c r="H136" s="104"/>
      <c r="I136" s="104"/>
      <c r="J136" s="104"/>
      <c r="K136" s="104"/>
      <c r="L136" s="10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04"/>
      <c r="C137" s="3"/>
      <c r="D137" s="104"/>
      <c r="E137" s="104"/>
      <c r="F137" s="104"/>
      <c r="G137" s="104"/>
      <c r="H137" s="104"/>
      <c r="I137" s="104"/>
      <c r="J137" s="104"/>
      <c r="K137" s="104"/>
      <c r="L137" s="10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04"/>
      <c r="C138" s="3"/>
      <c r="D138" s="104"/>
      <c r="E138" s="104"/>
      <c r="F138" s="104"/>
      <c r="G138" s="104"/>
      <c r="H138" s="104"/>
      <c r="I138" s="104"/>
      <c r="J138" s="104"/>
      <c r="K138" s="104"/>
      <c r="L138" s="10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04"/>
      <c r="C139" s="3"/>
      <c r="D139" s="104"/>
      <c r="E139" s="104"/>
      <c r="F139" s="104"/>
      <c r="G139" s="104"/>
      <c r="H139" s="104"/>
      <c r="I139" s="104"/>
      <c r="J139" s="104"/>
      <c r="K139" s="104"/>
      <c r="L139" s="10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04"/>
      <c r="C140" s="3"/>
      <c r="D140" s="104"/>
      <c r="E140" s="104"/>
      <c r="F140" s="104"/>
      <c r="G140" s="104"/>
      <c r="H140" s="104"/>
      <c r="I140" s="104"/>
      <c r="J140" s="104"/>
      <c r="K140" s="104"/>
      <c r="L140" s="10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04"/>
      <c r="C141" s="3"/>
      <c r="D141" s="104"/>
      <c r="E141" s="104"/>
      <c r="F141" s="104"/>
      <c r="G141" s="104"/>
      <c r="H141" s="104"/>
      <c r="I141" s="104"/>
      <c r="J141" s="104"/>
      <c r="K141" s="104"/>
      <c r="L141" s="10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04"/>
      <c r="C142" s="3"/>
      <c r="D142" s="104"/>
      <c r="E142" s="104"/>
      <c r="F142" s="104"/>
      <c r="G142" s="104"/>
      <c r="H142" s="104"/>
      <c r="I142" s="104"/>
      <c r="J142" s="104"/>
      <c r="K142" s="104"/>
      <c r="L142" s="10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04"/>
      <c r="C143" s="3"/>
      <c r="D143" s="104"/>
      <c r="E143" s="104"/>
      <c r="F143" s="104"/>
      <c r="G143" s="104"/>
      <c r="H143" s="104"/>
      <c r="I143" s="104"/>
      <c r="J143" s="104"/>
      <c r="K143" s="104"/>
      <c r="L143" s="10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04"/>
      <c r="C144" s="3"/>
      <c r="D144" s="104"/>
      <c r="E144" s="104"/>
      <c r="F144" s="104"/>
      <c r="G144" s="104"/>
      <c r="H144" s="104"/>
      <c r="I144" s="104"/>
      <c r="J144" s="104"/>
      <c r="K144" s="104"/>
      <c r="L144" s="10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04"/>
      <c r="C145" s="3"/>
      <c r="D145" s="104"/>
      <c r="E145" s="104"/>
      <c r="F145" s="104"/>
      <c r="G145" s="104"/>
      <c r="H145" s="104"/>
      <c r="I145" s="104"/>
      <c r="J145" s="104"/>
      <c r="K145" s="104"/>
      <c r="L145" s="10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04"/>
      <c r="C146" s="3"/>
      <c r="D146" s="104"/>
      <c r="E146" s="104"/>
      <c r="F146" s="104"/>
      <c r="G146" s="104"/>
      <c r="H146" s="104"/>
      <c r="I146" s="104"/>
      <c r="J146" s="104"/>
      <c r="K146" s="104"/>
      <c r="L146" s="10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04"/>
      <c r="C147" s="3"/>
      <c r="D147" s="104"/>
      <c r="E147" s="104"/>
      <c r="F147" s="104"/>
      <c r="G147" s="104"/>
      <c r="H147" s="104"/>
      <c r="I147" s="104"/>
      <c r="J147" s="104"/>
      <c r="K147" s="104"/>
      <c r="L147" s="10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04"/>
      <c r="C148" s="3"/>
      <c r="D148" s="104"/>
      <c r="E148" s="104"/>
      <c r="F148" s="104"/>
      <c r="G148" s="104"/>
      <c r="H148" s="104"/>
      <c r="I148" s="104"/>
      <c r="J148" s="104"/>
      <c r="K148" s="104"/>
      <c r="L148" s="10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04"/>
      <c r="C149" s="3"/>
      <c r="D149" s="104"/>
      <c r="E149" s="104"/>
      <c r="F149" s="104"/>
      <c r="G149" s="104"/>
      <c r="H149" s="104"/>
      <c r="I149" s="104"/>
      <c r="J149" s="104"/>
      <c r="K149" s="104"/>
      <c r="L149" s="10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04"/>
      <c r="C150" s="3"/>
      <c r="D150" s="104"/>
      <c r="E150" s="104"/>
      <c r="F150" s="104"/>
      <c r="G150" s="104"/>
      <c r="H150" s="104"/>
      <c r="I150" s="104"/>
      <c r="J150" s="104"/>
      <c r="K150" s="104"/>
      <c r="L150" s="10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04"/>
      <c r="C151" s="3"/>
      <c r="D151" s="104"/>
      <c r="E151" s="104"/>
      <c r="F151" s="104"/>
      <c r="G151" s="104"/>
      <c r="H151" s="104"/>
      <c r="I151" s="104"/>
      <c r="J151" s="104"/>
      <c r="K151" s="104"/>
      <c r="L151" s="10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04"/>
      <c r="C152" s="3"/>
      <c r="D152" s="104"/>
      <c r="E152" s="104"/>
      <c r="F152" s="104"/>
      <c r="G152" s="104"/>
      <c r="H152" s="104"/>
      <c r="I152" s="104"/>
      <c r="J152" s="104"/>
      <c r="K152" s="104"/>
      <c r="L152" s="10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04"/>
      <c r="C153" s="3"/>
      <c r="D153" s="104"/>
      <c r="E153" s="104"/>
      <c r="F153" s="104"/>
      <c r="G153" s="104"/>
      <c r="H153" s="104"/>
      <c r="I153" s="104"/>
      <c r="J153" s="104"/>
      <c r="K153" s="104"/>
      <c r="L153" s="10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04"/>
      <c r="C154" s="3"/>
      <c r="D154" s="104"/>
      <c r="E154" s="104"/>
      <c r="F154" s="104"/>
      <c r="G154" s="104"/>
      <c r="H154" s="104"/>
      <c r="I154" s="104"/>
      <c r="J154" s="104"/>
      <c r="K154" s="104"/>
      <c r="L154" s="10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04"/>
      <c r="C155" s="3"/>
      <c r="D155" s="104"/>
      <c r="E155" s="104"/>
      <c r="F155" s="104"/>
      <c r="G155" s="104"/>
      <c r="H155" s="104"/>
      <c r="I155" s="104"/>
      <c r="J155" s="104"/>
      <c r="K155" s="104"/>
      <c r="L155" s="10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04"/>
      <c r="C156" s="3"/>
      <c r="D156" s="104"/>
      <c r="E156" s="104"/>
      <c r="F156" s="104"/>
      <c r="G156" s="104"/>
      <c r="H156" s="104"/>
      <c r="I156" s="104"/>
      <c r="J156" s="104"/>
      <c r="K156" s="104"/>
      <c r="L156" s="10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04"/>
      <c r="C157" s="3"/>
      <c r="D157" s="104"/>
      <c r="E157" s="104"/>
      <c r="F157" s="104"/>
      <c r="G157" s="104"/>
      <c r="H157" s="104"/>
      <c r="I157" s="104"/>
      <c r="J157" s="104"/>
      <c r="K157" s="104"/>
      <c r="L157" s="10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04"/>
      <c r="C158" s="3"/>
      <c r="D158" s="104"/>
      <c r="E158" s="104"/>
      <c r="F158" s="104"/>
      <c r="G158" s="104"/>
      <c r="H158" s="104"/>
      <c r="I158" s="104"/>
      <c r="J158" s="104"/>
      <c r="K158" s="104"/>
      <c r="L158" s="10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04"/>
      <c r="C159" s="3"/>
      <c r="D159" s="104"/>
      <c r="E159" s="104"/>
      <c r="F159" s="104"/>
      <c r="G159" s="104"/>
      <c r="H159" s="104"/>
      <c r="I159" s="104"/>
      <c r="J159" s="104"/>
      <c r="K159" s="104"/>
      <c r="L159" s="10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04"/>
      <c r="C160" s="3"/>
      <c r="D160" s="104"/>
      <c r="E160" s="104"/>
      <c r="F160" s="104"/>
      <c r="G160" s="104"/>
      <c r="H160" s="104"/>
      <c r="I160" s="104"/>
      <c r="J160" s="104"/>
      <c r="K160" s="104"/>
      <c r="L160" s="10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04"/>
      <c r="C161" s="3"/>
      <c r="D161" s="104"/>
      <c r="E161" s="104"/>
      <c r="F161" s="104"/>
      <c r="G161" s="104"/>
      <c r="H161" s="104"/>
      <c r="I161" s="104"/>
      <c r="J161" s="104"/>
      <c r="K161" s="104"/>
      <c r="L161" s="10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04"/>
      <c r="C162" s="3"/>
      <c r="D162" s="104"/>
      <c r="E162" s="104"/>
      <c r="F162" s="104"/>
      <c r="G162" s="104"/>
      <c r="H162" s="104"/>
      <c r="I162" s="104"/>
      <c r="J162" s="104"/>
      <c r="K162" s="104"/>
      <c r="L162" s="10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04"/>
      <c r="C163" s="3"/>
      <c r="D163" s="104"/>
      <c r="E163" s="104"/>
      <c r="F163" s="104"/>
      <c r="G163" s="104"/>
      <c r="H163" s="104"/>
      <c r="I163" s="104"/>
      <c r="J163" s="104"/>
      <c r="K163" s="104"/>
      <c r="L163" s="10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04"/>
      <c r="C164" s="3"/>
      <c r="D164" s="104"/>
      <c r="E164" s="104"/>
      <c r="F164" s="104"/>
      <c r="G164" s="104"/>
      <c r="H164" s="104"/>
      <c r="I164" s="104"/>
      <c r="J164" s="104"/>
      <c r="K164" s="104"/>
      <c r="L164" s="10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04"/>
      <c r="C165" s="3"/>
      <c r="D165" s="104"/>
      <c r="E165" s="104"/>
      <c r="F165" s="104"/>
      <c r="G165" s="104"/>
      <c r="H165" s="104"/>
      <c r="I165" s="104"/>
      <c r="J165" s="104"/>
      <c r="K165" s="104"/>
      <c r="L165" s="10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04"/>
      <c r="C166" s="3"/>
      <c r="D166" s="104"/>
      <c r="E166" s="104"/>
      <c r="F166" s="104"/>
      <c r="G166" s="104"/>
      <c r="H166" s="104"/>
      <c r="I166" s="104"/>
      <c r="J166" s="104"/>
      <c r="K166" s="104"/>
      <c r="L166" s="10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04"/>
      <c r="C167" s="3"/>
      <c r="D167" s="104"/>
      <c r="E167" s="104"/>
      <c r="F167" s="104"/>
      <c r="G167" s="104"/>
      <c r="H167" s="104"/>
      <c r="I167" s="104"/>
      <c r="J167" s="104"/>
      <c r="K167" s="104"/>
      <c r="L167" s="10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04"/>
      <c r="C168" s="3"/>
      <c r="D168" s="104"/>
      <c r="E168" s="104"/>
      <c r="F168" s="104"/>
      <c r="G168" s="104"/>
      <c r="H168" s="104"/>
      <c r="I168" s="104"/>
      <c r="J168" s="104"/>
      <c r="K168" s="104"/>
      <c r="L168" s="10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04"/>
      <c r="C169" s="3"/>
      <c r="D169" s="104"/>
      <c r="E169" s="104"/>
      <c r="F169" s="104"/>
      <c r="G169" s="104"/>
      <c r="H169" s="104"/>
      <c r="I169" s="104"/>
      <c r="J169" s="104"/>
      <c r="K169" s="104"/>
      <c r="L169" s="10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04"/>
      <c r="C170" s="3"/>
      <c r="D170" s="104"/>
      <c r="E170" s="104"/>
      <c r="F170" s="104"/>
      <c r="G170" s="104"/>
      <c r="H170" s="104"/>
      <c r="I170" s="104"/>
      <c r="J170" s="104"/>
      <c r="K170" s="104"/>
      <c r="L170" s="10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04"/>
      <c r="C171" s="3"/>
      <c r="D171" s="104"/>
      <c r="E171" s="104"/>
      <c r="F171" s="104"/>
      <c r="G171" s="104"/>
      <c r="H171" s="104"/>
      <c r="I171" s="104"/>
      <c r="J171" s="104"/>
      <c r="K171" s="104"/>
      <c r="L171" s="10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04"/>
      <c r="C172" s="3"/>
      <c r="D172" s="104"/>
      <c r="E172" s="104"/>
      <c r="F172" s="104"/>
      <c r="G172" s="104"/>
      <c r="H172" s="104"/>
      <c r="I172" s="104"/>
      <c r="J172" s="104"/>
      <c r="K172" s="104"/>
      <c r="L172" s="10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04"/>
      <c r="C173" s="3"/>
      <c r="D173" s="104"/>
      <c r="E173" s="104"/>
      <c r="F173" s="104"/>
      <c r="G173" s="104"/>
      <c r="H173" s="104"/>
      <c r="I173" s="104"/>
      <c r="J173" s="104"/>
      <c r="K173" s="104"/>
      <c r="L173" s="10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04"/>
      <c r="C174" s="3"/>
      <c r="D174" s="104"/>
      <c r="E174" s="104"/>
      <c r="F174" s="104"/>
      <c r="G174" s="104"/>
      <c r="H174" s="104"/>
      <c r="I174" s="104"/>
      <c r="J174" s="104"/>
      <c r="K174" s="104"/>
      <c r="L174" s="10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04"/>
      <c r="C175" s="3"/>
      <c r="D175" s="104"/>
      <c r="E175" s="104"/>
      <c r="F175" s="104"/>
      <c r="G175" s="104"/>
      <c r="H175" s="104"/>
      <c r="I175" s="104"/>
      <c r="J175" s="104"/>
      <c r="K175" s="104"/>
      <c r="L175" s="10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04"/>
      <c r="C176" s="3"/>
      <c r="D176" s="104"/>
      <c r="E176" s="104"/>
      <c r="F176" s="104"/>
      <c r="G176" s="104"/>
      <c r="H176" s="104"/>
      <c r="I176" s="104"/>
      <c r="J176" s="104"/>
      <c r="K176" s="104"/>
      <c r="L176" s="10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04"/>
      <c r="C177" s="3"/>
      <c r="D177" s="104"/>
      <c r="E177" s="104"/>
      <c r="F177" s="104"/>
      <c r="G177" s="104"/>
      <c r="H177" s="104"/>
      <c r="I177" s="104"/>
      <c r="J177" s="104"/>
      <c r="K177" s="104"/>
      <c r="L177" s="10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04"/>
      <c r="C178" s="3"/>
      <c r="D178" s="104"/>
      <c r="E178" s="104"/>
      <c r="F178" s="104"/>
      <c r="G178" s="104"/>
      <c r="H178" s="104"/>
      <c r="I178" s="104"/>
      <c r="J178" s="104"/>
      <c r="K178" s="104"/>
      <c r="L178" s="10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04"/>
      <c r="C179" s="3"/>
      <c r="D179" s="104"/>
      <c r="E179" s="104"/>
      <c r="F179" s="104"/>
      <c r="G179" s="104"/>
      <c r="H179" s="104"/>
      <c r="I179" s="104"/>
      <c r="J179" s="104"/>
      <c r="K179" s="104"/>
      <c r="L179" s="10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04"/>
      <c r="C180" s="3"/>
      <c r="D180" s="104"/>
      <c r="E180" s="104"/>
      <c r="F180" s="104"/>
      <c r="G180" s="104"/>
      <c r="H180" s="104"/>
      <c r="I180" s="104"/>
      <c r="J180" s="104"/>
      <c r="K180" s="104"/>
      <c r="L180" s="10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04"/>
      <c r="C181" s="3"/>
      <c r="D181" s="104"/>
      <c r="E181" s="104"/>
      <c r="F181" s="104"/>
      <c r="G181" s="104"/>
      <c r="H181" s="104"/>
      <c r="I181" s="104"/>
      <c r="J181" s="104"/>
      <c r="K181" s="104"/>
      <c r="L181" s="10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04"/>
      <c r="C182" s="3"/>
      <c r="D182" s="104"/>
      <c r="E182" s="104"/>
      <c r="F182" s="104"/>
      <c r="G182" s="104"/>
      <c r="H182" s="104"/>
      <c r="I182" s="104"/>
      <c r="J182" s="104"/>
      <c r="K182" s="104"/>
      <c r="L182" s="10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04"/>
      <c r="C183" s="3"/>
      <c r="D183" s="104"/>
      <c r="E183" s="104"/>
      <c r="F183" s="104"/>
      <c r="G183" s="104"/>
      <c r="H183" s="104"/>
      <c r="I183" s="104"/>
      <c r="J183" s="104"/>
      <c r="K183" s="104"/>
      <c r="L183" s="10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04"/>
      <c r="C184" s="3"/>
      <c r="D184" s="104"/>
      <c r="E184" s="104"/>
      <c r="F184" s="104"/>
      <c r="G184" s="104"/>
      <c r="H184" s="104"/>
      <c r="I184" s="104"/>
      <c r="J184" s="104"/>
      <c r="K184" s="104"/>
      <c r="L184" s="10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04"/>
      <c r="C185" s="3"/>
      <c r="D185" s="104"/>
      <c r="E185" s="104"/>
      <c r="F185" s="104"/>
      <c r="G185" s="104"/>
      <c r="H185" s="104"/>
      <c r="I185" s="104"/>
      <c r="J185" s="104"/>
      <c r="K185" s="104"/>
      <c r="L185" s="10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04"/>
      <c r="C186" s="3"/>
      <c r="D186" s="104"/>
      <c r="E186" s="104"/>
      <c r="F186" s="104"/>
      <c r="G186" s="104"/>
      <c r="H186" s="104"/>
      <c r="I186" s="104"/>
      <c r="J186" s="104"/>
      <c r="K186" s="104"/>
      <c r="L186" s="10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04"/>
      <c r="C187" s="3"/>
      <c r="D187" s="104"/>
      <c r="E187" s="104"/>
      <c r="F187" s="104"/>
      <c r="G187" s="104"/>
      <c r="H187" s="104"/>
      <c r="I187" s="104"/>
      <c r="J187" s="104"/>
      <c r="K187" s="104"/>
      <c r="L187" s="10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04"/>
      <c r="C188" s="3"/>
      <c r="D188" s="104"/>
      <c r="E188" s="104"/>
      <c r="F188" s="104"/>
      <c r="G188" s="104"/>
      <c r="H188" s="104"/>
      <c r="I188" s="104"/>
      <c r="J188" s="104"/>
      <c r="K188" s="104"/>
      <c r="L188" s="10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04"/>
      <c r="C189" s="3"/>
      <c r="D189" s="104"/>
      <c r="E189" s="104"/>
      <c r="F189" s="104"/>
      <c r="G189" s="104"/>
      <c r="H189" s="104"/>
      <c r="I189" s="104"/>
      <c r="J189" s="104"/>
      <c r="K189" s="104"/>
      <c r="L189" s="10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04"/>
      <c r="C190" s="3"/>
      <c r="D190" s="104"/>
      <c r="E190" s="104"/>
      <c r="F190" s="104"/>
      <c r="G190" s="104"/>
      <c r="H190" s="104"/>
      <c r="I190" s="104"/>
      <c r="J190" s="104"/>
      <c r="K190" s="104"/>
      <c r="L190" s="10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04"/>
      <c r="C191" s="3"/>
      <c r="D191" s="104"/>
      <c r="E191" s="104"/>
      <c r="F191" s="104"/>
      <c r="G191" s="104"/>
      <c r="H191" s="104"/>
      <c r="I191" s="104"/>
      <c r="J191" s="104"/>
      <c r="K191" s="104"/>
      <c r="L191" s="10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04"/>
      <c r="C192" s="3"/>
      <c r="D192" s="104"/>
      <c r="E192" s="104"/>
      <c r="F192" s="104"/>
      <c r="G192" s="104"/>
      <c r="H192" s="104"/>
      <c r="I192" s="104"/>
      <c r="J192" s="104"/>
      <c r="K192" s="104"/>
      <c r="L192" s="10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04"/>
      <c r="C193" s="3"/>
      <c r="D193" s="104"/>
      <c r="E193" s="104"/>
      <c r="F193" s="104"/>
      <c r="G193" s="104"/>
      <c r="H193" s="104"/>
      <c r="I193" s="104"/>
      <c r="J193" s="104"/>
      <c r="K193" s="104"/>
      <c r="L193" s="10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04"/>
      <c r="C194" s="3"/>
      <c r="D194" s="104"/>
      <c r="E194" s="104"/>
      <c r="F194" s="104"/>
      <c r="G194" s="104"/>
      <c r="H194" s="104"/>
      <c r="I194" s="104"/>
      <c r="J194" s="104"/>
      <c r="K194" s="104"/>
      <c r="L194" s="10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04"/>
      <c r="C195" s="3"/>
      <c r="D195" s="104"/>
      <c r="E195" s="104"/>
      <c r="F195" s="104"/>
      <c r="G195" s="104"/>
      <c r="H195" s="104"/>
      <c r="I195" s="104"/>
      <c r="J195" s="104"/>
      <c r="K195" s="104"/>
      <c r="L195" s="10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04"/>
      <c r="C196" s="3"/>
      <c r="D196" s="104"/>
      <c r="E196" s="104"/>
      <c r="F196" s="104"/>
      <c r="G196" s="104"/>
      <c r="H196" s="104"/>
      <c r="I196" s="104"/>
      <c r="J196" s="104"/>
      <c r="K196" s="104"/>
      <c r="L196" s="10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04"/>
      <c r="C197" s="3"/>
      <c r="D197" s="104"/>
      <c r="E197" s="104"/>
      <c r="F197" s="104"/>
      <c r="G197" s="104"/>
      <c r="H197" s="104"/>
      <c r="I197" s="104"/>
      <c r="J197" s="104"/>
      <c r="K197" s="104"/>
      <c r="L197" s="10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04"/>
      <c r="C198" s="3"/>
      <c r="D198" s="104"/>
      <c r="E198" s="104"/>
      <c r="F198" s="104"/>
      <c r="G198" s="104"/>
      <c r="H198" s="104"/>
      <c r="I198" s="104"/>
      <c r="J198" s="104"/>
      <c r="K198" s="104"/>
      <c r="L198" s="10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04"/>
      <c r="C199" s="3"/>
      <c r="D199" s="104"/>
      <c r="E199" s="104"/>
      <c r="F199" s="104"/>
      <c r="G199" s="104"/>
      <c r="H199" s="104"/>
      <c r="I199" s="104"/>
      <c r="J199" s="104"/>
      <c r="K199" s="104"/>
      <c r="L199" s="10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04"/>
      <c r="C200" s="3"/>
      <c r="D200" s="104"/>
      <c r="E200" s="104"/>
      <c r="F200" s="104"/>
      <c r="G200" s="104"/>
      <c r="H200" s="104"/>
      <c r="I200" s="104"/>
      <c r="J200" s="104"/>
      <c r="K200" s="104"/>
      <c r="L200" s="10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04"/>
      <c r="C201" s="3"/>
      <c r="D201" s="104"/>
      <c r="E201" s="104"/>
      <c r="F201" s="104"/>
      <c r="G201" s="104"/>
      <c r="H201" s="104"/>
      <c r="I201" s="104"/>
      <c r="J201" s="104"/>
      <c r="K201" s="104"/>
      <c r="L201" s="10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04"/>
      <c r="C202" s="3"/>
      <c r="D202" s="104"/>
      <c r="E202" s="104"/>
      <c r="F202" s="104"/>
      <c r="G202" s="104"/>
      <c r="H202" s="104"/>
      <c r="I202" s="104"/>
      <c r="J202" s="104"/>
      <c r="K202" s="104"/>
      <c r="L202" s="10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04"/>
      <c r="C203" s="3"/>
      <c r="D203" s="104"/>
      <c r="E203" s="104"/>
      <c r="F203" s="104"/>
      <c r="G203" s="104"/>
      <c r="H203" s="104"/>
      <c r="I203" s="104"/>
      <c r="J203" s="104"/>
      <c r="K203" s="104"/>
      <c r="L203" s="10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04"/>
      <c r="C204" s="3"/>
      <c r="D204" s="104"/>
      <c r="E204" s="104"/>
      <c r="F204" s="104"/>
      <c r="G204" s="104"/>
      <c r="H204" s="104"/>
      <c r="I204" s="104"/>
      <c r="J204" s="104"/>
      <c r="K204" s="104"/>
      <c r="L204" s="10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04"/>
      <c r="C205" s="3"/>
      <c r="D205" s="104"/>
      <c r="E205" s="104"/>
      <c r="F205" s="104"/>
      <c r="G205" s="104"/>
      <c r="H205" s="104"/>
      <c r="I205" s="104"/>
      <c r="J205" s="104"/>
      <c r="K205" s="104"/>
      <c r="L205" s="10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04"/>
      <c r="C206" s="3"/>
      <c r="D206" s="104"/>
      <c r="E206" s="104"/>
      <c r="F206" s="104"/>
      <c r="G206" s="104"/>
      <c r="H206" s="104"/>
      <c r="I206" s="104"/>
      <c r="J206" s="104"/>
      <c r="K206" s="104"/>
      <c r="L206" s="10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04"/>
      <c r="C207" s="3"/>
      <c r="D207" s="104"/>
      <c r="E207" s="104"/>
      <c r="F207" s="104"/>
      <c r="G207" s="104"/>
      <c r="H207" s="104"/>
      <c r="I207" s="104"/>
      <c r="J207" s="104"/>
      <c r="K207" s="104"/>
      <c r="L207" s="10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04"/>
      <c r="C208" s="3"/>
      <c r="D208" s="104"/>
      <c r="E208" s="104"/>
      <c r="F208" s="104"/>
      <c r="G208" s="104"/>
      <c r="H208" s="104"/>
      <c r="I208" s="104"/>
      <c r="J208" s="104"/>
      <c r="K208" s="104"/>
      <c r="L208" s="10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04"/>
      <c r="C209" s="3"/>
      <c r="D209" s="104"/>
      <c r="E209" s="104"/>
      <c r="F209" s="104"/>
      <c r="G209" s="104"/>
      <c r="H209" s="104"/>
      <c r="I209" s="104"/>
      <c r="J209" s="104"/>
      <c r="K209" s="104"/>
      <c r="L209" s="10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04"/>
      <c r="C210" s="3"/>
      <c r="D210" s="104"/>
      <c r="E210" s="104"/>
      <c r="F210" s="104"/>
      <c r="G210" s="104"/>
      <c r="H210" s="104"/>
      <c r="I210" s="104"/>
      <c r="J210" s="104"/>
      <c r="K210" s="104"/>
      <c r="L210" s="10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04"/>
      <c r="C211" s="3"/>
      <c r="D211" s="104"/>
      <c r="E211" s="104"/>
      <c r="F211" s="104"/>
      <c r="G211" s="104"/>
      <c r="H211" s="104"/>
      <c r="I211" s="104"/>
      <c r="J211" s="104"/>
      <c r="K211" s="104"/>
      <c r="L211" s="10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04"/>
      <c r="C212" s="3"/>
      <c r="D212" s="104"/>
      <c r="E212" s="104"/>
      <c r="F212" s="104"/>
      <c r="G212" s="104"/>
      <c r="H212" s="104"/>
      <c r="I212" s="104"/>
      <c r="J212" s="104"/>
      <c r="K212" s="104"/>
      <c r="L212" s="10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04"/>
      <c r="C213" s="3"/>
      <c r="D213" s="104"/>
      <c r="E213" s="104"/>
      <c r="F213" s="104"/>
      <c r="G213" s="104"/>
      <c r="H213" s="104"/>
      <c r="I213" s="104"/>
      <c r="J213" s="104"/>
      <c r="K213" s="104"/>
      <c r="L213" s="10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04"/>
      <c r="C214" s="3"/>
      <c r="D214" s="104"/>
      <c r="E214" s="104"/>
      <c r="F214" s="104"/>
      <c r="G214" s="104"/>
      <c r="H214" s="104"/>
      <c r="I214" s="104"/>
      <c r="J214" s="104"/>
      <c r="K214" s="104"/>
      <c r="L214" s="10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04"/>
      <c r="C215" s="3"/>
      <c r="D215" s="104"/>
      <c r="E215" s="104"/>
      <c r="F215" s="104"/>
      <c r="G215" s="104"/>
      <c r="H215" s="104"/>
      <c r="I215" s="104"/>
      <c r="J215" s="104"/>
      <c r="K215" s="104"/>
      <c r="L215" s="10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04"/>
      <c r="C216" s="3"/>
      <c r="D216" s="104"/>
      <c r="E216" s="104"/>
      <c r="F216" s="104"/>
      <c r="G216" s="104"/>
      <c r="H216" s="104"/>
      <c r="I216" s="104"/>
      <c r="J216" s="104"/>
      <c r="K216" s="104"/>
      <c r="L216" s="10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04"/>
      <c r="C217" s="3"/>
      <c r="D217" s="104"/>
      <c r="E217" s="104"/>
      <c r="F217" s="104"/>
      <c r="G217" s="104"/>
      <c r="H217" s="104"/>
      <c r="I217" s="104"/>
      <c r="J217" s="104"/>
      <c r="K217" s="104"/>
      <c r="L217" s="10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104"/>
      <c r="C218" s="3"/>
      <c r="D218" s="104"/>
      <c r="E218" s="104"/>
      <c r="F218" s="104"/>
      <c r="G218" s="104"/>
      <c r="H218" s="104"/>
      <c r="I218" s="104"/>
      <c r="J218" s="104"/>
      <c r="K218" s="104"/>
      <c r="L218" s="10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104"/>
      <c r="C219" s="3"/>
      <c r="D219" s="104"/>
      <c r="E219" s="104"/>
      <c r="F219" s="104"/>
      <c r="G219" s="104"/>
      <c r="H219" s="104"/>
      <c r="I219" s="104"/>
      <c r="J219" s="104"/>
      <c r="K219" s="104"/>
      <c r="L219" s="10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104"/>
      <c r="C220" s="3"/>
      <c r="D220" s="104"/>
      <c r="E220" s="104"/>
      <c r="F220" s="104"/>
      <c r="G220" s="104"/>
      <c r="H220" s="104"/>
      <c r="I220" s="104"/>
      <c r="J220" s="104"/>
      <c r="K220" s="104"/>
      <c r="L220" s="10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104"/>
      <c r="E221" s="104"/>
      <c r="F221" s="104"/>
      <c r="G221" s="104"/>
      <c r="H221" s="104"/>
      <c r="I221" s="104"/>
      <c r="J221" s="104"/>
      <c r="K221" s="104"/>
      <c r="L221" s="10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D1:L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30.0"/>
    <col customWidth="1" min="3" max="3" width="20.0"/>
    <col customWidth="1" min="4" max="12" width="18.33"/>
    <col customWidth="1" min="13" max="19" width="8.33"/>
    <col customWidth="1" min="20" max="26" width="11.11"/>
  </cols>
  <sheetData>
    <row r="1" ht="18.0" customHeight="1">
      <c r="A1" s="105"/>
      <c r="B1" s="106"/>
      <c r="C1" s="105"/>
      <c r="D1" s="107">
        <v>2026.0</v>
      </c>
      <c r="E1" s="108"/>
      <c r="F1" s="108"/>
      <c r="G1" s="108"/>
      <c r="H1" s="108"/>
      <c r="I1" s="108"/>
      <c r="J1" s="108"/>
      <c r="K1" s="108"/>
      <c r="L1" s="109"/>
      <c r="M1" s="17"/>
      <c r="N1" s="17"/>
      <c r="O1" s="17"/>
      <c r="P1" s="17"/>
      <c r="Q1" s="17"/>
      <c r="R1" s="17"/>
      <c r="S1" s="17"/>
      <c r="T1" s="3"/>
      <c r="U1" s="3"/>
      <c r="V1" s="3"/>
      <c r="W1" s="3"/>
      <c r="X1" s="3"/>
      <c r="Y1" s="3"/>
      <c r="Z1" s="3"/>
    </row>
    <row r="2" ht="15.75" customHeight="1">
      <c r="A2" s="110" t="s">
        <v>72</v>
      </c>
      <c r="B2" s="106"/>
      <c r="C2" s="105"/>
      <c r="D2" s="139" t="s">
        <v>33</v>
      </c>
      <c r="E2" s="139" t="s">
        <v>34</v>
      </c>
      <c r="F2" s="139" t="s">
        <v>35</v>
      </c>
      <c r="G2" s="139" t="s">
        <v>36</v>
      </c>
      <c r="H2" s="139" t="s">
        <v>37</v>
      </c>
      <c r="I2" s="139" t="s">
        <v>38</v>
      </c>
      <c r="J2" s="139" t="s">
        <v>39</v>
      </c>
      <c r="K2" s="139" t="s">
        <v>40</v>
      </c>
      <c r="L2" s="139" t="s">
        <v>41</v>
      </c>
      <c r="M2" s="17"/>
      <c r="N2" s="17"/>
      <c r="O2" s="17"/>
      <c r="P2" s="17"/>
      <c r="Q2" s="17"/>
      <c r="R2" s="17"/>
      <c r="S2" s="17"/>
      <c r="T2" s="3"/>
      <c r="U2" s="3"/>
      <c r="V2" s="3"/>
      <c r="W2" s="3"/>
      <c r="X2" s="3"/>
      <c r="Y2" s="3"/>
      <c r="Z2" s="3"/>
    </row>
    <row r="3" ht="15.75" customHeight="1">
      <c r="A3" s="105"/>
      <c r="B3" s="106"/>
      <c r="C3" s="105"/>
      <c r="D3" s="156"/>
      <c r="E3" s="156"/>
      <c r="F3" s="156"/>
      <c r="G3" s="156"/>
      <c r="H3" s="156"/>
      <c r="I3" s="156"/>
      <c r="J3" s="156"/>
      <c r="K3" s="156"/>
      <c r="L3" s="156"/>
      <c r="M3" s="17"/>
      <c r="N3" s="17"/>
      <c r="O3" s="17"/>
      <c r="P3" s="17"/>
      <c r="Q3" s="17"/>
      <c r="R3" s="17"/>
      <c r="S3" s="17"/>
      <c r="T3" s="3"/>
      <c r="U3" s="3"/>
      <c r="V3" s="3"/>
      <c r="W3" s="3"/>
      <c r="X3" s="3"/>
      <c r="Y3" s="3"/>
      <c r="Z3" s="3"/>
    </row>
    <row r="4" ht="16.5" customHeight="1">
      <c r="A4" s="114"/>
      <c r="B4" s="115" t="s">
        <v>60</v>
      </c>
      <c r="C4" s="115">
        <f t="shared" ref="C4:C66" si="2">SUM(D4:L4)</f>
        <v>115855.03</v>
      </c>
      <c r="D4" s="116">
        <f t="shared" ref="D4:L4" si="1">SUM(D5:D131)</f>
        <v>0</v>
      </c>
      <c r="E4" s="116">
        <f t="shared" si="1"/>
        <v>22471.08</v>
      </c>
      <c r="F4" s="116">
        <f t="shared" si="1"/>
        <v>26069.65</v>
      </c>
      <c r="G4" s="116">
        <f t="shared" si="1"/>
        <v>23194.27</v>
      </c>
      <c r="H4" s="116">
        <f t="shared" si="1"/>
        <v>4646.11</v>
      </c>
      <c r="I4" s="116">
        <f t="shared" si="1"/>
        <v>3532.23</v>
      </c>
      <c r="J4" s="116">
        <f t="shared" si="1"/>
        <v>6832.23</v>
      </c>
      <c r="K4" s="116">
        <f t="shared" si="1"/>
        <v>3977.23</v>
      </c>
      <c r="L4" s="116">
        <f t="shared" si="1"/>
        <v>25132.23</v>
      </c>
      <c r="M4" s="63"/>
      <c r="N4" s="63"/>
      <c r="O4" s="63"/>
      <c r="P4" s="63"/>
      <c r="Q4" s="63"/>
      <c r="R4" s="63"/>
      <c r="S4" s="63"/>
      <c r="T4" s="3"/>
      <c r="U4" s="3"/>
      <c r="V4" s="3"/>
      <c r="W4" s="3"/>
      <c r="X4" s="3"/>
      <c r="Y4" s="3"/>
      <c r="Z4" s="3"/>
    </row>
    <row r="5" ht="16.5" customHeight="1">
      <c r="A5" s="132">
        <v>12.0</v>
      </c>
      <c r="B5" s="133" t="s">
        <v>220</v>
      </c>
      <c r="C5" s="119">
        <f t="shared" si="2"/>
        <v>6723.42</v>
      </c>
      <c r="D5" s="123"/>
      <c r="E5" s="121">
        <v>0.0</v>
      </c>
      <c r="F5" s="123">
        <v>6723.42</v>
      </c>
      <c r="G5" s="123"/>
      <c r="H5" s="123"/>
      <c r="I5" s="123"/>
      <c r="J5" s="123"/>
      <c r="K5" s="123"/>
      <c r="L5" s="12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32">
        <v>948.0</v>
      </c>
      <c r="B6" s="134" t="s">
        <v>221</v>
      </c>
      <c r="C6" s="125">
        <f t="shared" si="2"/>
        <v>2750.4</v>
      </c>
      <c r="D6" s="136"/>
      <c r="E6" s="128">
        <v>605.4</v>
      </c>
      <c r="F6" s="128"/>
      <c r="G6" s="128"/>
      <c r="H6" s="128"/>
      <c r="I6" s="128"/>
      <c r="J6" s="128"/>
      <c r="K6" s="128">
        <v>2145.0</v>
      </c>
      <c r="L6" s="12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32">
        <v>10.0</v>
      </c>
      <c r="B7" s="134" t="s">
        <v>222</v>
      </c>
      <c r="C7" s="125">
        <f t="shared" si="2"/>
        <v>3832.68</v>
      </c>
      <c r="D7" s="128"/>
      <c r="E7" s="128"/>
      <c r="F7" s="127">
        <v>1332.68</v>
      </c>
      <c r="G7" s="128"/>
      <c r="H7" s="128"/>
      <c r="I7" s="128">
        <v>1250.0</v>
      </c>
      <c r="J7" s="128"/>
      <c r="K7" s="128"/>
      <c r="L7" s="128">
        <v>1250.0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32"/>
      <c r="B8" s="134" t="s">
        <v>223</v>
      </c>
      <c r="C8" s="125">
        <f t="shared" si="2"/>
        <v>16600</v>
      </c>
      <c r="D8" s="128"/>
      <c r="E8" s="128"/>
      <c r="F8" s="128"/>
      <c r="G8" s="128"/>
      <c r="H8" s="128"/>
      <c r="I8" s="128"/>
      <c r="J8" s="128"/>
      <c r="K8" s="128"/>
      <c r="L8" s="127">
        <v>16600.0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32">
        <v>1270.0</v>
      </c>
      <c r="B9" s="134" t="s">
        <v>224</v>
      </c>
      <c r="C9" s="125">
        <f t="shared" si="2"/>
        <v>0</v>
      </c>
      <c r="D9" s="128"/>
      <c r="E9" s="128"/>
      <c r="F9" s="128"/>
      <c r="G9" s="128"/>
      <c r="H9" s="128"/>
      <c r="I9" s="128"/>
      <c r="J9" s="128"/>
      <c r="K9" s="128"/>
      <c r="L9" s="12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32">
        <v>81.0</v>
      </c>
      <c r="B10" s="134" t="s">
        <v>225</v>
      </c>
      <c r="C10" s="125">
        <f t="shared" si="2"/>
        <v>15000</v>
      </c>
      <c r="D10" s="128"/>
      <c r="E10" s="128"/>
      <c r="F10" s="128"/>
      <c r="G10" s="127">
        <v>5000.0</v>
      </c>
      <c r="H10" s="128"/>
      <c r="I10" s="128"/>
      <c r="J10" s="127">
        <v>5000.0</v>
      </c>
      <c r="K10" s="128"/>
      <c r="L10" s="127">
        <v>5000.0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32"/>
      <c r="B11" s="134" t="s">
        <v>226</v>
      </c>
      <c r="C11" s="125">
        <f t="shared" si="2"/>
        <v>3025.6</v>
      </c>
      <c r="D11" s="128"/>
      <c r="E11" s="128">
        <v>378.2</v>
      </c>
      <c r="F11" s="128">
        <f t="shared" ref="F11:L11" si="3">310*1.22</f>
        <v>378.2</v>
      </c>
      <c r="G11" s="128">
        <f t="shared" si="3"/>
        <v>378.2</v>
      </c>
      <c r="H11" s="128">
        <f t="shared" si="3"/>
        <v>378.2</v>
      </c>
      <c r="I11" s="128">
        <f t="shared" si="3"/>
        <v>378.2</v>
      </c>
      <c r="J11" s="128">
        <f t="shared" si="3"/>
        <v>378.2</v>
      </c>
      <c r="K11" s="128">
        <f t="shared" si="3"/>
        <v>378.2</v>
      </c>
      <c r="L11" s="128">
        <f t="shared" si="3"/>
        <v>378.2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2">
        <v>750195.0</v>
      </c>
      <c r="B12" s="134" t="s">
        <v>227</v>
      </c>
      <c r="C12" s="125">
        <f t="shared" si="2"/>
        <v>41940.69</v>
      </c>
      <c r="D12" s="128"/>
      <c r="E12" s="128">
        <v>18033.45</v>
      </c>
      <c r="F12" s="128">
        <v>15731.32</v>
      </c>
      <c r="G12" s="128">
        <v>7362.04</v>
      </c>
      <c r="H12" s="128">
        <v>813.88</v>
      </c>
      <c r="I12" s="128"/>
      <c r="J12" s="128"/>
      <c r="K12" s="128"/>
      <c r="L12" s="12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32">
        <v>76.0</v>
      </c>
      <c r="B13" s="134" t="s">
        <v>228</v>
      </c>
      <c r="C13" s="125">
        <f t="shared" si="2"/>
        <v>1350</v>
      </c>
      <c r="D13" s="128"/>
      <c r="E13" s="128"/>
      <c r="F13" s="128">
        <v>450.0</v>
      </c>
      <c r="G13" s="128"/>
      <c r="H13" s="128"/>
      <c r="I13" s="128">
        <v>450.0</v>
      </c>
      <c r="J13" s="128"/>
      <c r="K13" s="128"/>
      <c r="L13" s="128">
        <v>450.0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32">
        <v>750107.0</v>
      </c>
      <c r="B14" s="134" t="s">
        <v>229</v>
      </c>
      <c r="C14" s="125">
        <f t="shared" si="2"/>
        <v>4000</v>
      </c>
      <c r="D14" s="128"/>
      <c r="E14" s="128">
        <v>2000.0</v>
      </c>
      <c r="F14" s="128"/>
      <c r="G14" s="128"/>
      <c r="H14" s="128">
        <v>2000.0</v>
      </c>
      <c r="I14" s="128"/>
      <c r="J14" s="128"/>
      <c r="K14" s="128"/>
      <c r="L14" s="12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32">
        <v>1076.0</v>
      </c>
      <c r="B15" s="157" t="s">
        <v>230</v>
      </c>
      <c r="C15" s="125">
        <f t="shared" si="2"/>
        <v>8245.12</v>
      </c>
      <c r="D15" s="128"/>
      <c r="E15" s="128">
        <v>1030.64</v>
      </c>
      <c r="F15" s="128">
        <v>1030.64</v>
      </c>
      <c r="G15" s="128">
        <v>1030.64</v>
      </c>
      <c r="H15" s="128">
        <v>1030.64</v>
      </c>
      <c r="I15" s="128">
        <v>1030.64</v>
      </c>
      <c r="J15" s="128">
        <v>1030.64</v>
      </c>
      <c r="K15" s="128">
        <v>1030.64</v>
      </c>
      <c r="L15" s="128">
        <v>1030.64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32">
        <v>1276.0</v>
      </c>
      <c r="B16" s="157" t="s">
        <v>231</v>
      </c>
      <c r="C16" s="125">
        <f t="shared" si="2"/>
        <v>3387.12</v>
      </c>
      <c r="D16" s="128"/>
      <c r="E16" s="128">
        <v>423.39</v>
      </c>
      <c r="F16" s="128">
        <v>423.39</v>
      </c>
      <c r="G16" s="128">
        <v>423.39</v>
      </c>
      <c r="H16" s="128">
        <v>423.39</v>
      </c>
      <c r="I16" s="128">
        <v>423.39</v>
      </c>
      <c r="J16" s="128">
        <v>423.39</v>
      </c>
      <c r="K16" s="128">
        <v>423.39</v>
      </c>
      <c r="L16" s="128">
        <v>423.39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32">
        <v>137.0</v>
      </c>
      <c r="B17" s="137" t="s">
        <v>232</v>
      </c>
      <c r="C17" s="125">
        <f t="shared" si="2"/>
        <v>0</v>
      </c>
      <c r="D17" s="128"/>
      <c r="E17" s="127">
        <v>0.0</v>
      </c>
      <c r="F17" s="127">
        <v>0.0</v>
      </c>
      <c r="G17" s="128"/>
      <c r="H17" s="128"/>
      <c r="I17" s="128"/>
      <c r="J17" s="128"/>
      <c r="K17" s="128"/>
      <c r="L17" s="12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32">
        <v>630515.0</v>
      </c>
      <c r="B18" s="157" t="s">
        <v>214</v>
      </c>
      <c r="C18" s="125">
        <f t="shared" si="2"/>
        <v>9000</v>
      </c>
      <c r="D18" s="128"/>
      <c r="E18" s="128"/>
      <c r="F18" s="128"/>
      <c r="G18" s="128">
        <v>9000.0</v>
      </c>
      <c r="H18" s="128"/>
      <c r="I18" s="128"/>
      <c r="J18" s="128"/>
      <c r="K18" s="128"/>
      <c r="L18" s="12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32"/>
      <c r="B19" s="137"/>
      <c r="C19" s="125">
        <f t="shared" si="2"/>
        <v>0</v>
      </c>
      <c r="D19" s="128"/>
      <c r="E19" s="128"/>
      <c r="F19" s="128"/>
      <c r="G19" s="128"/>
      <c r="H19" s="128"/>
      <c r="I19" s="128"/>
      <c r="J19" s="128"/>
      <c r="K19" s="128"/>
      <c r="L19" s="12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32"/>
      <c r="B20" s="137"/>
      <c r="C20" s="125">
        <f t="shared" si="2"/>
        <v>0</v>
      </c>
      <c r="D20" s="128"/>
      <c r="E20" s="128"/>
      <c r="F20" s="128"/>
      <c r="G20" s="128"/>
      <c r="H20" s="128"/>
      <c r="I20" s="128"/>
      <c r="J20" s="128"/>
      <c r="K20" s="128"/>
      <c r="L20" s="12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2"/>
      <c r="B21" s="137"/>
      <c r="C21" s="125">
        <f t="shared" si="2"/>
        <v>0</v>
      </c>
      <c r="D21" s="128"/>
      <c r="E21" s="128"/>
      <c r="F21" s="128"/>
      <c r="G21" s="128"/>
      <c r="H21" s="128"/>
      <c r="I21" s="128"/>
      <c r="J21" s="128"/>
      <c r="K21" s="128"/>
      <c r="L21" s="12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2"/>
      <c r="B22" s="137"/>
      <c r="C22" s="125">
        <f t="shared" si="2"/>
        <v>0</v>
      </c>
      <c r="D22" s="128"/>
      <c r="E22" s="128"/>
      <c r="F22" s="128"/>
      <c r="G22" s="128"/>
      <c r="H22" s="128"/>
      <c r="I22" s="128"/>
      <c r="J22" s="128"/>
      <c r="K22" s="128"/>
      <c r="L22" s="12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32"/>
      <c r="B23" s="137"/>
      <c r="C23" s="125">
        <f t="shared" si="2"/>
        <v>0</v>
      </c>
      <c r="D23" s="128"/>
      <c r="E23" s="128"/>
      <c r="F23" s="128"/>
      <c r="G23" s="128"/>
      <c r="H23" s="128"/>
      <c r="I23" s="128"/>
      <c r="J23" s="128"/>
      <c r="K23" s="128"/>
      <c r="L23" s="12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2"/>
      <c r="B24" s="137"/>
      <c r="C24" s="125">
        <f t="shared" si="2"/>
        <v>0</v>
      </c>
      <c r="D24" s="128"/>
      <c r="E24" s="128"/>
      <c r="F24" s="128"/>
      <c r="G24" s="128"/>
      <c r="H24" s="128"/>
      <c r="I24" s="128"/>
      <c r="J24" s="128"/>
      <c r="K24" s="128"/>
      <c r="L24" s="12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2"/>
      <c r="B25" s="137"/>
      <c r="C25" s="125">
        <f t="shared" si="2"/>
        <v>0</v>
      </c>
      <c r="D25" s="128"/>
      <c r="E25" s="128"/>
      <c r="F25" s="128"/>
      <c r="G25" s="128"/>
      <c r="H25" s="128"/>
      <c r="I25" s="128"/>
      <c r="J25" s="128"/>
      <c r="K25" s="128"/>
      <c r="L25" s="12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2"/>
      <c r="B26" s="137"/>
      <c r="C26" s="125">
        <f t="shared" si="2"/>
        <v>0</v>
      </c>
      <c r="D26" s="128"/>
      <c r="E26" s="128"/>
      <c r="F26" s="128"/>
      <c r="G26" s="128"/>
      <c r="H26" s="128"/>
      <c r="I26" s="128"/>
      <c r="J26" s="128"/>
      <c r="K26" s="128"/>
      <c r="L26" s="12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2"/>
      <c r="B27" s="137"/>
      <c r="C27" s="125">
        <f t="shared" si="2"/>
        <v>0</v>
      </c>
      <c r="D27" s="128"/>
      <c r="E27" s="128"/>
      <c r="F27" s="128"/>
      <c r="G27" s="128"/>
      <c r="H27" s="128"/>
      <c r="I27" s="128"/>
      <c r="J27" s="128"/>
      <c r="K27" s="128"/>
      <c r="L27" s="12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2"/>
      <c r="B28" s="137"/>
      <c r="C28" s="125">
        <f t="shared" si="2"/>
        <v>0</v>
      </c>
      <c r="D28" s="128"/>
      <c r="E28" s="128"/>
      <c r="F28" s="128"/>
      <c r="G28" s="128"/>
      <c r="H28" s="128"/>
      <c r="I28" s="128"/>
      <c r="J28" s="128"/>
      <c r="K28" s="128"/>
      <c r="L28" s="12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2"/>
      <c r="B29" s="137"/>
      <c r="C29" s="125">
        <f t="shared" si="2"/>
        <v>0</v>
      </c>
      <c r="D29" s="128"/>
      <c r="E29" s="128"/>
      <c r="F29" s="128"/>
      <c r="G29" s="128"/>
      <c r="H29" s="128"/>
      <c r="I29" s="128"/>
      <c r="J29" s="128"/>
      <c r="K29" s="128"/>
      <c r="L29" s="12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32"/>
      <c r="B30" s="137"/>
      <c r="C30" s="125">
        <f t="shared" si="2"/>
        <v>0</v>
      </c>
      <c r="D30" s="128"/>
      <c r="E30" s="128"/>
      <c r="F30" s="128"/>
      <c r="G30" s="128"/>
      <c r="H30" s="128"/>
      <c r="I30" s="128"/>
      <c r="J30" s="128"/>
      <c r="K30" s="128"/>
      <c r="L30" s="12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2"/>
      <c r="B31" s="137"/>
      <c r="C31" s="125">
        <f t="shared" si="2"/>
        <v>0</v>
      </c>
      <c r="D31" s="128"/>
      <c r="E31" s="128"/>
      <c r="F31" s="128"/>
      <c r="G31" s="128"/>
      <c r="H31" s="128"/>
      <c r="I31" s="128"/>
      <c r="J31" s="128"/>
      <c r="K31" s="128"/>
      <c r="L31" s="12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32"/>
      <c r="B32" s="137"/>
      <c r="C32" s="125">
        <f t="shared" si="2"/>
        <v>0</v>
      </c>
      <c r="D32" s="128"/>
      <c r="E32" s="128"/>
      <c r="F32" s="128"/>
      <c r="G32" s="128"/>
      <c r="H32" s="128"/>
      <c r="I32" s="128"/>
      <c r="J32" s="128"/>
      <c r="K32" s="128"/>
      <c r="L32" s="12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2"/>
      <c r="B33" s="137"/>
      <c r="C33" s="125">
        <f t="shared" si="2"/>
        <v>0</v>
      </c>
      <c r="D33" s="128"/>
      <c r="E33" s="128"/>
      <c r="F33" s="128"/>
      <c r="G33" s="128"/>
      <c r="H33" s="128"/>
      <c r="I33" s="128"/>
      <c r="J33" s="128"/>
      <c r="K33" s="128"/>
      <c r="L33" s="12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2"/>
      <c r="B34" s="137"/>
      <c r="C34" s="125">
        <f t="shared" si="2"/>
        <v>0</v>
      </c>
      <c r="D34" s="128"/>
      <c r="E34" s="128"/>
      <c r="F34" s="128"/>
      <c r="G34" s="128"/>
      <c r="H34" s="128"/>
      <c r="I34" s="128"/>
      <c r="J34" s="128"/>
      <c r="K34" s="128"/>
      <c r="L34" s="12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32"/>
      <c r="B35" s="137"/>
      <c r="C35" s="125">
        <f t="shared" si="2"/>
        <v>0</v>
      </c>
      <c r="D35" s="128"/>
      <c r="E35" s="128"/>
      <c r="F35" s="128"/>
      <c r="G35" s="128"/>
      <c r="H35" s="128"/>
      <c r="I35" s="128"/>
      <c r="J35" s="128"/>
      <c r="K35" s="128"/>
      <c r="L35" s="12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32"/>
      <c r="B36" s="137"/>
      <c r="C36" s="125">
        <f t="shared" si="2"/>
        <v>0</v>
      </c>
      <c r="D36" s="128"/>
      <c r="E36" s="128"/>
      <c r="F36" s="128"/>
      <c r="G36" s="128"/>
      <c r="H36" s="128"/>
      <c r="I36" s="128"/>
      <c r="J36" s="128"/>
      <c r="K36" s="128"/>
      <c r="L36" s="12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32"/>
      <c r="B37" s="137"/>
      <c r="C37" s="125">
        <f t="shared" si="2"/>
        <v>0</v>
      </c>
      <c r="D37" s="128"/>
      <c r="E37" s="128"/>
      <c r="F37" s="128"/>
      <c r="G37" s="128"/>
      <c r="H37" s="128"/>
      <c r="I37" s="128"/>
      <c r="J37" s="128"/>
      <c r="K37" s="128"/>
      <c r="L37" s="12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2"/>
      <c r="B38" s="137"/>
      <c r="C38" s="125">
        <f t="shared" si="2"/>
        <v>0</v>
      </c>
      <c r="D38" s="128"/>
      <c r="E38" s="128"/>
      <c r="F38" s="128"/>
      <c r="G38" s="128"/>
      <c r="H38" s="128"/>
      <c r="I38" s="128"/>
      <c r="J38" s="128"/>
      <c r="K38" s="128"/>
      <c r="L38" s="12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32"/>
      <c r="B39" s="137"/>
      <c r="C39" s="125">
        <f t="shared" si="2"/>
        <v>0</v>
      </c>
      <c r="D39" s="128"/>
      <c r="E39" s="128"/>
      <c r="F39" s="128"/>
      <c r="G39" s="128"/>
      <c r="H39" s="128"/>
      <c r="I39" s="128"/>
      <c r="J39" s="128"/>
      <c r="K39" s="128"/>
      <c r="L39" s="12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32"/>
      <c r="B40" s="137"/>
      <c r="C40" s="125">
        <f t="shared" si="2"/>
        <v>0</v>
      </c>
      <c r="D40" s="128"/>
      <c r="E40" s="128"/>
      <c r="F40" s="128"/>
      <c r="G40" s="128"/>
      <c r="H40" s="128"/>
      <c r="I40" s="128"/>
      <c r="J40" s="128"/>
      <c r="K40" s="128"/>
      <c r="L40" s="12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32"/>
      <c r="B41" s="137"/>
      <c r="C41" s="125">
        <f t="shared" si="2"/>
        <v>0</v>
      </c>
      <c r="D41" s="128"/>
      <c r="E41" s="128"/>
      <c r="F41" s="128"/>
      <c r="G41" s="128"/>
      <c r="H41" s="128"/>
      <c r="I41" s="128"/>
      <c r="J41" s="128"/>
      <c r="K41" s="128"/>
      <c r="L41" s="12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32"/>
      <c r="B42" s="137"/>
      <c r="C42" s="125">
        <f t="shared" si="2"/>
        <v>0</v>
      </c>
      <c r="D42" s="128"/>
      <c r="E42" s="128"/>
      <c r="F42" s="128"/>
      <c r="G42" s="128"/>
      <c r="H42" s="128"/>
      <c r="I42" s="128"/>
      <c r="J42" s="128"/>
      <c r="K42" s="128"/>
      <c r="L42" s="12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32"/>
      <c r="B43" s="137"/>
      <c r="C43" s="125">
        <f t="shared" si="2"/>
        <v>0</v>
      </c>
      <c r="D43" s="128"/>
      <c r="E43" s="128"/>
      <c r="F43" s="128"/>
      <c r="G43" s="128"/>
      <c r="H43" s="128"/>
      <c r="I43" s="128"/>
      <c r="J43" s="128"/>
      <c r="K43" s="128"/>
      <c r="L43" s="12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32"/>
      <c r="B44" s="137"/>
      <c r="C44" s="125">
        <f t="shared" si="2"/>
        <v>0</v>
      </c>
      <c r="D44" s="128"/>
      <c r="E44" s="128"/>
      <c r="F44" s="128"/>
      <c r="G44" s="128"/>
      <c r="H44" s="128"/>
      <c r="I44" s="128"/>
      <c r="J44" s="128"/>
      <c r="K44" s="128"/>
      <c r="L44" s="12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32"/>
      <c r="B45" s="137"/>
      <c r="C45" s="125">
        <f t="shared" si="2"/>
        <v>0</v>
      </c>
      <c r="D45" s="128"/>
      <c r="E45" s="128"/>
      <c r="F45" s="128"/>
      <c r="G45" s="128"/>
      <c r="H45" s="128"/>
      <c r="I45" s="128"/>
      <c r="J45" s="128"/>
      <c r="K45" s="128"/>
      <c r="L45" s="12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32"/>
      <c r="B46" s="137"/>
      <c r="C46" s="125">
        <f t="shared" si="2"/>
        <v>0</v>
      </c>
      <c r="D46" s="128"/>
      <c r="E46" s="128"/>
      <c r="F46" s="128"/>
      <c r="G46" s="128"/>
      <c r="H46" s="128"/>
      <c r="I46" s="128"/>
      <c r="J46" s="128"/>
      <c r="K46" s="128"/>
      <c r="L46" s="12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32"/>
      <c r="B47" s="137"/>
      <c r="C47" s="125">
        <f t="shared" si="2"/>
        <v>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32"/>
      <c r="B48" s="137"/>
      <c r="C48" s="125">
        <f t="shared" si="2"/>
        <v>0</v>
      </c>
      <c r="D48" s="128"/>
      <c r="E48" s="128"/>
      <c r="F48" s="128"/>
      <c r="G48" s="128"/>
      <c r="H48" s="128"/>
      <c r="I48" s="128"/>
      <c r="J48" s="128"/>
      <c r="K48" s="128"/>
      <c r="L48" s="12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32"/>
      <c r="B49" s="137"/>
      <c r="C49" s="125">
        <f t="shared" si="2"/>
        <v>0</v>
      </c>
      <c r="D49" s="128"/>
      <c r="E49" s="128"/>
      <c r="F49" s="128"/>
      <c r="G49" s="128"/>
      <c r="H49" s="128"/>
      <c r="I49" s="128"/>
      <c r="J49" s="128"/>
      <c r="K49" s="128"/>
      <c r="L49" s="12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32"/>
      <c r="B50" s="137"/>
      <c r="C50" s="125">
        <f t="shared" si="2"/>
        <v>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32"/>
      <c r="B51" s="137"/>
      <c r="C51" s="125">
        <f t="shared" si="2"/>
        <v>0</v>
      </c>
      <c r="D51" s="128"/>
      <c r="E51" s="128"/>
      <c r="F51" s="128"/>
      <c r="G51" s="128"/>
      <c r="H51" s="128"/>
      <c r="I51" s="128"/>
      <c r="J51" s="128"/>
      <c r="K51" s="128"/>
      <c r="L51" s="12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32"/>
      <c r="B52" s="137"/>
      <c r="C52" s="125">
        <f t="shared" si="2"/>
        <v>0</v>
      </c>
      <c r="D52" s="128"/>
      <c r="E52" s="128"/>
      <c r="F52" s="128"/>
      <c r="G52" s="128"/>
      <c r="H52" s="128"/>
      <c r="I52" s="128"/>
      <c r="J52" s="128"/>
      <c r="K52" s="128"/>
      <c r="L52" s="12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32"/>
      <c r="B53" s="137"/>
      <c r="C53" s="125">
        <f t="shared" si="2"/>
        <v>0</v>
      </c>
      <c r="D53" s="128"/>
      <c r="E53" s="128"/>
      <c r="F53" s="128"/>
      <c r="G53" s="128"/>
      <c r="H53" s="128"/>
      <c r="I53" s="128"/>
      <c r="J53" s="128"/>
      <c r="K53" s="128"/>
      <c r="L53" s="12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32"/>
      <c r="B54" s="137"/>
      <c r="C54" s="125">
        <f t="shared" si="2"/>
        <v>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32"/>
      <c r="B55" s="137"/>
      <c r="C55" s="125">
        <f t="shared" si="2"/>
        <v>0</v>
      </c>
      <c r="D55" s="128"/>
      <c r="E55" s="128"/>
      <c r="F55" s="128"/>
      <c r="G55" s="128"/>
      <c r="H55" s="128"/>
      <c r="I55" s="128"/>
      <c r="J55" s="128"/>
      <c r="K55" s="128"/>
      <c r="L55" s="12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32"/>
      <c r="B56" s="137"/>
      <c r="C56" s="125">
        <f t="shared" si="2"/>
        <v>0</v>
      </c>
      <c r="D56" s="128"/>
      <c r="E56" s="128"/>
      <c r="F56" s="128"/>
      <c r="G56" s="128"/>
      <c r="H56" s="128"/>
      <c r="I56" s="128"/>
      <c r="J56" s="128"/>
      <c r="K56" s="128"/>
      <c r="L56" s="12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32"/>
      <c r="B57" s="137"/>
      <c r="C57" s="125">
        <f t="shared" si="2"/>
        <v>0</v>
      </c>
      <c r="D57" s="128"/>
      <c r="E57" s="128"/>
      <c r="F57" s="128"/>
      <c r="G57" s="128"/>
      <c r="H57" s="128"/>
      <c r="I57" s="128"/>
      <c r="J57" s="128"/>
      <c r="K57" s="128"/>
      <c r="L57" s="12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32"/>
      <c r="B58" s="137"/>
      <c r="C58" s="125">
        <f t="shared" si="2"/>
        <v>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32"/>
      <c r="B59" s="137"/>
      <c r="C59" s="125">
        <f t="shared" si="2"/>
        <v>0</v>
      </c>
      <c r="D59" s="128"/>
      <c r="E59" s="128"/>
      <c r="F59" s="128"/>
      <c r="G59" s="128"/>
      <c r="H59" s="128"/>
      <c r="I59" s="128"/>
      <c r="J59" s="128"/>
      <c r="K59" s="128"/>
      <c r="L59" s="12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32"/>
      <c r="B60" s="137"/>
      <c r="C60" s="125">
        <f t="shared" si="2"/>
        <v>0</v>
      </c>
      <c r="D60" s="128"/>
      <c r="E60" s="128"/>
      <c r="F60" s="128"/>
      <c r="G60" s="128"/>
      <c r="H60" s="128"/>
      <c r="I60" s="128"/>
      <c r="J60" s="128"/>
      <c r="K60" s="128"/>
      <c r="L60" s="12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32"/>
      <c r="B61" s="137"/>
      <c r="C61" s="125">
        <f t="shared" si="2"/>
        <v>0</v>
      </c>
      <c r="D61" s="128"/>
      <c r="E61" s="128"/>
      <c r="F61" s="128"/>
      <c r="G61" s="128"/>
      <c r="H61" s="128"/>
      <c r="I61" s="128"/>
      <c r="J61" s="128"/>
      <c r="K61" s="128"/>
      <c r="L61" s="12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32"/>
      <c r="B62" s="137"/>
      <c r="C62" s="125">
        <f t="shared" si="2"/>
        <v>0</v>
      </c>
      <c r="D62" s="128"/>
      <c r="E62" s="128"/>
      <c r="F62" s="128"/>
      <c r="G62" s="128"/>
      <c r="H62" s="128"/>
      <c r="I62" s="128"/>
      <c r="J62" s="128"/>
      <c r="K62" s="128"/>
      <c r="L62" s="12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32"/>
      <c r="B63" s="137"/>
      <c r="C63" s="125">
        <f t="shared" si="2"/>
        <v>0</v>
      </c>
      <c r="D63" s="128"/>
      <c r="E63" s="128"/>
      <c r="F63" s="128"/>
      <c r="G63" s="128"/>
      <c r="H63" s="128"/>
      <c r="I63" s="128"/>
      <c r="J63" s="128"/>
      <c r="K63" s="128"/>
      <c r="L63" s="12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32"/>
      <c r="B64" s="137"/>
      <c r="C64" s="125">
        <f t="shared" si="2"/>
        <v>0</v>
      </c>
      <c r="D64" s="128"/>
      <c r="E64" s="128"/>
      <c r="F64" s="128"/>
      <c r="G64" s="128"/>
      <c r="H64" s="128"/>
      <c r="I64" s="128"/>
      <c r="J64" s="128"/>
      <c r="K64" s="128"/>
      <c r="L64" s="12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32"/>
      <c r="B65" s="137"/>
      <c r="C65" s="125">
        <f t="shared" si="2"/>
        <v>0</v>
      </c>
      <c r="D65" s="128"/>
      <c r="E65" s="128"/>
      <c r="F65" s="128"/>
      <c r="G65" s="128"/>
      <c r="H65" s="128"/>
      <c r="I65" s="128"/>
      <c r="J65" s="128"/>
      <c r="K65" s="128"/>
      <c r="L65" s="12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32"/>
      <c r="B66" s="138"/>
      <c r="C66" s="125">
        <f t="shared" si="2"/>
        <v>0</v>
      </c>
      <c r="D66" s="158"/>
      <c r="E66" s="158"/>
      <c r="F66" s="158"/>
      <c r="G66" s="158"/>
      <c r="H66" s="158"/>
      <c r="I66" s="158"/>
      <c r="J66" s="158"/>
      <c r="K66" s="158"/>
      <c r="L66" s="15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104"/>
      <c r="C67" s="3"/>
      <c r="D67" s="104"/>
      <c r="E67" s="104"/>
      <c r="F67" s="104"/>
      <c r="G67" s="104"/>
      <c r="H67" s="104"/>
      <c r="I67" s="104"/>
      <c r="J67" s="104"/>
      <c r="K67" s="104"/>
      <c r="L67" s="10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104"/>
      <c r="C68" s="3"/>
      <c r="D68" s="104"/>
      <c r="E68" s="104"/>
      <c r="F68" s="104"/>
      <c r="G68" s="104"/>
      <c r="H68" s="104"/>
      <c r="I68" s="104"/>
      <c r="J68" s="104"/>
      <c r="K68" s="104"/>
      <c r="L68" s="10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104"/>
      <c r="C69" s="3"/>
      <c r="D69" s="104"/>
      <c r="E69" s="104"/>
      <c r="F69" s="104"/>
      <c r="G69" s="104"/>
      <c r="H69" s="104"/>
      <c r="I69" s="104"/>
      <c r="J69" s="104"/>
      <c r="K69" s="104"/>
      <c r="L69" s="10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04"/>
      <c r="C70" s="3"/>
      <c r="D70" s="104"/>
      <c r="E70" s="104"/>
      <c r="F70" s="104"/>
      <c r="G70" s="104"/>
      <c r="H70" s="104"/>
      <c r="I70" s="104"/>
      <c r="J70" s="104"/>
      <c r="K70" s="104"/>
      <c r="L70" s="10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04"/>
      <c r="C71" s="3"/>
      <c r="D71" s="104"/>
      <c r="E71" s="104"/>
      <c r="F71" s="104"/>
      <c r="G71" s="104"/>
      <c r="H71" s="104"/>
      <c r="I71" s="104"/>
      <c r="J71" s="104"/>
      <c r="K71" s="104"/>
      <c r="L71" s="10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04"/>
      <c r="C72" s="3"/>
      <c r="D72" s="104"/>
      <c r="E72" s="104"/>
      <c r="F72" s="104"/>
      <c r="G72" s="104"/>
      <c r="H72" s="104"/>
      <c r="I72" s="104"/>
      <c r="J72" s="104"/>
      <c r="K72" s="104"/>
      <c r="L72" s="10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04"/>
      <c r="C73" s="3"/>
      <c r="D73" s="104"/>
      <c r="E73" s="104"/>
      <c r="F73" s="104"/>
      <c r="G73" s="104"/>
      <c r="H73" s="104"/>
      <c r="I73" s="104"/>
      <c r="J73" s="104"/>
      <c r="K73" s="104"/>
      <c r="L73" s="10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04"/>
      <c r="C74" s="3"/>
      <c r="D74" s="104"/>
      <c r="E74" s="104"/>
      <c r="F74" s="104"/>
      <c r="G74" s="104"/>
      <c r="H74" s="104"/>
      <c r="I74" s="104"/>
      <c r="J74" s="104"/>
      <c r="K74" s="104"/>
      <c r="L74" s="10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04"/>
      <c r="C75" s="3"/>
      <c r="D75" s="104"/>
      <c r="E75" s="104"/>
      <c r="F75" s="104"/>
      <c r="G75" s="104"/>
      <c r="H75" s="104"/>
      <c r="I75" s="104"/>
      <c r="J75" s="104"/>
      <c r="K75" s="104"/>
      <c r="L75" s="10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04"/>
      <c r="C76" s="3"/>
      <c r="D76" s="104"/>
      <c r="E76" s="104"/>
      <c r="F76" s="104"/>
      <c r="G76" s="104"/>
      <c r="H76" s="104"/>
      <c r="I76" s="104"/>
      <c r="J76" s="104"/>
      <c r="K76" s="104"/>
      <c r="L76" s="10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04"/>
      <c r="C77" s="3"/>
      <c r="D77" s="104"/>
      <c r="E77" s="104"/>
      <c r="F77" s="104"/>
      <c r="G77" s="104"/>
      <c r="H77" s="104"/>
      <c r="I77" s="104"/>
      <c r="J77" s="104"/>
      <c r="K77" s="104"/>
      <c r="L77" s="10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04"/>
      <c r="C78" s="3"/>
      <c r="D78" s="104"/>
      <c r="E78" s="104"/>
      <c r="F78" s="104"/>
      <c r="G78" s="104"/>
      <c r="H78" s="104"/>
      <c r="I78" s="104"/>
      <c r="J78" s="104"/>
      <c r="K78" s="104"/>
      <c r="L78" s="10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04"/>
      <c r="C79" s="3"/>
      <c r="D79" s="104"/>
      <c r="E79" s="104"/>
      <c r="F79" s="104"/>
      <c r="G79" s="104"/>
      <c r="H79" s="104"/>
      <c r="I79" s="104"/>
      <c r="J79" s="104"/>
      <c r="K79" s="104"/>
      <c r="L79" s="10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04"/>
      <c r="C80" s="3"/>
      <c r="D80" s="104"/>
      <c r="E80" s="104"/>
      <c r="F80" s="104"/>
      <c r="G80" s="104"/>
      <c r="H80" s="104"/>
      <c r="I80" s="104"/>
      <c r="J80" s="104"/>
      <c r="K80" s="104"/>
      <c r="L80" s="10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04"/>
      <c r="C81" s="3"/>
      <c r="D81" s="104"/>
      <c r="E81" s="104"/>
      <c r="F81" s="104"/>
      <c r="G81" s="104"/>
      <c r="H81" s="104"/>
      <c r="I81" s="104"/>
      <c r="J81" s="104"/>
      <c r="K81" s="104"/>
      <c r="L81" s="10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04"/>
      <c r="C82" s="3"/>
      <c r="D82" s="104"/>
      <c r="E82" s="104"/>
      <c r="F82" s="104"/>
      <c r="G82" s="104"/>
      <c r="H82" s="104"/>
      <c r="I82" s="104"/>
      <c r="J82" s="104"/>
      <c r="K82" s="104"/>
      <c r="L82" s="10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04"/>
      <c r="C83" s="3"/>
      <c r="D83" s="104"/>
      <c r="E83" s="104"/>
      <c r="F83" s="104"/>
      <c r="G83" s="104"/>
      <c r="H83" s="104"/>
      <c r="I83" s="104"/>
      <c r="J83" s="104"/>
      <c r="K83" s="104"/>
      <c r="L83" s="10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04"/>
      <c r="C84" s="3"/>
      <c r="D84" s="104"/>
      <c r="E84" s="104"/>
      <c r="F84" s="104"/>
      <c r="G84" s="104"/>
      <c r="H84" s="104"/>
      <c r="I84" s="104"/>
      <c r="J84" s="104"/>
      <c r="K84" s="104"/>
      <c r="L84" s="10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04"/>
      <c r="C85" s="3"/>
      <c r="D85" s="104"/>
      <c r="E85" s="104"/>
      <c r="F85" s="104"/>
      <c r="G85" s="104"/>
      <c r="H85" s="104"/>
      <c r="I85" s="104"/>
      <c r="J85" s="104"/>
      <c r="K85" s="104"/>
      <c r="L85" s="10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04"/>
      <c r="C86" s="3"/>
      <c r="D86" s="104"/>
      <c r="E86" s="104"/>
      <c r="F86" s="104"/>
      <c r="G86" s="104"/>
      <c r="H86" s="104"/>
      <c r="I86" s="104"/>
      <c r="J86" s="104"/>
      <c r="K86" s="104"/>
      <c r="L86" s="10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04"/>
      <c r="C87" s="3"/>
      <c r="D87" s="104"/>
      <c r="E87" s="104"/>
      <c r="F87" s="104"/>
      <c r="G87" s="104"/>
      <c r="H87" s="104"/>
      <c r="I87" s="104"/>
      <c r="J87" s="104"/>
      <c r="K87" s="104"/>
      <c r="L87" s="10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04"/>
      <c r="C88" s="3"/>
      <c r="D88" s="104"/>
      <c r="E88" s="104"/>
      <c r="F88" s="104"/>
      <c r="G88" s="104"/>
      <c r="H88" s="104"/>
      <c r="I88" s="104"/>
      <c r="J88" s="104"/>
      <c r="K88" s="104"/>
      <c r="L88" s="10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04"/>
      <c r="C89" s="3"/>
      <c r="D89" s="104"/>
      <c r="E89" s="104"/>
      <c r="F89" s="104"/>
      <c r="G89" s="104"/>
      <c r="H89" s="104"/>
      <c r="I89" s="104"/>
      <c r="J89" s="104"/>
      <c r="K89" s="104"/>
      <c r="L89" s="10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04"/>
      <c r="C90" s="3"/>
      <c r="D90" s="104"/>
      <c r="E90" s="104"/>
      <c r="F90" s="104"/>
      <c r="G90" s="104"/>
      <c r="H90" s="104"/>
      <c r="I90" s="104"/>
      <c r="J90" s="104"/>
      <c r="K90" s="104"/>
      <c r="L90" s="10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04"/>
      <c r="C91" s="3"/>
      <c r="D91" s="104"/>
      <c r="E91" s="104"/>
      <c r="F91" s="104"/>
      <c r="G91" s="104"/>
      <c r="H91" s="104"/>
      <c r="I91" s="104"/>
      <c r="J91" s="104"/>
      <c r="K91" s="104"/>
      <c r="L91" s="10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04"/>
      <c r="C92" s="3"/>
      <c r="D92" s="104"/>
      <c r="E92" s="104"/>
      <c r="F92" s="104"/>
      <c r="G92" s="104"/>
      <c r="H92" s="104"/>
      <c r="I92" s="104"/>
      <c r="J92" s="104"/>
      <c r="K92" s="104"/>
      <c r="L92" s="10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04"/>
      <c r="C93" s="3"/>
      <c r="D93" s="104"/>
      <c r="E93" s="104"/>
      <c r="F93" s="104"/>
      <c r="G93" s="104"/>
      <c r="H93" s="104"/>
      <c r="I93" s="104"/>
      <c r="J93" s="104"/>
      <c r="K93" s="104"/>
      <c r="L93" s="10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04"/>
      <c r="C94" s="3"/>
      <c r="D94" s="104"/>
      <c r="E94" s="104"/>
      <c r="F94" s="104"/>
      <c r="G94" s="104"/>
      <c r="H94" s="104"/>
      <c r="I94" s="104"/>
      <c r="J94" s="104"/>
      <c r="K94" s="104"/>
      <c r="L94" s="10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04"/>
      <c r="C95" s="3"/>
      <c r="D95" s="104"/>
      <c r="E95" s="104"/>
      <c r="F95" s="104"/>
      <c r="G95" s="104"/>
      <c r="H95" s="104"/>
      <c r="I95" s="104"/>
      <c r="J95" s="104"/>
      <c r="K95" s="104"/>
      <c r="L95" s="10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04"/>
      <c r="C96" s="3"/>
      <c r="D96" s="104"/>
      <c r="E96" s="104"/>
      <c r="F96" s="104"/>
      <c r="G96" s="104"/>
      <c r="H96" s="104"/>
      <c r="I96" s="104"/>
      <c r="J96" s="104"/>
      <c r="K96" s="104"/>
      <c r="L96" s="10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04"/>
      <c r="C97" s="3"/>
      <c r="D97" s="104"/>
      <c r="E97" s="104"/>
      <c r="F97" s="104"/>
      <c r="G97" s="104"/>
      <c r="H97" s="104"/>
      <c r="I97" s="104"/>
      <c r="J97" s="104"/>
      <c r="K97" s="104"/>
      <c r="L97" s="10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04"/>
      <c r="C98" s="3"/>
      <c r="D98" s="104"/>
      <c r="E98" s="104"/>
      <c r="F98" s="104"/>
      <c r="G98" s="104"/>
      <c r="H98" s="104"/>
      <c r="I98" s="104"/>
      <c r="J98" s="104"/>
      <c r="K98" s="104"/>
      <c r="L98" s="10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04"/>
      <c r="C99" s="3"/>
      <c r="D99" s="104"/>
      <c r="E99" s="104"/>
      <c r="F99" s="104"/>
      <c r="G99" s="104"/>
      <c r="H99" s="104"/>
      <c r="I99" s="104"/>
      <c r="J99" s="104"/>
      <c r="K99" s="104"/>
      <c r="L99" s="10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04"/>
      <c r="C100" s="3"/>
      <c r="D100" s="104"/>
      <c r="E100" s="104"/>
      <c r="F100" s="104"/>
      <c r="G100" s="104"/>
      <c r="H100" s="104"/>
      <c r="I100" s="104"/>
      <c r="J100" s="104"/>
      <c r="K100" s="104"/>
      <c r="L100" s="10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04"/>
      <c r="C101" s="3"/>
      <c r="D101" s="104"/>
      <c r="E101" s="104"/>
      <c r="F101" s="104"/>
      <c r="G101" s="104"/>
      <c r="H101" s="104"/>
      <c r="I101" s="104"/>
      <c r="J101" s="104"/>
      <c r="K101" s="104"/>
      <c r="L101" s="10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04"/>
      <c r="C102" s="3"/>
      <c r="D102" s="104"/>
      <c r="E102" s="104"/>
      <c r="F102" s="104"/>
      <c r="G102" s="104"/>
      <c r="H102" s="104"/>
      <c r="I102" s="104"/>
      <c r="J102" s="104"/>
      <c r="K102" s="104"/>
      <c r="L102" s="10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04"/>
      <c r="C103" s="3"/>
      <c r="D103" s="104"/>
      <c r="E103" s="104"/>
      <c r="F103" s="104"/>
      <c r="G103" s="104"/>
      <c r="H103" s="104"/>
      <c r="I103" s="104"/>
      <c r="J103" s="104"/>
      <c r="K103" s="104"/>
      <c r="L103" s="10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04"/>
      <c r="C104" s="3"/>
      <c r="D104" s="104"/>
      <c r="E104" s="104"/>
      <c r="F104" s="104"/>
      <c r="G104" s="104"/>
      <c r="H104" s="104"/>
      <c r="I104" s="104"/>
      <c r="J104" s="104"/>
      <c r="K104" s="104"/>
      <c r="L104" s="10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04"/>
      <c r="C105" s="3"/>
      <c r="D105" s="104"/>
      <c r="E105" s="104"/>
      <c r="F105" s="104"/>
      <c r="G105" s="104"/>
      <c r="H105" s="104"/>
      <c r="I105" s="104"/>
      <c r="J105" s="104"/>
      <c r="K105" s="104"/>
      <c r="L105" s="10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04"/>
      <c r="C106" s="3"/>
      <c r="D106" s="104"/>
      <c r="E106" s="104"/>
      <c r="F106" s="104"/>
      <c r="G106" s="104"/>
      <c r="H106" s="104"/>
      <c r="I106" s="104"/>
      <c r="J106" s="104"/>
      <c r="K106" s="104"/>
      <c r="L106" s="10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04"/>
      <c r="C107" s="3"/>
      <c r="D107" s="104"/>
      <c r="E107" s="104"/>
      <c r="F107" s="104"/>
      <c r="G107" s="104"/>
      <c r="H107" s="104"/>
      <c r="I107" s="104"/>
      <c r="J107" s="104"/>
      <c r="K107" s="104"/>
      <c r="L107" s="10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04"/>
      <c r="C108" s="3"/>
      <c r="D108" s="104"/>
      <c r="E108" s="104"/>
      <c r="F108" s="104"/>
      <c r="G108" s="104"/>
      <c r="H108" s="104"/>
      <c r="I108" s="104"/>
      <c r="J108" s="104"/>
      <c r="K108" s="104"/>
      <c r="L108" s="10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04"/>
      <c r="C109" s="3"/>
      <c r="D109" s="104"/>
      <c r="E109" s="104"/>
      <c r="F109" s="104"/>
      <c r="G109" s="104"/>
      <c r="H109" s="104"/>
      <c r="I109" s="104"/>
      <c r="J109" s="104"/>
      <c r="K109" s="104"/>
      <c r="L109" s="10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04"/>
      <c r="C110" s="3"/>
      <c r="D110" s="104"/>
      <c r="E110" s="104"/>
      <c r="F110" s="104"/>
      <c r="G110" s="104"/>
      <c r="H110" s="104"/>
      <c r="I110" s="104"/>
      <c r="J110" s="104"/>
      <c r="K110" s="104"/>
      <c r="L110" s="10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04"/>
      <c r="C111" s="3"/>
      <c r="D111" s="104"/>
      <c r="E111" s="104"/>
      <c r="F111" s="104"/>
      <c r="G111" s="104"/>
      <c r="H111" s="104"/>
      <c r="I111" s="104"/>
      <c r="J111" s="104"/>
      <c r="K111" s="104"/>
      <c r="L111" s="10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04"/>
      <c r="C112" s="3"/>
      <c r="D112" s="104"/>
      <c r="E112" s="104"/>
      <c r="F112" s="104"/>
      <c r="G112" s="104"/>
      <c r="H112" s="104"/>
      <c r="I112" s="104"/>
      <c r="J112" s="104"/>
      <c r="K112" s="104"/>
      <c r="L112" s="10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04"/>
      <c r="C113" s="3"/>
      <c r="D113" s="104"/>
      <c r="E113" s="104"/>
      <c r="F113" s="104"/>
      <c r="G113" s="104"/>
      <c r="H113" s="104"/>
      <c r="I113" s="104"/>
      <c r="J113" s="104"/>
      <c r="K113" s="104"/>
      <c r="L113" s="10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04"/>
      <c r="C114" s="3"/>
      <c r="D114" s="104"/>
      <c r="E114" s="104"/>
      <c r="F114" s="104"/>
      <c r="G114" s="104"/>
      <c r="H114" s="104"/>
      <c r="I114" s="104"/>
      <c r="J114" s="104"/>
      <c r="K114" s="104"/>
      <c r="L114" s="10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04"/>
      <c r="C115" s="3"/>
      <c r="D115" s="104"/>
      <c r="E115" s="104"/>
      <c r="F115" s="104"/>
      <c r="G115" s="104"/>
      <c r="H115" s="104"/>
      <c r="I115" s="104"/>
      <c r="J115" s="104"/>
      <c r="K115" s="104"/>
      <c r="L115" s="10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04"/>
      <c r="C116" s="3"/>
      <c r="D116" s="104"/>
      <c r="E116" s="104"/>
      <c r="F116" s="104"/>
      <c r="G116" s="104"/>
      <c r="H116" s="104"/>
      <c r="I116" s="104"/>
      <c r="J116" s="104"/>
      <c r="K116" s="104"/>
      <c r="L116" s="10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04"/>
      <c r="C117" s="3"/>
      <c r="D117" s="104"/>
      <c r="E117" s="104"/>
      <c r="F117" s="104"/>
      <c r="G117" s="104"/>
      <c r="H117" s="104"/>
      <c r="I117" s="104"/>
      <c r="J117" s="104"/>
      <c r="K117" s="104"/>
      <c r="L117" s="10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04"/>
      <c r="C118" s="3"/>
      <c r="D118" s="104"/>
      <c r="E118" s="104"/>
      <c r="F118" s="104"/>
      <c r="G118" s="104"/>
      <c r="H118" s="104"/>
      <c r="I118" s="104"/>
      <c r="J118" s="104"/>
      <c r="K118" s="104"/>
      <c r="L118" s="10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04"/>
      <c r="C119" s="3"/>
      <c r="D119" s="104"/>
      <c r="E119" s="104"/>
      <c r="F119" s="104"/>
      <c r="G119" s="104"/>
      <c r="H119" s="104"/>
      <c r="I119" s="104"/>
      <c r="J119" s="104"/>
      <c r="K119" s="104"/>
      <c r="L119" s="10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04"/>
      <c r="C120" s="3"/>
      <c r="D120" s="104"/>
      <c r="E120" s="104"/>
      <c r="F120" s="104"/>
      <c r="G120" s="104"/>
      <c r="H120" s="104"/>
      <c r="I120" s="104"/>
      <c r="J120" s="104"/>
      <c r="K120" s="104"/>
      <c r="L120" s="10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04"/>
      <c r="C121" s="3"/>
      <c r="D121" s="104"/>
      <c r="E121" s="104"/>
      <c r="F121" s="104"/>
      <c r="G121" s="104"/>
      <c r="H121" s="104"/>
      <c r="I121" s="104"/>
      <c r="J121" s="104"/>
      <c r="K121" s="104"/>
      <c r="L121" s="10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04"/>
      <c r="C122" s="3"/>
      <c r="D122" s="104"/>
      <c r="E122" s="104"/>
      <c r="F122" s="104"/>
      <c r="G122" s="104"/>
      <c r="H122" s="104"/>
      <c r="I122" s="104"/>
      <c r="J122" s="104"/>
      <c r="K122" s="104"/>
      <c r="L122" s="10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04"/>
      <c r="C123" s="3"/>
      <c r="D123" s="104"/>
      <c r="E123" s="104"/>
      <c r="F123" s="104"/>
      <c r="G123" s="104"/>
      <c r="H123" s="104"/>
      <c r="I123" s="104"/>
      <c r="J123" s="104"/>
      <c r="K123" s="104"/>
      <c r="L123" s="10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04"/>
      <c r="C124" s="3"/>
      <c r="D124" s="104"/>
      <c r="E124" s="104"/>
      <c r="F124" s="104"/>
      <c r="G124" s="104"/>
      <c r="H124" s="104"/>
      <c r="I124" s="104"/>
      <c r="J124" s="104"/>
      <c r="K124" s="104"/>
      <c r="L124" s="10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04"/>
      <c r="C125" s="3"/>
      <c r="D125" s="104"/>
      <c r="E125" s="104"/>
      <c r="F125" s="104"/>
      <c r="G125" s="104"/>
      <c r="H125" s="104"/>
      <c r="I125" s="104"/>
      <c r="J125" s="104"/>
      <c r="K125" s="104"/>
      <c r="L125" s="10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04"/>
      <c r="C126" s="3"/>
      <c r="D126" s="104"/>
      <c r="E126" s="104"/>
      <c r="F126" s="104"/>
      <c r="G126" s="104"/>
      <c r="H126" s="104"/>
      <c r="I126" s="104"/>
      <c r="J126" s="104"/>
      <c r="K126" s="104"/>
      <c r="L126" s="10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04"/>
      <c r="C127" s="3"/>
      <c r="D127" s="104"/>
      <c r="E127" s="104"/>
      <c r="F127" s="104"/>
      <c r="G127" s="104"/>
      <c r="H127" s="104"/>
      <c r="I127" s="104"/>
      <c r="J127" s="104"/>
      <c r="K127" s="104"/>
      <c r="L127" s="10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04"/>
      <c r="C128" s="3"/>
      <c r="D128" s="104"/>
      <c r="E128" s="104"/>
      <c r="F128" s="104"/>
      <c r="G128" s="104"/>
      <c r="H128" s="104"/>
      <c r="I128" s="104"/>
      <c r="J128" s="104"/>
      <c r="K128" s="104"/>
      <c r="L128" s="10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04"/>
      <c r="C129" s="3"/>
      <c r="D129" s="104"/>
      <c r="E129" s="104"/>
      <c r="F129" s="104"/>
      <c r="G129" s="104"/>
      <c r="H129" s="104"/>
      <c r="I129" s="104"/>
      <c r="J129" s="104"/>
      <c r="K129" s="104"/>
      <c r="L129" s="10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04"/>
      <c r="C130" s="3"/>
      <c r="D130" s="104"/>
      <c r="E130" s="104"/>
      <c r="F130" s="104"/>
      <c r="G130" s="104"/>
      <c r="H130" s="104"/>
      <c r="I130" s="104"/>
      <c r="J130" s="104"/>
      <c r="K130" s="104"/>
      <c r="L130" s="10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04"/>
      <c r="C131" s="3"/>
      <c r="D131" s="104"/>
      <c r="E131" s="104"/>
      <c r="F131" s="104"/>
      <c r="G131" s="104"/>
      <c r="H131" s="104"/>
      <c r="I131" s="104"/>
      <c r="J131" s="104"/>
      <c r="K131" s="104"/>
      <c r="L131" s="10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04"/>
      <c r="C132" s="3"/>
      <c r="D132" s="104"/>
      <c r="E132" s="104"/>
      <c r="F132" s="104"/>
      <c r="G132" s="104"/>
      <c r="H132" s="104"/>
      <c r="I132" s="104"/>
      <c r="J132" s="104"/>
      <c r="K132" s="104"/>
      <c r="L132" s="10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04"/>
      <c r="C133" s="3"/>
      <c r="D133" s="104"/>
      <c r="E133" s="104"/>
      <c r="F133" s="104"/>
      <c r="G133" s="104"/>
      <c r="H133" s="104"/>
      <c r="I133" s="104"/>
      <c r="J133" s="104"/>
      <c r="K133" s="104"/>
      <c r="L133" s="10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04"/>
      <c r="C134" s="3"/>
      <c r="D134" s="104"/>
      <c r="E134" s="104"/>
      <c r="F134" s="104"/>
      <c r="G134" s="104"/>
      <c r="H134" s="104"/>
      <c r="I134" s="104"/>
      <c r="J134" s="104"/>
      <c r="K134" s="104"/>
      <c r="L134" s="10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04"/>
      <c r="C135" s="3"/>
      <c r="D135" s="104"/>
      <c r="E135" s="104"/>
      <c r="F135" s="104"/>
      <c r="G135" s="104"/>
      <c r="H135" s="104"/>
      <c r="I135" s="104"/>
      <c r="J135" s="104"/>
      <c r="K135" s="104"/>
      <c r="L135" s="10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04"/>
      <c r="C136" s="3"/>
      <c r="D136" s="104"/>
      <c r="E136" s="104"/>
      <c r="F136" s="104"/>
      <c r="G136" s="104"/>
      <c r="H136" s="104"/>
      <c r="I136" s="104"/>
      <c r="J136" s="104"/>
      <c r="K136" s="104"/>
      <c r="L136" s="10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04"/>
      <c r="C137" s="3"/>
      <c r="D137" s="104"/>
      <c r="E137" s="104"/>
      <c r="F137" s="104"/>
      <c r="G137" s="104"/>
      <c r="H137" s="104"/>
      <c r="I137" s="104"/>
      <c r="J137" s="104"/>
      <c r="K137" s="104"/>
      <c r="L137" s="10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04"/>
      <c r="C138" s="3"/>
      <c r="D138" s="104"/>
      <c r="E138" s="104"/>
      <c r="F138" s="104"/>
      <c r="G138" s="104"/>
      <c r="H138" s="104"/>
      <c r="I138" s="104"/>
      <c r="J138" s="104"/>
      <c r="K138" s="104"/>
      <c r="L138" s="10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04"/>
      <c r="C139" s="3"/>
      <c r="D139" s="104"/>
      <c r="E139" s="104"/>
      <c r="F139" s="104"/>
      <c r="G139" s="104"/>
      <c r="H139" s="104"/>
      <c r="I139" s="104"/>
      <c r="J139" s="104"/>
      <c r="K139" s="104"/>
      <c r="L139" s="10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04"/>
      <c r="C140" s="3"/>
      <c r="D140" s="104"/>
      <c r="E140" s="104"/>
      <c r="F140" s="104"/>
      <c r="G140" s="104"/>
      <c r="H140" s="104"/>
      <c r="I140" s="104"/>
      <c r="J140" s="104"/>
      <c r="K140" s="104"/>
      <c r="L140" s="10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04"/>
      <c r="C141" s="3"/>
      <c r="D141" s="104"/>
      <c r="E141" s="104"/>
      <c r="F141" s="104"/>
      <c r="G141" s="104"/>
      <c r="H141" s="104"/>
      <c r="I141" s="104"/>
      <c r="J141" s="104"/>
      <c r="K141" s="104"/>
      <c r="L141" s="10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04"/>
      <c r="C142" s="3"/>
      <c r="D142" s="104"/>
      <c r="E142" s="104"/>
      <c r="F142" s="104"/>
      <c r="G142" s="104"/>
      <c r="H142" s="104"/>
      <c r="I142" s="104"/>
      <c r="J142" s="104"/>
      <c r="K142" s="104"/>
      <c r="L142" s="10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04"/>
      <c r="C143" s="3"/>
      <c r="D143" s="104"/>
      <c r="E143" s="104"/>
      <c r="F143" s="104"/>
      <c r="G143" s="104"/>
      <c r="H143" s="104"/>
      <c r="I143" s="104"/>
      <c r="J143" s="104"/>
      <c r="K143" s="104"/>
      <c r="L143" s="10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04"/>
      <c r="C144" s="3"/>
      <c r="D144" s="104"/>
      <c r="E144" s="104"/>
      <c r="F144" s="104"/>
      <c r="G144" s="104"/>
      <c r="H144" s="104"/>
      <c r="I144" s="104"/>
      <c r="J144" s="104"/>
      <c r="K144" s="104"/>
      <c r="L144" s="10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04"/>
      <c r="C145" s="3"/>
      <c r="D145" s="104"/>
      <c r="E145" s="104"/>
      <c r="F145" s="104"/>
      <c r="G145" s="104"/>
      <c r="H145" s="104"/>
      <c r="I145" s="104"/>
      <c r="J145" s="104"/>
      <c r="K145" s="104"/>
      <c r="L145" s="10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04"/>
      <c r="C146" s="3"/>
      <c r="D146" s="104"/>
      <c r="E146" s="104"/>
      <c r="F146" s="104"/>
      <c r="G146" s="104"/>
      <c r="H146" s="104"/>
      <c r="I146" s="104"/>
      <c r="J146" s="104"/>
      <c r="K146" s="104"/>
      <c r="L146" s="10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04"/>
      <c r="C147" s="3"/>
      <c r="D147" s="104"/>
      <c r="E147" s="104"/>
      <c r="F147" s="104"/>
      <c r="G147" s="104"/>
      <c r="H147" s="104"/>
      <c r="I147" s="104"/>
      <c r="J147" s="104"/>
      <c r="K147" s="104"/>
      <c r="L147" s="10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04"/>
      <c r="C148" s="3"/>
      <c r="D148" s="104"/>
      <c r="E148" s="104"/>
      <c r="F148" s="104"/>
      <c r="G148" s="104"/>
      <c r="H148" s="104"/>
      <c r="I148" s="104"/>
      <c r="J148" s="104"/>
      <c r="K148" s="104"/>
      <c r="L148" s="10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04"/>
      <c r="C149" s="3"/>
      <c r="D149" s="104"/>
      <c r="E149" s="104"/>
      <c r="F149" s="104"/>
      <c r="G149" s="104"/>
      <c r="H149" s="104"/>
      <c r="I149" s="104"/>
      <c r="J149" s="104"/>
      <c r="K149" s="104"/>
      <c r="L149" s="10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04"/>
      <c r="C150" s="3"/>
      <c r="D150" s="104"/>
      <c r="E150" s="104"/>
      <c r="F150" s="104"/>
      <c r="G150" s="104"/>
      <c r="H150" s="104"/>
      <c r="I150" s="104"/>
      <c r="J150" s="104"/>
      <c r="K150" s="104"/>
      <c r="L150" s="10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04"/>
      <c r="C151" s="3"/>
      <c r="D151" s="104"/>
      <c r="E151" s="104"/>
      <c r="F151" s="104"/>
      <c r="G151" s="104"/>
      <c r="H151" s="104"/>
      <c r="I151" s="104"/>
      <c r="J151" s="104"/>
      <c r="K151" s="104"/>
      <c r="L151" s="10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04"/>
      <c r="C152" s="3"/>
      <c r="D152" s="104"/>
      <c r="E152" s="104"/>
      <c r="F152" s="104"/>
      <c r="G152" s="104"/>
      <c r="H152" s="104"/>
      <c r="I152" s="104"/>
      <c r="J152" s="104"/>
      <c r="K152" s="104"/>
      <c r="L152" s="10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04"/>
      <c r="C153" s="3"/>
      <c r="D153" s="104"/>
      <c r="E153" s="104"/>
      <c r="F153" s="104"/>
      <c r="G153" s="104"/>
      <c r="H153" s="104"/>
      <c r="I153" s="104"/>
      <c r="J153" s="104"/>
      <c r="K153" s="104"/>
      <c r="L153" s="10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04"/>
      <c r="C154" s="3"/>
      <c r="D154" s="104"/>
      <c r="E154" s="104"/>
      <c r="F154" s="104"/>
      <c r="G154" s="104"/>
      <c r="H154" s="104"/>
      <c r="I154" s="104"/>
      <c r="J154" s="104"/>
      <c r="K154" s="104"/>
      <c r="L154" s="10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04"/>
      <c r="C155" s="3"/>
      <c r="D155" s="104"/>
      <c r="E155" s="104"/>
      <c r="F155" s="104"/>
      <c r="G155" s="104"/>
      <c r="H155" s="104"/>
      <c r="I155" s="104"/>
      <c r="J155" s="104"/>
      <c r="K155" s="104"/>
      <c r="L155" s="10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04"/>
      <c r="C156" s="3"/>
      <c r="D156" s="104"/>
      <c r="E156" s="104"/>
      <c r="F156" s="104"/>
      <c r="G156" s="104"/>
      <c r="H156" s="104"/>
      <c r="I156" s="104"/>
      <c r="J156" s="104"/>
      <c r="K156" s="104"/>
      <c r="L156" s="10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04"/>
      <c r="C157" s="3"/>
      <c r="D157" s="104"/>
      <c r="E157" s="104"/>
      <c r="F157" s="104"/>
      <c r="G157" s="104"/>
      <c r="H157" s="104"/>
      <c r="I157" s="104"/>
      <c r="J157" s="104"/>
      <c r="K157" s="104"/>
      <c r="L157" s="10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04"/>
      <c r="C158" s="3"/>
      <c r="D158" s="104"/>
      <c r="E158" s="104"/>
      <c r="F158" s="104"/>
      <c r="G158" s="104"/>
      <c r="H158" s="104"/>
      <c r="I158" s="104"/>
      <c r="J158" s="104"/>
      <c r="K158" s="104"/>
      <c r="L158" s="10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04"/>
      <c r="C159" s="3"/>
      <c r="D159" s="104"/>
      <c r="E159" s="104"/>
      <c r="F159" s="104"/>
      <c r="G159" s="104"/>
      <c r="H159" s="104"/>
      <c r="I159" s="104"/>
      <c r="J159" s="104"/>
      <c r="K159" s="104"/>
      <c r="L159" s="10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04"/>
      <c r="C160" s="3"/>
      <c r="D160" s="104"/>
      <c r="E160" s="104"/>
      <c r="F160" s="104"/>
      <c r="G160" s="104"/>
      <c r="H160" s="104"/>
      <c r="I160" s="104"/>
      <c r="J160" s="104"/>
      <c r="K160" s="104"/>
      <c r="L160" s="10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04"/>
      <c r="C161" s="3"/>
      <c r="D161" s="104"/>
      <c r="E161" s="104"/>
      <c r="F161" s="104"/>
      <c r="G161" s="104"/>
      <c r="H161" s="104"/>
      <c r="I161" s="104"/>
      <c r="J161" s="104"/>
      <c r="K161" s="104"/>
      <c r="L161" s="10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04"/>
      <c r="C162" s="3"/>
      <c r="D162" s="104"/>
      <c r="E162" s="104"/>
      <c r="F162" s="104"/>
      <c r="G162" s="104"/>
      <c r="H162" s="104"/>
      <c r="I162" s="104"/>
      <c r="J162" s="104"/>
      <c r="K162" s="104"/>
      <c r="L162" s="10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04"/>
      <c r="C163" s="3"/>
      <c r="D163" s="104"/>
      <c r="E163" s="104"/>
      <c r="F163" s="104"/>
      <c r="G163" s="104"/>
      <c r="H163" s="104"/>
      <c r="I163" s="104"/>
      <c r="J163" s="104"/>
      <c r="K163" s="104"/>
      <c r="L163" s="10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04"/>
      <c r="C164" s="3"/>
      <c r="D164" s="104"/>
      <c r="E164" s="104"/>
      <c r="F164" s="104"/>
      <c r="G164" s="104"/>
      <c r="H164" s="104"/>
      <c r="I164" s="104"/>
      <c r="J164" s="104"/>
      <c r="K164" s="104"/>
      <c r="L164" s="10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04"/>
      <c r="C165" s="3"/>
      <c r="D165" s="104"/>
      <c r="E165" s="104"/>
      <c r="F165" s="104"/>
      <c r="G165" s="104"/>
      <c r="H165" s="104"/>
      <c r="I165" s="104"/>
      <c r="J165" s="104"/>
      <c r="K165" s="104"/>
      <c r="L165" s="10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04"/>
      <c r="C166" s="3"/>
      <c r="D166" s="104"/>
      <c r="E166" s="104"/>
      <c r="F166" s="104"/>
      <c r="G166" s="104"/>
      <c r="H166" s="104"/>
      <c r="I166" s="104"/>
      <c r="J166" s="104"/>
      <c r="K166" s="104"/>
      <c r="L166" s="10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04"/>
      <c r="C167" s="3"/>
      <c r="D167" s="104"/>
      <c r="E167" s="104"/>
      <c r="F167" s="104"/>
      <c r="G167" s="104"/>
      <c r="H167" s="104"/>
      <c r="I167" s="104"/>
      <c r="J167" s="104"/>
      <c r="K167" s="104"/>
      <c r="L167" s="10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04"/>
      <c r="C168" s="3"/>
      <c r="D168" s="104"/>
      <c r="E168" s="104"/>
      <c r="F168" s="104"/>
      <c r="G168" s="104"/>
      <c r="H168" s="104"/>
      <c r="I168" s="104"/>
      <c r="J168" s="104"/>
      <c r="K168" s="104"/>
      <c r="L168" s="10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04"/>
      <c r="C169" s="3"/>
      <c r="D169" s="104"/>
      <c r="E169" s="104"/>
      <c r="F169" s="104"/>
      <c r="G169" s="104"/>
      <c r="H169" s="104"/>
      <c r="I169" s="104"/>
      <c r="J169" s="104"/>
      <c r="K169" s="104"/>
      <c r="L169" s="10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04"/>
      <c r="C170" s="3"/>
      <c r="D170" s="104"/>
      <c r="E170" s="104"/>
      <c r="F170" s="104"/>
      <c r="G170" s="104"/>
      <c r="H170" s="104"/>
      <c r="I170" s="104"/>
      <c r="J170" s="104"/>
      <c r="K170" s="104"/>
      <c r="L170" s="10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04"/>
      <c r="C171" s="3"/>
      <c r="D171" s="104"/>
      <c r="E171" s="104"/>
      <c r="F171" s="104"/>
      <c r="G171" s="104"/>
      <c r="H171" s="104"/>
      <c r="I171" s="104"/>
      <c r="J171" s="104"/>
      <c r="K171" s="104"/>
      <c r="L171" s="10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04"/>
      <c r="C172" s="3"/>
      <c r="D172" s="104"/>
      <c r="E172" s="104"/>
      <c r="F172" s="104"/>
      <c r="G172" s="104"/>
      <c r="H172" s="104"/>
      <c r="I172" s="104"/>
      <c r="J172" s="104"/>
      <c r="K172" s="104"/>
      <c r="L172" s="10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04"/>
      <c r="C173" s="3"/>
      <c r="D173" s="104"/>
      <c r="E173" s="104"/>
      <c r="F173" s="104"/>
      <c r="G173" s="104"/>
      <c r="H173" s="104"/>
      <c r="I173" s="104"/>
      <c r="J173" s="104"/>
      <c r="K173" s="104"/>
      <c r="L173" s="10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04"/>
      <c r="C174" s="3"/>
      <c r="D174" s="104"/>
      <c r="E174" s="104"/>
      <c r="F174" s="104"/>
      <c r="G174" s="104"/>
      <c r="H174" s="104"/>
      <c r="I174" s="104"/>
      <c r="J174" s="104"/>
      <c r="K174" s="104"/>
      <c r="L174" s="10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04"/>
      <c r="C175" s="3"/>
      <c r="D175" s="104"/>
      <c r="E175" s="104"/>
      <c r="F175" s="104"/>
      <c r="G175" s="104"/>
      <c r="H175" s="104"/>
      <c r="I175" s="104"/>
      <c r="J175" s="104"/>
      <c r="K175" s="104"/>
      <c r="L175" s="10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04"/>
      <c r="C176" s="3"/>
      <c r="D176" s="104"/>
      <c r="E176" s="104"/>
      <c r="F176" s="104"/>
      <c r="G176" s="104"/>
      <c r="H176" s="104"/>
      <c r="I176" s="104"/>
      <c r="J176" s="104"/>
      <c r="K176" s="104"/>
      <c r="L176" s="10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04"/>
      <c r="C177" s="3"/>
      <c r="D177" s="104"/>
      <c r="E177" s="104"/>
      <c r="F177" s="104"/>
      <c r="G177" s="104"/>
      <c r="H177" s="104"/>
      <c r="I177" s="104"/>
      <c r="J177" s="104"/>
      <c r="K177" s="104"/>
      <c r="L177" s="10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04"/>
      <c r="C178" s="3"/>
      <c r="D178" s="104"/>
      <c r="E178" s="104"/>
      <c r="F178" s="104"/>
      <c r="G178" s="104"/>
      <c r="H178" s="104"/>
      <c r="I178" s="104"/>
      <c r="J178" s="104"/>
      <c r="K178" s="104"/>
      <c r="L178" s="10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04"/>
      <c r="C179" s="3"/>
      <c r="D179" s="104"/>
      <c r="E179" s="104"/>
      <c r="F179" s="104"/>
      <c r="G179" s="104"/>
      <c r="H179" s="104"/>
      <c r="I179" s="104"/>
      <c r="J179" s="104"/>
      <c r="K179" s="104"/>
      <c r="L179" s="10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04"/>
      <c r="C180" s="3"/>
      <c r="D180" s="104"/>
      <c r="E180" s="104"/>
      <c r="F180" s="104"/>
      <c r="G180" s="104"/>
      <c r="H180" s="104"/>
      <c r="I180" s="104"/>
      <c r="J180" s="104"/>
      <c r="K180" s="104"/>
      <c r="L180" s="10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04"/>
      <c r="C181" s="3"/>
      <c r="D181" s="104"/>
      <c r="E181" s="104"/>
      <c r="F181" s="104"/>
      <c r="G181" s="104"/>
      <c r="H181" s="104"/>
      <c r="I181" s="104"/>
      <c r="J181" s="104"/>
      <c r="K181" s="104"/>
      <c r="L181" s="10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04"/>
      <c r="C182" s="3"/>
      <c r="D182" s="104"/>
      <c r="E182" s="104"/>
      <c r="F182" s="104"/>
      <c r="G182" s="104"/>
      <c r="H182" s="104"/>
      <c r="I182" s="104"/>
      <c r="J182" s="104"/>
      <c r="K182" s="104"/>
      <c r="L182" s="10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04"/>
      <c r="C183" s="3"/>
      <c r="D183" s="104"/>
      <c r="E183" s="104"/>
      <c r="F183" s="104"/>
      <c r="G183" s="104"/>
      <c r="H183" s="104"/>
      <c r="I183" s="104"/>
      <c r="J183" s="104"/>
      <c r="K183" s="104"/>
      <c r="L183" s="10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04"/>
      <c r="C184" s="3"/>
      <c r="D184" s="104"/>
      <c r="E184" s="104"/>
      <c r="F184" s="104"/>
      <c r="G184" s="104"/>
      <c r="H184" s="104"/>
      <c r="I184" s="104"/>
      <c r="J184" s="104"/>
      <c r="K184" s="104"/>
      <c r="L184" s="10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04"/>
      <c r="C185" s="3"/>
      <c r="D185" s="104"/>
      <c r="E185" s="104"/>
      <c r="F185" s="104"/>
      <c r="G185" s="104"/>
      <c r="H185" s="104"/>
      <c r="I185" s="104"/>
      <c r="J185" s="104"/>
      <c r="K185" s="104"/>
      <c r="L185" s="10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04"/>
      <c r="C186" s="3"/>
      <c r="D186" s="104"/>
      <c r="E186" s="104"/>
      <c r="F186" s="104"/>
      <c r="G186" s="104"/>
      <c r="H186" s="104"/>
      <c r="I186" s="104"/>
      <c r="J186" s="104"/>
      <c r="K186" s="104"/>
      <c r="L186" s="10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04"/>
      <c r="C187" s="3"/>
      <c r="D187" s="104"/>
      <c r="E187" s="104"/>
      <c r="F187" s="104"/>
      <c r="G187" s="104"/>
      <c r="H187" s="104"/>
      <c r="I187" s="104"/>
      <c r="J187" s="104"/>
      <c r="K187" s="104"/>
      <c r="L187" s="10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04"/>
      <c r="C188" s="3"/>
      <c r="D188" s="104"/>
      <c r="E188" s="104"/>
      <c r="F188" s="104"/>
      <c r="G188" s="104"/>
      <c r="H188" s="104"/>
      <c r="I188" s="104"/>
      <c r="J188" s="104"/>
      <c r="K188" s="104"/>
      <c r="L188" s="10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04"/>
      <c r="C189" s="3"/>
      <c r="D189" s="104"/>
      <c r="E189" s="104"/>
      <c r="F189" s="104"/>
      <c r="G189" s="104"/>
      <c r="H189" s="104"/>
      <c r="I189" s="104"/>
      <c r="J189" s="104"/>
      <c r="K189" s="104"/>
      <c r="L189" s="10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04"/>
      <c r="C190" s="3"/>
      <c r="D190" s="104"/>
      <c r="E190" s="104"/>
      <c r="F190" s="104"/>
      <c r="G190" s="104"/>
      <c r="H190" s="104"/>
      <c r="I190" s="104"/>
      <c r="J190" s="104"/>
      <c r="K190" s="104"/>
      <c r="L190" s="10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04"/>
      <c r="C191" s="3"/>
      <c r="D191" s="104"/>
      <c r="E191" s="104"/>
      <c r="F191" s="104"/>
      <c r="G191" s="104"/>
      <c r="H191" s="104"/>
      <c r="I191" s="104"/>
      <c r="J191" s="104"/>
      <c r="K191" s="104"/>
      <c r="L191" s="10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04"/>
      <c r="C192" s="3"/>
      <c r="D192" s="104"/>
      <c r="E192" s="104"/>
      <c r="F192" s="104"/>
      <c r="G192" s="104"/>
      <c r="H192" s="104"/>
      <c r="I192" s="104"/>
      <c r="J192" s="104"/>
      <c r="K192" s="104"/>
      <c r="L192" s="10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04"/>
      <c r="C193" s="3"/>
      <c r="D193" s="104"/>
      <c r="E193" s="104"/>
      <c r="F193" s="104"/>
      <c r="G193" s="104"/>
      <c r="H193" s="104"/>
      <c r="I193" s="104"/>
      <c r="J193" s="104"/>
      <c r="K193" s="104"/>
      <c r="L193" s="10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04"/>
      <c r="C194" s="3"/>
      <c r="D194" s="104"/>
      <c r="E194" s="104"/>
      <c r="F194" s="104"/>
      <c r="G194" s="104"/>
      <c r="H194" s="104"/>
      <c r="I194" s="104"/>
      <c r="J194" s="104"/>
      <c r="K194" s="104"/>
      <c r="L194" s="10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04"/>
      <c r="C195" s="3"/>
      <c r="D195" s="104"/>
      <c r="E195" s="104"/>
      <c r="F195" s="104"/>
      <c r="G195" s="104"/>
      <c r="H195" s="104"/>
      <c r="I195" s="104"/>
      <c r="J195" s="104"/>
      <c r="K195" s="104"/>
      <c r="L195" s="10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04"/>
      <c r="C196" s="3"/>
      <c r="D196" s="104"/>
      <c r="E196" s="104"/>
      <c r="F196" s="104"/>
      <c r="G196" s="104"/>
      <c r="H196" s="104"/>
      <c r="I196" s="104"/>
      <c r="J196" s="104"/>
      <c r="K196" s="104"/>
      <c r="L196" s="10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04"/>
      <c r="C197" s="3"/>
      <c r="D197" s="104"/>
      <c r="E197" s="104"/>
      <c r="F197" s="104"/>
      <c r="G197" s="104"/>
      <c r="H197" s="104"/>
      <c r="I197" s="104"/>
      <c r="J197" s="104"/>
      <c r="K197" s="104"/>
      <c r="L197" s="10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04"/>
      <c r="C198" s="3"/>
      <c r="D198" s="104"/>
      <c r="E198" s="104"/>
      <c r="F198" s="104"/>
      <c r="G198" s="104"/>
      <c r="H198" s="104"/>
      <c r="I198" s="104"/>
      <c r="J198" s="104"/>
      <c r="K198" s="104"/>
      <c r="L198" s="10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04"/>
      <c r="C199" s="3"/>
      <c r="D199" s="104"/>
      <c r="E199" s="104"/>
      <c r="F199" s="104"/>
      <c r="G199" s="104"/>
      <c r="H199" s="104"/>
      <c r="I199" s="104"/>
      <c r="J199" s="104"/>
      <c r="K199" s="104"/>
      <c r="L199" s="10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04"/>
      <c r="C200" s="3"/>
      <c r="D200" s="104"/>
      <c r="E200" s="104"/>
      <c r="F200" s="104"/>
      <c r="G200" s="104"/>
      <c r="H200" s="104"/>
      <c r="I200" s="104"/>
      <c r="J200" s="104"/>
      <c r="K200" s="104"/>
      <c r="L200" s="10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04"/>
      <c r="C201" s="3"/>
      <c r="D201" s="104"/>
      <c r="E201" s="104"/>
      <c r="F201" s="104"/>
      <c r="G201" s="104"/>
      <c r="H201" s="104"/>
      <c r="I201" s="104"/>
      <c r="J201" s="104"/>
      <c r="K201" s="104"/>
      <c r="L201" s="10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04"/>
      <c r="C202" s="3"/>
      <c r="D202" s="104"/>
      <c r="E202" s="104"/>
      <c r="F202" s="104"/>
      <c r="G202" s="104"/>
      <c r="H202" s="104"/>
      <c r="I202" s="104"/>
      <c r="J202" s="104"/>
      <c r="K202" s="104"/>
      <c r="L202" s="10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04"/>
      <c r="C203" s="3"/>
      <c r="D203" s="104"/>
      <c r="E203" s="104"/>
      <c r="F203" s="104"/>
      <c r="G203" s="104"/>
      <c r="H203" s="104"/>
      <c r="I203" s="104"/>
      <c r="J203" s="104"/>
      <c r="K203" s="104"/>
      <c r="L203" s="10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04"/>
      <c r="C204" s="3"/>
      <c r="D204" s="104"/>
      <c r="E204" s="104"/>
      <c r="F204" s="104"/>
      <c r="G204" s="104"/>
      <c r="H204" s="104"/>
      <c r="I204" s="104"/>
      <c r="J204" s="104"/>
      <c r="K204" s="104"/>
      <c r="L204" s="10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04"/>
      <c r="C205" s="3"/>
      <c r="D205" s="104"/>
      <c r="E205" s="104"/>
      <c r="F205" s="104"/>
      <c r="G205" s="104"/>
      <c r="H205" s="104"/>
      <c r="I205" s="104"/>
      <c r="J205" s="104"/>
      <c r="K205" s="104"/>
      <c r="L205" s="10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04"/>
      <c r="C206" s="3"/>
      <c r="D206" s="104"/>
      <c r="E206" s="104"/>
      <c r="F206" s="104"/>
      <c r="G206" s="104"/>
      <c r="H206" s="104"/>
      <c r="I206" s="104"/>
      <c r="J206" s="104"/>
      <c r="K206" s="104"/>
      <c r="L206" s="10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04"/>
      <c r="C207" s="3"/>
      <c r="D207" s="104"/>
      <c r="E207" s="104"/>
      <c r="F207" s="104"/>
      <c r="G207" s="104"/>
      <c r="H207" s="104"/>
      <c r="I207" s="104"/>
      <c r="J207" s="104"/>
      <c r="K207" s="104"/>
      <c r="L207" s="10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04"/>
      <c r="C208" s="3"/>
      <c r="D208" s="104"/>
      <c r="E208" s="104"/>
      <c r="F208" s="104"/>
      <c r="G208" s="104"/>
      <c r="H208" s="104"/>
      <c r="I208" s="104"/>
      <c r="J208" s="104"/>
      <c r="K208" s="104"/>
      <c r="L208" s="10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04"/>
      <c r="C209" s="3"/>
      <c r="D209" s="104"/>
      <c r="E209" s="104"/>
      <c r="F209" s="104"/>
      <c r="G209" s="104"/>
      <c r="H209" s="104"/>
      <c r="I209" s="104"/>
      <c r="J209" s="104"/>
      <c r="K209" s="104"/>
      <c r="L209" s="10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04"/>
      <c r="C210" s="3"/>
      <c r="D210" s="104"/>
      <c r="E210" s="104"/>
      <c r="F210" s="104"/>
      <c r="G210" s="104"/>
      <c r="H210" s="104"/>
      <c r="I210" s="104"/>
      <c r="J210" s="104"/>
      <c r="K210" s="104"/>
      <c r="L210" s="10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04"/>
      <c r="C211" s="3"/>
      <c r="D211" s="104"/>
      <c r="E211" s="104"/>
      <c r="F211" s="104"/>
      <c r="G211" s="104"/>
      <c r="H211" s="104"/>
      <c r="I211" s="104"/>
      <c r="J211" s="104"/>
      <c r="K211" s="104"/>
      <c r="L211" s="10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04"/>
      <c r="C212" s="3"/>
      <c r="D212" s="104"/>
      <c r="E212" s="104"/>
      <c r="F212" s="104"/>
      <c r="G212" s="104"/>
      <c r="H212" s="104"/>
      <c r="I212" s="104"/>
      <c r="J212" s="104"/>
      <c r="K212" s="104"/>
      <c r="L212" s="10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04"/>
      <c r="C213" s="3"/>
      <c r="D213" s="104"/>
      <c r="E213" s="104"/>
      <c r="F213" s="104"/>
      <c r="G213" s="104"/>
      <c r="H213" s="104"/>
      <c r="I213" s="104"/>
      <c r="J213" s="104"/>
      <c r="K213" s="104"/>
      <c r="L213" s="10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04"/>
      <c r="C214" s="3"/>
      <c r="D214" s="104"/>
      <c r="E214" s="104"/>
      <c r="F214" s="104"/>
      <c r="G214" s="104"/>
      <c r="H214" s="104"/>
      <c r="I214" s="104"/>
      <c r="J214" s="104"/>
      <c r="K214" s="104"/>
      <c r="L214" s="10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04"/>
      <c r="C215" s="3"/>
      <c r="D215" s="104"/>
      <c r="E215" s="104"/>
      <c r="F215" s="104"/>
      <c r="G215" s="104"/>
      <c r="H215" s="104"/>
      <c r="I215" s="104"/>
      <c r="J215" s="104"/>
      <c r="K215" s="104"/>
      <c r="L215" s="10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04"/>
      <c r="C216" s="3"/>
      <c r="D216" s="104"/>
      <c r="E216" s="104"/>
      <c r="F216" s="104"/>
      <c r="G216" s="104"/>
      <c r="H216" s="104"/>
      <c r="I216" s="104"/>
      <c r="J216" s="104"/>
      <c r="K216" s="104"/>
      <c r="L216" s="10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04"/>
      <c r="C217" s="3"/>
      <c r="D217" s="104"/>
      <c r="E217" s="104"/>
      <c r="F217" s="104"/>
      <c r="G217" s="104"/>
      <c r="H217" s="104"/>
      <c r="I217" s="104"/>
      <c r="J217" s="104"/>
      <c r="K217" s="104"/>
      <c r="L217" s="10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D1:L1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30.0"/>
    <col customWidth="1" min="3" max="3" width="20.0"/>
    <col customWidth="1" min="4" max="12" width="18.33"/>
    <col customWidth="1" min="13" max="19" width="8.33"/>
    <col customWidth="1" min="20" max="26" width="11.11"/>
  </cols>
  <sheetData>
    <row r="1" ht="18.0" customHeight="1">
      <c r="A1" s="105"/>
      <c r="B1" s="106"/>
      <c r="C1" s="105"/>
      <c r="D1" s="107">
        <v>2026.0</v>
      </c>
      <c r="E1" s="108"/>
      <c r="F1" s="108"/>
      <c r="G1" s="108"/>
      <c r="H1" s="159"/>
      <c r="I1" s="160"/>
      <c r="J1" s="161"/>
      <c r="K1" s="161"/>
      <c r="L1" s="161"/>
      <c r="M1" s="161"/>
      <c r="N1" s="161"/>
      <c r="O1" s="162"/>
      <c r="P1" s="17"/>
      <c r="Q1" s="17"/>
      <c r="R1" s="17"/>
      <c r="S1" s="17"/>
      <c r="T1" s="3"/>
      <c r="U1" s="3"/>
      <c r="V1" s="3"/>
      <c r="W1" s="3"/>
      <c r="X1" s="3"/>
      <c r="Y1" s="3"/>
      <c r="Z1" s="3"/>
    </row>
    <row r="2" ht="15.75" customHeight="1">
      <c r="A2" s="110" t="s">
        <v>72</v>
      </c>
      <c r="B2" s="106"/>
      <c r="C2" s="105"/>
      <c r="D2" s="112" t="s">
        <v>33</v>
      </c>
      <c r="E2" s="112" t="s">
        <v>34</v>
      </c>
      <c r="F2" s="112" t="s">
        <v>35</v>
      </c>
      <c r="G2" s="112" t="s">
        <v>36</v>
      </c>
      <c r="H2" s="112" t="s">
        <v>37</v>
      </c>
      <c r="I2" s="112" t="s">
        <v>38</v>
      </c>
      <c r="J2" s="112" t="s">
        <v>39</v>
      </c>
      <c r="K2" s="112" t="s">
        <v>40</v>
      </c>
      <c r="L2" s="112" t="s">
        <v>41</v>
      </c>
      <c r="M2" s="163"/>
      <c r="N2" s="164"/>
      <c r="O2" s="164"/>
      <c r="P2" s="17"/>
      <c r="Q2" s="17"/>
      <c r="R2" s="17"/>
      <c r="S2" s="17"/>
      <c r="T2" s="3"/>
      <c r="U2" s="3"/>
      <c r="V2" s="3"/>
      <c r="W2" s="3"/>
      <c r="X2" s="3"/>
      <c r="Y2" s="3"/>
      <c r="Z2" s="3"/>
    </row>
    <row r="3" ht="16.5" customHeight="1">
      <c r="A3" s="114"/>
      <c r="B3" s="115" t="s">
        <v>233</v>
      </c>
      <c r="C3" s="115">
        <f t="shared" ref="C3:C68" si="2">SUM(D3:L3)</f>
        <v>204009.76</v>
      </c>
      <c r="D3" s="131">
        <f t="shared" ref="D3:L3" si="1">SUM(D4:D134)</f>
        <v>0</v>
      </c>
      <c r="E3" s="131">
        <f t="shared" si="1"/>
        <v>68701.73</v>
      </c>
      <c r="F3" s="131">
        <f t="shared" si="1"/>
        <v>72773.46</v>
      </c>
      <c r="G3" s="131">
        <f t="shared" si="1"/>
        <v>62534.57</v>
      </c>
      <c r="H3" s="131">
        <f t="shared" si="1"/>
        <v>0</v>
      </c>
      <c r="I3" s="131">
        <f t="shared" si="1"/>
        <v>0</v>
      </c>
      <c r="J3" s="131">
        <f t="shared" si="1"/>
        <v>0</v>
      </c>
      <c r="K3" s="131">
        <f t="shared" si="1"/>
        <v>0</v>
      </c>
      <c r="L3" s="131">
        <f t="shared" si="1"/>
        <v>0</v>
      </c>
      <c r="M3" s="165"/>
      <c r="N3" s="165"/>
      <c r="O3" s="165"/>
      <c r="P3" s="63"/>
      <c r="Q3" s="63"/>
      <c r="R3" s="63"/>
      <c r="S3" s="63"/>
      <c r="T3" s="3"/>
      <c r="U3" s="3"/>
      <c r="V3" s="3"/>
      <c r="W3" s="3"/>
      <c r="X3" s="3"/>
      <c r="Y3" s="3"/>
      <c r="Z3" s="3"/>
    </row>
    <row r="4" ht="16.5" customHeight="1">
      <c r="A4" s="132">
        <v>801.0</v>
      </c>
      <c r="B4" s="166" t="s">
        <v>234</v>
      </c>
      <c r="C4" s="119">
        <f t="shared" si="2"/>
        <v>60000</v>
      </c>
      <c r="D4" s="123"/>
      <c r="E4" s="123">
        <v>20000.0</v>
      </c>
      <c r="F4" s="123">
        <v>20000.0</v>
      </c>
      <c r="G4" s="123">
        <v>20000.0</v>
      </c>
      <c r="H4" s="123"/>
      <c r="I4" s="123"/>
      <c r="J4" s="123"/>
      <c r="K4" s="123"/>
      <c r="L4" s="123"/>
      <c r="M4" s="135"/>
      <c r="N4" s="135"/>
      <c r="O4" s="135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32">
        <v>650107.0</v>
      </c>
      <c r="B5" s="166" t="s">
        <v>235</v>
      </c>
      <c r="C5" s="125">
        <f t="shared" si="2"/>
        <v>127603.71</v>
      </c>
      <c r="D5" s="128"/>
      <c r="E5" s="128">
        <v>42534.57</v>
      </c>
      <c r="F5" s="128">
        <v>42534.57</v>
      </c>
      <c r="G5" s="128">
        <v>42534.57</v>
      </c>
      <c r="H5" s="128"/>
      <c r="I5" s="128"/>
      <c r="J5" s="128"/>
      <c r="K5" s="128"/>
      <c r="L5" s="128"/>
      <c r="M5" s="167"/>
      <c r="N5" s="167"/>
      <c r="O5" s="167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32">
        <v>1080.0</v>
      </c>
      <c r="B6" s="137" t="s">
        <v>236</v>
      </c>
      <c r="C6" s="125">
        <f t="shared" si="2"/>
        <v>0</v>
      </c>
      <c r="D6" s="128"/>
      <c r="E6" s="128"/>
      <c r="F6" s="128"/>
      <c r="G6" s="128"/>
      <c r="H6" s="128"/>
      <c r="I6" s="128"/>
      <c r="J6" s="128"/>
      <c r="K6" s="128"/>
      <c r="L6" s="128"/>
      <c r="M6" s="167"/>
      <c r="N6" s="167"/>
      <c r="O6" s="16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32">
        <v>795.0</v>
      </c>
      <c r="B7" s="137" t="s">
        <v>237</v>
      </c>
      <c r="C7" s="125">
        <f t="shared" si="2"/>
        <v>0</v>
      </c>
      <c r="D7" s="128"/>
      <c r="E7" s="128"/>
      <c r="F7" s="128"/>
      <c r="G7" s="128"/>
      <c r="H7" s="128"/>
      <c r="I7" s="128"/>
      <c r="J7" s="128"/>
      <c r="K7" s="128"/>
      <c r="L7" s="128"/>
      <c r="M7" s="168"/>
      <c r="N7" s="168"/>
      <c r="O7" s="168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32">
        <v>1625.0</v>
      </c>
      <c r="B8" s="137" t="s">
        <v>238</v>
      </c>
      <c r="C8" s="125">
        <f t="shared" si="2"/>
        <v>0</v>
      </c>
      <c r="D8" s="128"/>
      <c r="E8" s="128"/>
      <c r="F8" s="128"/>
      <c r="G8" s="128"/>
      <c r="H8" s="128"/>
      <c r="I8" s="128"/>
      <c r="J8" s="128"/>
      <c r="K8" s="128"/>
      <c r="L8" s="128"/>
      <c r="M8" s="168"/>
      <c r="N8" s="168"/>
      <c r="O8" s="168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32">
        <v>127.0</v>
      </c>
      <c r="B9" s="137" t="s">
        <v>239</v>
      </c>
      <c r="C9" s="125">
        <f t="shared" si="2"/>
        <v>1939.8</v>
      </c>
      <c r="D9" s="128"/>
      <c r="E9" s="128">
        <v>969.9</v>
      </c>
      <c r="F9" s="128">
        <v>969.9</v>
      </c>
      <c r="G9" s="128"/>
      <c r="H9" s="128"/>
      <c r="I9" s="128"/>
      <c r="J9" s="128"/>
      <c r="K9" s="128"/>
      <c r="L9" s="128"/>
      <c r="M9" s="168"/>
      <c r="N9" s="168"/>
      <c r="O9" s="168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32">
        <v>647.0</v>
      </c>
      <c r="B10" s="137" t="s">
        <v>240</v>
      </c>
      <c r="C10" s="125">
        <f t="shared" si="2"/>
        <v>299.13</v>
      </c>
      <c r="D10" s="128"/>
      <c r="E10" s="128">
        <v>299.13</v>
      </c>
      <c r="F10" s="128"/>
      <c r="G10" s="128"/>
      <c r="H10" s="128"/>
      <c r="I10" s="128"/>
      <c r="J10" s="128"/>
      <c r="K10" s="128"/>
      <c r="L10" s="128"/>
      <c r="M10" s="168"/>
      <c r="N10" s="168"/>
      <c r="O10" s="16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32">
        <v>1629.0</v>
      </c>
      <c r="B11" s="137" t="s">
        <v>241</v>
      </c>
      <c r="C11" s="125">
        <f t="shared" si="2"/>
        <v>825</v>
      </c>
      <c r="D11" s="128"/>
      <c r="E11" s="128">
        <v>825.0</v>
      </c>
      <c r="F11" s="128"/>
      <c r="G11" s="128"/>
      <c r="H11" s="128"/>
      <c r="I11" s="128"/>
      <c r="J11" s="128"/>
      <c r="K11" s="128"/>
      <c r="L11" s="128"/>
      <c r="M11" s="168"/>
      <c r="N11" s="168"/>
      <c r="O11" s="16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2">
        <v>1626.0</v>
      </c>
      <c r="B12" s="137" t="s">
        <v>242</v>
      </c>
      <c r="C12" s="125">
        <f t="shared" si="2"/>
        <v>320</v>
      </c>
      <c r="D12" s="128"/>
      <c r="E12" s="128">
        <v>160.0</v>
      </c>
      <c r="F12" s="128">
        <v>160.0</v>
      </c>
      <c r="G12" s="128"/>
      <c r="H12" s="128"/>
      <c r="I12" s="128"/>
      <c r="J12" s="128"/>
      <c r="K12" s="128"/>
      <c r="L12" s="128"/>
      <c r="M12" s="167"/>
      <c r="N12" s="167"/>
      <c r="O12" s="167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32">
        <v>1638.0</v>
      </c>
      <c r="B13" s="137" t="s">
        <v>243</v>
      </c>
      <c r="C13" s="125">
        <f t="shared" si="2"/>
        <v>4615.02</v>
      </c>
      <c r="D13" s="128"/>
      <c r="E13" s="128">
        <v>2618.01</v>
      </c>
      <c r="F13" s="128">
        <v>1997.01</v>
      </c>
      <c r="G13" s="128"/>
      <c r="H13" s="128"/>
      <c r="I13" s="128"/>
      <c r="J13" s="128"/>
      <c r="K13" s="128"/>
      <c r="L13" s="128"/>
      <c r="M13" s="168"/>
      <c r="N13" s="168"/>
      <c r="O13" s="16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32">
        <v>1646.0</v>
      </c>
      <c r="B14" s="137" t="s">
        <v>244</v>
      </c>
      <c r="C14" s="125">
        <f t="shared" si="2"/>
        <v>396.02</v>
      </c>
      <c r="D14" s="128"/>
      <c r="E14" s="128">
        <v>198.01</v>
      </c>
      <c r="F14" s="128">
        <v>198.01</v>
      </c>
      <c r="G14" s="128"/>
      <c r="H14" s="128"/>
      <c r="I14" s="128"/>
      <c r="J14" s="128"/>
      <c r="K14" s="128"/>
      <c r="L14" s="128"/>
      <c r="M14" s="168"/>
      <c r="N14" s="168"/>
      <c r="O14" s="16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32">
        <v>1647.0</v>
      </c>
      <c r="B15" s="137" t="s">
        <v>245</v>
      </c>
      <c r="C15" s="125">
        <f t="shared" si="2"/>
        <v>31.68</v>
      </c>
      <c r="D15" s="128"/>
      <c r="E15" s="128">
        <v>15.84</v>
      </c>
      <c r="F15" s="128">
        <v>15.84</v>
      </c>
      <c r="G15" s="128"/>
      <c r="H15" s="128"/>
      <c r="I15" s="128"/>
      <c r="J15" s="128"/>
      <c r="K15" s="128"/>
      <c r="L15" s="128"/>
      <c r="M15" s="168"/>
      <c r="N15" s="168"/>
      <c r="O15" s="16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32">
        <v>179.0</v>
      </c>
      <c r="B16" s="137" t="s">
        <v>246</v>
      </c>
      <c r="C16" s="125">
        <f t="shared" si="2"/>
        <v>132</v>
      </c>
      <c r="D16" s="128"/>
      <c r="E16" s="128">
        <v>66.0</v>
      </c>
      <c r="F16" s="128">
        <v>66.0</v>
      </c>
      <c r="G16" s="128"/>
      <c r="H16" s="128"/>
      <c r="I16" s="128"/>
      <c r="J16" s="128"/>
      <c r="K16" s="128"/>
      <c r="L16" s="128"/>
      <c r="M16" s="168"/>
      <c r="N16" s="168"/>
      <c r="O16" s="168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32">
        <v>744.0</v>
      </c>
      <c r="B17" s="137" t="s">
        <v>247</v>
      </c>
      <c r="C17" s="125">
        <f t="shared" si="2"/>
        <v>100.02</v>
      </c>
      <c r="D17" s="128"/>
      <c r="E17" s="128">
        <v>100.02</v>
      </c>
      <c r="F17" s="128"/>
      <c r="G17" s="128"/>
      <c r="H17" s="128"/>
      <c r="I17" s="128"/>
      <c r="J17" s="128"/>
      <c r="K17" s="128"/>
      <c r="L17" s="128"/>
      <c r="M17" s="168"/>
      <c r="N17" s="168"/>
      <c r="O17" s="168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32">
        <v>1036.0</v>
      </c>
      <c r="B18" s="137" t="s">
        <v>248</v>
      </c>
      <c r="C18" s="125">
        <f t="shared" si="2"/>
        <v>140</v>
      </c>
      <c r="D18" s="128"/>
      <c r="E18" s="128">
        <v>140.0</v>
      </c>
      <c r="F18" s="128"/>
      <c r="G18" s="128"/>
      <c r="H18" s="128"/>
      <c r="I18" s="128"/>
      <c r="J18" s="128"/>
      <c r="K18" s="128"/>
      <c r="L18" s="128"/>
      <c r="M18" s="168"/>
      <c r="N18" s="168"/>
      <c r="O18" s="16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32">
        <v>70.0</v>
      </c>
      <c r="B19" s="137" t="s">
        <v>249</v>
      </c>
      <c r="C19" s="125">
        <f t="shared" si="2"/>
        <v>118.22</v>
      </c>
      <c r="D19" s="128"/>
      <c r="E19" s="128">
        <v>59.11</v>
      </c>
      <c r="F19" s="128">
        <v>59.11</v>
      </c>
      <c r="G19" s="128"/>
      <c r="H19" s="128"/>
      <c r="I19" s="128"/>
      <c r="J19" s="128"/>
      <c r="K19" s="128"/>
      <c r="L19" s="128"/>
      <c r="M19" s="168"/>
      <c r="N19" s="168"/>
      <c r="O19" s="168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32">
        <v>1696.0</v>
      </c>
      <c r="B20" s="137" t="s">
        <v>250</v>
      </c>
      <c r="C20" s="125">
        <f t="shared" si="2"/>
        <v>11.49</v>
      </c>
      <c r="D20" s="128"/>
      <c r="E20" s="128">
        <v>11.49</v>
      </c>
      <c r="F20" s="128"/>
      <c r="G20" s="128"/>
      <c r="H20" s="128"/>
      <c r="I20" s="128"/>
      <c r="J20" s="128"/>
      <c r="K20" s="128"/>
      <c r="L20" s="128"/>
      <c r="M20" s="168"/>
      <c r="N20" s="168"/>
      <c r="O20" s="168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2">
        <v>170.0</v>
      </c>
      <c r="B21" s="137" t="s">
        <v>251</v>
      </c>
      <c r="C21" s="125">
        <f t="shared" si="2"/>
        <v>163.76</v>
      </c>
      <c r="D21" s="128"/>
      <c r="E21" s="128">
        <v>81.88</v>
      </c>
      <c r="F21" s="128">
        <v>81.88</v>
      </c>
      <c r="G21" s="128"/>
      <c r="H21" s="128"/>
      <c r="I21" s="128"/>
      <c r="J21" s="128"/>
      <c r="K21" s="128"/>
      <c r="L21" s="128"/>
      <c r="M21" s="168"/>
      <c r="N21" s="168"/>
      <c r="O21" s="16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2">
        <v>109.0</v>
      </c>
      <c r="B22" s="137" t="s">
        <v>252</v>
      </c>
      <c r="C22" s="125">
        <f t="shared" si="2"/>
        <v>427.76</v>
      </c>
      <c r="D22" s="128"/>
      <c r="E22" s="128">
        <v>213.88</v>
      </c>
      <c r="F22" s="128">
        <v>213.88</v>
      </c>
      <c r="G22" s="128"/>
      <c r="H22" s="128"/>
      <c r="I22" s="128"/>
      <c r="J22" s="128"/>
      <c r="K22" s="128"/>
      <c r="L22" s="128"/>
      <c r="M22" s="168"/>
      <c r="N22" s="168"/>
      <c r="O22" s="168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32">
        <v>123.0</v>
      </c>
      <c r="B23" s="137" t="s">
        <v>253</v>
      </c>
      <c r="C23" s="125">
        <f t="shared" si="2"/>
        <v>6725.77</v>
      </c>
      <c r="D23" s="128"/>
      <c r="E23" s="128">
        <v>408.89</v>
      </c>
      <c r="F23" s="128">
        <v>6316.88</v>
      </c>
      <c r="G23" s="128"/>
      <c r="H23" s="128"/>
      <c r="I23" s="128"/>
      <c r="J23" s="128"/>
      <c r="K23" s="128"/>
      <c r="L23" s="128"/>
      <c r="M23" s="168"/>
      <c r="N23" s="168"/>
      <c r="O23" s="16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2">
        <v>1183.0</v>
      </c>
      <c r="B24" s="137" t="s">
        <v>254</v>
      </c>
      <c r="C24" s="125">
        <f t="shared" si="2"/>
        <v>160.38</v>
      </c>
      <c r="D24" s="128"/>
      <c r="E24" s="128"/>
      <c r="F24" s="128">
        <v>160.38</v>
      </c>
      <c r="G24" s="128"/>
      <c r="H24" s="128"/>
      <c r="I24" s="128"/>
      <c r="J24" s="128"/>
      <c r="K24" s="128"/>
      <c r="L24" s="128"/>
      <c r="M24" s="168"/>
      <c r="N24" s="168"/>
      <c r="O24" s="16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2"/>
      <c r="B25" s="137"/>
      <c r="C25" s="125">
        <f t="shared" si="2"/>
        <v>0</v>
      </c>
      <c r="D25" s="128"/>
      <c r="E25" s="128"/>
      <c r="F25" s="128"/>
      <c r="G25" s="128"/>
      <c r="H25" s="128"/>
      <c r="I25" s="128"/>
      <c r="J25" s="128"/>
      <c r="K25" s="128"/>
      <c r="L25" s="128"/>
      <c r="M25" s="168"/>
      <c r="N25" s="168"/>
      <c r="O25" s="168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2"/>
      <c r="B26" s="137"/>
      <c r="C26" s="125">
        <f t="shared" si="2"/>
        <v>0</v>
      </c>
      <c r="D26" s="128"/>
      <c r="E26" s="128"/>
      <c r="F26" s="128"/>
      <c r="G26" s="128"/>
      <c r="H26" s="128"/>
      <c r="I26" s="128"/>
      <c r="J26" s="128"/>
      <c r="K26" s="128"/>
      <c r="L26" s="128"/>
      <c r="M26" s="168"/>
      <c r="N26" s="168"/>
      <c r="O26" s="16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2"/>
      <c r="B27" s="137"/>
      <c r="C27" s="125">
        <f t="shared" si="2"/>
        <v>0</v>
      </c>
      <c r="D27" s="128"/>
      <c r="E27" s="128"/>
      <c r="F27" s="128"/>
      <c r="G27" s="128"/>
      <c r="H27" s="128"/>
      <c r="I27" s="128"/>
      <c r="J27" s="128"/>
      <c r="K27" s="128"/>
      <c r="L27" s="128"/>
      <c r="M27" s="168"/>
      <c r="N27" s="168"/>
      <c r="O27" s="168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2"/>
      <c r="B28" s="137"/>
      <c r="C28" s="125">
        <f t="shared" si="2"/>
        <v>0</v>
      </c>
      <c r="D28" s="128"/>
      <c r="E28" s="128"/>
      <c r="F28" s="128"/>
      <c r="G28" s="128"/>
      <c r="H28" s="128"/>
      <c r="I28" s="128"/>
      <c r="J28" s="128"/>
      <c r="K28" s="128"/>
      <c r="L28" s="128"/>
      <c r="M28" s="168"/>
      <c r="N28" s="168"/>
      <c r="O28" s="16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2"/>
      <c r="B29" s="137"/>
      <c r="C29" s="125">
        <f t="shared" si="2"/>
        <v>0</v>
      </c>
      <c r="D29" s="128"/>
      <c r="E29" s="128"/>
      <c r="F29" s="128"/>
      <c r="G29" s="128"/>
      <c r="H29" s="128"/>
      <c r="I29" s="128"/>
      <c r="J29" s="128"/>
      <c r="K29" s="128"/>
      <c r="L29" s="128"/>
      <c r="M29" s="168"/>
      <c r="N29" s="168"/>
      <c r="O29" s="16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32"/>
      <c r="B30" s="137"/>
      <c r="C30" s="125">
        <f t="shared" si="2"/>
        <v>0</v>
      </c>
      <c r="D30" s="128"/>
      <c r="E30" s="128"/>
      <c r="F30" s="128"/>
      <c r="G30" s="128"/>
      <c r="H30" s="128"/>
      <c r="I30" s="128"/>
      <c r="J30" s="128"/>
      <c r="K30" s="128"/>
      <c r="L30" s="128"/>
      <c r="M30" s="168"/>
      <c r="N30" s="168"/>
      <c r="O30" s="16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2"/>
      <c r="B31" s="137"/>
      <c r="C31" s="125">
        <f t="shared" si="2"/>
        <v>0</v>
      </c>
      <c r="D31" s="128"/>
      <c r="E31" s="128"/>
      <c r="F31" s="128"/>
      <c r="G31" s="128"/>
      <c r="H31" s="128"/>
      <c r="I31" s="128"/>
      <c r="J31" s="128"/>
      <c r="K31" s="128"/>
      <c r="L31" s="128"/>
      <c r="M31" s="168"/>
      <c r="N31" s="168"/>
      <c r="O31" s="16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32"/>
      <c r="B32" s="137"/>
      <c r="C32" s="125">
        <f t="shared" si="2"/>
        <v>0</v>
      </c>
      <c r="D32" s="128"/>
      <c r="E32" s="128"/>
      <c r="F32" s="128"/>
      <c r="G32" s="128"/>
      <c r="H32" s="128"/>
      <c r="I32" s="128"/>
      <c r="J32" s="128"/>
      <c r="K32" s="128"/>
      <c r="L32" s="128"/>
      <c r="M32" s="168"/>
      <c r="N32" s="168"/>
      <c r="O32" s="16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2"/>
      <c r="B33" s="137"/>
      <c r="C33" s="125">
        <f t="shared" si="2"/>
        <v>0</v>
      </c>
      <c r="D33" s="128"/>
      <c r="E33" s="128"/>
      <c r="F33" s="128"/>
      <c r="G33" s="128"/>
      <c r="H33" s="128"/>
      <c r="I33" s="128"/>
      <c r="J33" s="128"/>
      <c r="K33" s="128"/>
      <c r="L33" s="128"/>
      <c r="M33" s="168"/>
      <c r="N33" s="168"/>
      <c r="O33" s="168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2"/>
      <c r="B34" s="137"/>
      <c r="C34" s="125">
        <f t="shared" si="2"/>
        <v>0</v>
      </c>
      <c r="D34" s="128"/>
      <c r="E34" s="128"/>
      <c r="F34" s="128"/>
      <c r="G34" s="128"/>
      <c r="H34" s="128"/>
      <c r="I34" s="128"/>
      <c r="J34" s="128"/>
      <c r="K34" s="128"/>
      <c r="L34" s="128"/>
      <c r="M34" s="168"/>
      <c r="N34" s="168"/>
      <c r="O34" s="168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32"/>
      <c r="B35" s="137"/>
      <c r="C35" s="125">
        <f t="shared" si="2"/>
        <v>0</v>
      </c>
      <c r="D35" s="128"/>
      <c r="E35" s="128"/>
      <c r="F35" s="128"/>
      <c r="G35" s="128"/>
      <c r="H35" s="128"/>
      <c r="I35" s="128"/>
      <c r="J35" s="128"/>
      <c r="K35" s="128"/>
      <c r="L35" s="128"/>
      <c r="M35" s="168"/>
      <c r="N35" s="168"/>
      <c r="O35" s="168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32"/>
      <c r="B36" s="137"/>
      <c r="C36" s="125">
        <f t="shared" si="2"/>
        <v>0</v>
      </c>
      <c r="D36" s="128"/>
      <c r="E36" s="128"/>
      <c r="F36" s="128"/>
      <c r="G36" s="128"/>
      <c r="H36" s="128"/>
      <c r="I36" s="128"/>
      <c r="J36" s="128"/>
      <c r="K36" s="128"/>
      <c r="L36" s="128"/>
      <c r="M36" s="168"/>
      <c r="N36" s="168"/>
      <c r="O36" s="168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32"/>
      <c r="B37" s="137"/>
      <c r="C37" s="125">
        <f t="shared" si="2"/>
        <v>0</v>
      </c>
      <c r="D37" s="128"/>
      <c r="E37" s="128"/>
      <c r="F37" s="128"/>
      <c r="G37" s="128"/>
      <c r="H37" s="128"/>
      <c r="I37" s="128"/>
      <c r="J37" s="128"/>
      <c r="K37" s="128"/>
      <c r="L37" s="128"/>
      <c r="M37" s="168"/>
      <c r="N37" s="168"/>
      <c r="O37" s="168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2"/>
      <c r="B38" s="137"/>
      <c r="C38" s="125">
        <f t="shared" si="2"/>
        <v>0</v>
      </c>
      <c r="D38" s="128"/>
      <c r="E38" s="128"/>
      <c r="F38" s="128"/>
      <c r="G38" s="128"/>
      <c r="H38" s="128"/>
      <c r="I38" s="128"/>
      <c r="J38" s="128"/>
      <c r="K38" s="128"/>
      <c r="L38" s="128"/>
      <c r="M38" s="168"/>
      <c r="N38" s="168"/>
      <c r="O38" s="16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32"/>
      <c r="B39" s="137"/>
      <c r="C39" s="125">
        <f t="shared" si="2"/>
        <v>0</v>
      </c>
      <c r="D39" s="128"/>
      <c r="E39" s="128"/>
      <c r="F39" s="128"/>
      <c r="G39" s="128"/>
      <c r="H39" s="128"/>
      <c r="I39" s="128"/>
      <c r="J39" s="128"/>
      <c r="K39" s="128"/>
      <c r="L39" s="128"/>
      <c r="M39" s="168"/>
      <c r="N39" s="168"/>
      <c r="O39" s="168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32"/>
      <c r="B40" s="137"/>
      <c r="C40" s="125">
        <f t="shared" si="2"/>
        <v>0</v>
      </c>
      <c r="D40" s="128"/>
      <c r="E40" s="128"/>
      <c r="F40" s="128"/>
      <c r="G40" s="128"/>
      <c r="H40" s="128"/>
      <c r="I40" s="128"/>
      <c r="J40" s="128"/>
      <c r="K40" s="128"/>
      <c r="L40" s="128"/>
      <c r="M40" s="168"/>
      <c r="N40" s="168"/>
      <c r="O40" s="168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32"/>
      <c r="B41" s="137"/>
      <c r="C41" s="125">
        <f t="shared" si="2"/>
        <v>0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68"/>
      <c r="N41" s="168"/>
      <c r="O41" s="168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32"/>
      <c r="B42" s="137"/>
      <c r="C42" s="125">
        <f t="shared" si="2"/>
        <v>0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68"/>
      <c r="N42" s="168"/>
      <c r="O42" s="168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32"/>
      <c r="B43" s="137"/>
      <c r="C43" s="125">
        <f t="shared" si="2"/>
        <v>0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68"/>
      <c r="N43" s="168"/>
      <c r="O43" s="168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32"/>
      <c r="B44" s="137"/>
      <c r="C44" s="125">
        <f t="shared" si="2"/>
        <v>0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68"/>
      <c r="N44" s="168"/>
      <c r="O44" s="168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32"/>
      <c r="B45" s="137"/>
      <c r="C45" s="125">
        <f t="shared" si="2"/>
        <v>0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68"/>
      <c r="N45" s="168"/>
      <c r="O45" s="168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32"/>
      <c r="B46" s="137"/>
      <c r="C46" s="125">
        <f t="shared" si="2"/>
        <v>0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68"/>
      <c r="N46" s="168"/>
      <c r="O46" s="168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32"/>
      <c r="B47" s="137"/>
      <c r="C47" s="125">
        <f t="shared" si="2"/>
        <v>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68"/>
      <c r="N47" s="168"/>
      <c r="O47" s="168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32"/>
      <c r="B48" s="137"/>
      <c r="C48" s="125">
        <f t="shared" si="2"/>
        <v>0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68"/>
      <c r="N48" s="168"/>
      <c r="O48" s="16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32"/>
      <c r="B49" s="137"/>
      <c r="C49" s="125">
        <f t="shared" si="2"/>
        <v>0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68"/>
      <c r="N49" s="168"/>
      <c r="O49" s="168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32"/>
      <c r="B50" s="137"/>
      <c r="C50" s="125">
        <f t="shared" si="2"/>
        <v>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68"/>
      <c r="N50" s="168"/>
      <c r="O50" s="168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32"/>
      <c r="B51" s="137"/>
      <c r="C51" s="125">
        <f t="shared" si="2"/>
        <v>0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68"/>
      <c r="N51" s="168"/>
      <c r="O51" s="168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32"/>
      <c r="B52" s="137"/>
      <c r="C52" s="125">
        <f t="shared" si="2"/>
        <v>0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68"/>
      <c r="N52" s="168"/>
      <c r="O52" s="168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32"/>
      <c r="B53" s="137"/>
      <c r="C53" s="125">
        <f t="shared" si="2"/>
        <v>0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68"/>
      <c r="N53" s="168"/>
      <c r="O53" s="168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32"/>
      <c r="B54" s="137"/>
      <c r="C54" s="125">
        <f t="shared" si="2"/>
        <v>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168"/>
      <c r="N54" s="168"/>
      <c r="O54" s="168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32"/>
      <c r="B55" s="137"/>
      <c r="C55" s="125">
        <f t="shared" si="2"/>
        <v>0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68"/>
      <c r="N55" s="168"/>
      <c r="O55" s="168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32"/>
      <c r="B56" s="137"/>
      <c r="C56" s="125">
        <f t="shared" si="2"/>
        <v>0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68"/>
      <c r="N56" s="168"/>
      <c r="O56" s="168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32"/>
      <c r="B57" s="137"/>
      <c r="C57" s="125">
        <f t="shared" si="2"/>
        <v>0</v>
      </c>
      <c r="D57" s="128"/>
      <c r="E57" s="128"/>
      <c r="F57" s="128"/>
      <c r="G57" s="128"/>
      <c r="H57" s="128"/>
      <c r="I57" s="128"/>
      <c r="J57" s="128"/>
      <c r="K57" s="128"/>
      <c r="L57" s="128"/>
      <c r="M57" s="168"/>
      <c r="N57" s="168"/>
      <c r="O57" s="168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32"/>
      <c r="B58" s="137"/>
      <c r="C58" s="125">
        <f t="shared" si="2"/>
        <v>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168"/>
      <c r="N58" s="168"/>
      <c r="O58" s="16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32"/>
      <c r="B59" s="137"/>
      <c r="C59" s="125">
        <f t="shared" si="2"/>
        <v>0</v>
      </c>
      <c r="D59" s="128"/>
      <c r="E59" s="128"/>
      <c r="F59" s="128"/>
      <c r="G59" s="128"/>
      <c r="H59" s="128"/>
      <c r="I59" s="128"/>
      <c r="J59" s="128"/>
      <c r="K59" s="128"/>
      <c r="L59" s="128"/>
      <c r="M59" s="168"/>
      <c r="N59" s="168"/>
      <c r="O59" s="168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32"/>
      <c r="B60" s="137"/>
      <c r="C60" s="125">
        <f t="shared" si="2"/>
        <v>0</v>
      </c>
      <c r="D60" s="128"/>
      <c r="E60" s="128"/>
      <c r="F60" s="128"/>
      <c r="G60" s="128"/>
      <c r="H60" s="128"/>
      <c r="I60" s="128"/>
      <c r="J60" s="128"/>
      <c r="K60" s="128"/>
      <c r="L60" s="128"/>
      <c r="M60" s="168"/>
      <c r="N60" s="168"/>
      <c r="O60" s="168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32"/>
      <c r="B61" s="137"/>
      <c r="C61" s="125">
        <f t="shared" si="2"/>
        <v>0</v>
      </c>
      <c r="D61" s="128"/>
      <c r="E61" s="128"/>
      <c r="F61" s="128"/>
      <c r="G61" s="128"/>
      <c r="H61" s="128"/>
      <c r="I61" s="128"/>
      <c r="J61" s="128"/>
      <c r="K61" s="128"/>
      <c r="L61" s="128"/>
      <c r="M61" s="168"/>
      <c r="N61" s="168"/>
      <c r="O61" s="168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32"/>
      <c r="B62" s="137"/>
      <c r="C62" s="125">
        <f t="shared" si="2"/>
        <v>0</v>
      </c>
      <c r="D62" s="128"/>
      <c r="E62" s="128"/>
      <c r="F62" s="128"/>
      <c r="G62" s="128"/>
      <c r="H62" s="128"/>
      <c r="I62" s="128"/>
      <c r="J62" s="128"/>
      <c r="K62" s="128"/>
      <c r="L62" s="128"/>
      <c r="M62" s="168"/>
      <c r="N62" s="168"/>
      <c r="O62" s="168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32"/>
      <c r="B63" s="137"/>
      <c r="C63" s="125">
        <f t="shared" si="2"/>
        <v>0</v>
      </c>
      <c r="D63" s="128"/>
      <c r="E63" s="128"/>
      <c r="F63" s="128"/>
      <c r="G63" s="128"/>
      <c r="H63" s="128"/>
      <c r="I63" s="128"/>
      <c r="J63" s="128"/>
      <c r="K63" s="128"/>
      <c r="L63" s="128"/>
      <c r="M63" s="168"/>
      <c r="N63" s="168"/>
      <c r="O63" s="168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32"/>
      <c r="B64" s="137"/>
      <c r="C64" s="125">
        <f t="shared" si="2"/>
        <v>0</v>
      </c>
      <c r="D64" s="128"/>
      <c r="E64" s="128"/>
      <c r="F64" s="128"/>
      <c r="G64" s="128"/>
      <c r="H64" s="128"/>
      <c r="I64" s="128"/>
      <c r="J64" s="128"/>
      <c r="K64" s="128"/>
      <c r="L64" s="128"/>
      <c r="M64" s="168"/>
      <c r="N64" s="168"/>
      <c r="O64" s="168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32"/>
      <c r="B65" s="137"/>
      <c r="C65" s="125">
        <f t="shared" si="2"/>
        <v>0</v>
      </c>
      <c r="D65" s="128"/>
      <c r="E65" s="128"/>
      <c r="F65" s="128"/>
      <c r="G65" s="128"/>
      <c r="H65" s="128"/>
      <c r="I65" s="128"/>
      <c r="J65" s="128"/>
      <c r="K65" s="128"/>
      <c r="L65" s="128"/>
      <c r="M65" s="168"/>
      <c r="N65" s="168"/>
      <c r="O65" s="168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32"/>
      <c r="B66" s="137"/>
      <c r="C66" s="125">
        <f t="shared" si="2"/>
        <v>0</v>
      </c>
      <c r="D66" s="128"/>
      <c r="E66" s="128"/>
      <c r="F66" s="128"/>
      <c r="G66" s="128"/>
      <c r="H66" s="128"/>
      <c r="I66" s="128"/>
      <c r="J66" s="128"/>
      <c r="K66" s="128"/>
      <c r="L66" s="128"/>
      <c r="M66" s="168"/>
      <c r="N66" s="168"/>
      <c r="O66" s="168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32"/>
      <c r="B67" s="137"/>
      <c r="C67" s="125">
        <f t="shared" si="2"/>
        <v>0</v>
      </c>
      <c r="D67" s="128"/>
      <c r="E67" s="128"/>
      <c r="F67" s="128"/>
      <c r="G67" s="128"/>
      <c r="H67" s="128"/>
      <c r="I67" s="128"/>
      <c r="J67" s="128"/>
      <c r="K67" s="128"/>
      <c r="L67" s="128"/>
      <c r="M67" s="168"/>
      <c r="N67" s="168"/>
      <c r="O67" s="168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32"/>
      <c r="B68" s="138"/>
      <c r="C68" s="125">
        <f t="shared" si="2"/>
        <v>0</v>
      </c>
      <c r="D68" s="128"/>
      <c r="E68" s="128"/>
      <c r="F68" s="128"/>
      <c r="G68" s="128"/>
      <c r="H68" s="128"/>
      <c r="I68" s="128"/>
      <c r="J68" s="128"/>
      <c r="K68" s="128"/>
      <c r="L68" s="128"/>
      <c r="M68" s="168"/>
      <c r="N68" s="168"/>
      <c r="O68" s="16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104"/>
      <c r="C69" s="3"/>
      <c r="D69" s="104"/>
      <c r="E69" s="104"/>
      <c r="F69" s="104"/>
      <c r="G69" s="104"/>
      <c r="H69" s="104"/>
      <c r="I69" s="104"/>
      <c r="J69" s="104"/>
      <c r="K69" s="104"/>
      <c r="L69" s="10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04"/>
      <c r="C70" s="3"/>
      <c r="D70" s="104"/>
      <c r="E70" s="104"/>
      <c r="F70" s="104"/>
      <c r="G70" s="104"/>
      <c r="H70" s="104"/>
      <c r="I70" s="104"/>
      <c r="J70" s="104"/>
      <c r="K70" s="104"/>
      <c r="L70" s="10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04"/>
      <c r="C71" s="3"/>
      <c r="D71" s="104"/>
      <c r="E71" s="104"/>
      <c r="F71" s="104"/>
      <c r="G71" s="104"/>
      <c r="H71" s="104"/>
      <c r="I71" s="104"/>
      <c r="J71" s="104"/>
      <c r="K71" s="104"/>
      <c r="L71" s="10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04"/>
      <c r="C72" s="3"/>
      <c r="D72" s="104"/>
      <c r="E72" s="104"/>
      <c r="F72" s="104"/>
      <c r="G72" s="104"/>
      <c r="H72" s="104"/>
      <c r="I72" s="104"/>
      <c r="J72" s="104"/>
      <c r="K72" s="104"/>
      <c r="L72" s="10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04"/>
      <c r="C73" s="3"/>
      <c r="D73" s="104"/>
      <c r="E73" s="104"/>
      <c r="F73" s="104"/>
      <c r="G73" s="104"/>
      <c r="H73" s="104"/>
      <c r="I73" s="104"/>
      <c r="J73" s="104"/>
      <c r="K73" s="104"/>
      <c r="L73" s="10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04"/>
      <c r="C74" s="3"/>
      <c r="D74" s="104"/>
      <c r="E74" s="104"/>
      <c r="F74" s="104"/>
      <c r="G74" s="104"/>
      <c r="H74" s="104"/>
      <c r="I74" s="104"/>
      <c r="J74" s="104"/>
      <c r="K74" s="104"/>
      <c r="L74" s="10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04"/>
      <c r="C75" s="3"/>
      <c r="D75" s="104"/>
      <c r="E75" s="104"/>
      <c r="F75" s="104"/>
      <c r="G75" s="104"/>
      <c r="H75" s="104"/>
      <c r="I75" s="104"/>
      <c r="J75" s="104"/>
      <c r="K75" s="104"/>
      <c r="L75" s="10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04"/>
      <c r="C76" s="3"/>
      <c r="D76" s="104"/>
      <c r="E76" s="104"/>
      <c r="F76" s="104"/>
      <c r="G76" s="104"/>
      <c r="H76" s="104"/>
      <c r="I76" s="104"/>
      <c r="J76" s="104"/>
      <c r="K76" s="104"/>
      <c r="L76" s="10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04"/>
      <c r="C77" s="3"/>
      <c r="D77" s="104"/>
      <c r="E77" s="104"/>
      <c r="F77" s="104"/>
      <c r="G77" s="104"/>
      <c r="H77" s="104"/>
      <c r="I77" s="104"/>
      <c r="J77" s="104"/>
      <c r="K77" s="104"/>
      <c r="L77" s="10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04"/>
      <c r="C78" s="3"/>
      <c r="D78" s="104"/>
      <c r="E78" s="104"/>
      <c r="F78" s="104"/>
      <c r="G78" s="104"/>
      <c r="H78" s="104"/>
      <c r="I78" s="104"/>
      <c r="J78" s="104"/>
      <c r="K78" s="104"/>
      <c r="L78" s="10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04"/>
      <c r="C79" s="3"/>
      <c r="D79" s="104"/>
      <c r="E79" s="104"/>
      <c r="F79" s="104"/>
      <c r="G79" s="104"/>
      <c r="H79" s="104"/>
      <c r="I79" s="104"/>
      <c r="J79" s="104"/>
      <c r="K79" s="104"/>
      <c r="L79" s="10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04"/>
      <c r="C80" s="3"/>
      <c r="D80" s="104"/>
      <c r="E80" s="104"/>
      <c r="F80" s="104"/>
      <c r="G80" s="104"/>
      <c r="H80" s="104"/>
      <c r="I80" s="104"/>
      <c r="J80" s="104"/>
      <c r="K80" s="104"/>
      <c r="L80" s="10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04"/>
      <c r="C81" s="3"/>
      <c r="D81" s="104"/>
      <c r="E81" s="104"/>
      <c r="F81" s="104"/>
      <c r="G81" s="104"/>
      <c r="H81" s="104"/>
      <c r="I81" s="104"/>
      <c r="J81" s="104"/>
      <c r="K81" s="104"/>
      <c r="L81" s="10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04"/>
      <c r="C82" s="3"/>
      <c r="D82" s="104"/>
      <c r="E82" s="104"/>
      <c r="F82" s="104"/>
      <c r="G82" s="104"/>
      <c r="H82" s="104"/>
      <c r="I82" s="104"/>
      <c r="J82" s="104"/>
      <c r="K82" s="104"/>
      <c r="L82" s="10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04"/>
      <c r="C83" s="3"/>
      <c r="D83" s="104"/>
      <c r="E83" s="104"/>
      <c r="F83" s="104"/>
      <c r="G83" s="104"/>
      <c r="H83" s="104"/>
      <c r="I83" s="104"/>
      <c r="J83" s="104"/>
      <c r="K83" s="104"/>
      <c r="L83" s="10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04"/>
      <c r="C84" s="3"/>
      <c r="D84" s="104"/>
      <c r="E84" s="104"/>
      <c r="F84" s="104"/>
      <c r="G84" s="104"/>
      <c r="H84" s="104"/>
      <c r="I84" s="104"/>
      <c r="J84" s="104"/>
      <c r="K84" s="104"/>
      <c r="L84" s="10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04"/>
      <c r="C85" s="3"/>
      <c r="D85" s="104"/>
      <c r="E85" s="104"/>
      <c r="F85" s="104"/>
      <c r="G85" s="104"/>
      <c r="H85" s="104"/>
      <c r="I85" s="104"/>
      <c r="J85" s="104"/>
      <c r="K85" s="104"/>
      <c r="L85" s="10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04"/>
      <c r="C86" s="3"/>
      <c r="D86" s="104"/>
      <c r="E86" s="104"/>
      <c r="F86" s="104"/>
      <c r="G86" s="104"/>
      <c r="H86" s="104"/>
      <c r="I86" s="104"/>
      <c r="J86" s="104"/>
      <c r="K86" s="104"/>
      <c r="L86" s="10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04"/>
      <c r="C87" s="3"/>
      <c r="D87" s="104"/>
      <c r="E87" s="104"/>
      <c r="F87" s="104"/>
      <c r="G87" s="104"/>
      <c r="H87" s="104"/>
      <c r="I87" s="104"/>
      <c r="J87" s="104"/>
      <c r="K87" s="104"/>
      <c r="L87" s="10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04"/>
      <c r="C88" s="3"/>
      <c r="D88" s="104"/>
      <c r="E88" s="104"/>
      <c r="F88" s="104"/>
      <c r="G88" s="104"/>
      <c r="H88" s="104"/>
      <c r="I88" s="104"/>
      <c r="J88" s="104"/>
      <c r="K88" s="104"/>
      <c r="L88" s="10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04"/>
      <c r="C89" s="3"/>
      <c r="D89" s="104"/>
      <c r="E89" s="104"/>
      <c r="F89" s="104"/>
      <c r="G89" s="104"/>
      <c r="H89" s="104"/>
      <c r="I89" s="104"/>
      <c r="J89" s="104"/>
      <c r="K89" s="104"/>
      <c r="L89" s="10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04"/>
      <c r="C90" s="3"/>
      <c r="D90" s="104"/>
      <c r="E90" s="104"/>
      <c r="F90" s="104"/>
      <c r="G90" s="104"/>
      <c r="H90" s="104"/>
      <c r="I90" s="104"/>
      <c r="J90" s="104"/>
      <c r="K90" s="104"/>
      <c r="L90" s="10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04"/>
      <c r="C91" s="3"/>
      <c r="D91" s="104"/>
      <c r="E91" s="104"/>
      <c r="F91" s="104"/>
      <c r="G91" s="104"/>
      <c r="H91" s="104"/>
      <c r="I91" s="104"/>
      <c r="J91" s="104"/>
      <c r="K91" s="104"/>
      <c r="L91" s="10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04"/>
      <c r="C92" s="3"/>
      <c r="D92" s="104"/>
      <c r="E92" s="104"/>
      <c r="F92" s="104"/>
      <c r="G92" s="104"/>
      <c r="H92" s="104"/>
      <c r="I92" s="104"/>
      <c r="J92" s="104"/>
      <c r="K92" s="104"/>
      <c r="L92" s="10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04"/>
      <c r="C93" s="3"/>
      <c r="D93" s="104"/>
      <c r="E93" s="104"/>
      <c r="F93" s="104"/>
      <c r="G93" s="104"/>
      <c r="H93" s="104"/>
      <c r="I93" s="104"/>
      <c r="J93" s="104"/>
      <c r="K93" s="104"/>
      <c r="L93" s="10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04"/>
      <c r="C94" s="3"/>
      <c r="D94" s="104"/>
      <c r="E94" s="104"/>
      <c r="F94" s="104"/>
      <c r="G94" s="104"/>
      <c r="H94" s="104"/>
      <c r="I94" s="104"/>
      <c r="J94" s="104"/>
      <c r="K94" s="104"/>
      <c r="L94" s="10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04"/>
      <c r="C95" s="3"/>
      <c r="D95" s="104"/>
      <c r="E95" s="104"/>
      <c r="F95" s="104"/>
      <c r="G95" s="104"/>
      <c r="H95" s="104"/>
      <c r="I95" s="104"/>
      <c r="J95" s="104"/>
      <c r="K95" s="104"/>
      <c r="L95" s="10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04"/>
      <c r="C96" s="3"/>
      <c r="D96" s="104"/>
      <c r="E96" s="104"/>
      <c r="F96" s="104"/>
      <c r="G96" s="104"/>
      <c r="H96" s="104"/>
      <c r="I96" s="104"/>
      <c r="J96" s="104"/>
      <c r="K96" s="104"/>
      <c r="L96" s="10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04"/>
      <c r="C97" s="3"/>
      <c r="D97" s="104"/>
      <c r="E97" s="104"/>
      <c r="F97" s="104"/>
      <c r="G97" s="104"/>
      <c r="H97" s="104"/>
      <c r="I97" s="104"/>
      <c r="J97" s="104"/>
      <c r="K97" s="104"/>
      <c r="L97" s="10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04"/>
      <c r="C98" s="3"/>
      <c r="D98" s="104"/>
      <c r="E98" s="104"/>
      <c r="F98" s="104"/>
      <c r="G98" s="104"/>
      <c r="H98" s="104"/>
      <c r="I98" s="104"/>
      <c r="J98" s="104"/>
      <c r="K98" s="104"/>
      <c r="L98" s="10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04"/>
      <c r="C99" s="3"/>
      <c r="D99" s="104"/>
      <c r="E99" s="104"/>
      <c r="F99" s="104"/>
      <c r="G99" s="104"/>
      <c r="H99" s="104"/>
      <c r="I99" s="104"/>
      <c r="J99" s="104"/>
      <c r="K99" s="104"/>
      <c r="L99" s="10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04"/>
      <c r="C100" s="3"/>
      <c r="D100" s="104"/>
      <c r="E100" s="104"/>
      <c r="F100" s="104"/>
      <c r="G100" s="104"/>
      <c r="H100" s="104"/>
      <c r="I100" s="104"/>
      <c r="J100" s="104"/>
      <c r="K100" s="104"/>
      <c r="L100" s="10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04"/>
      <c r="C101" s="3"/>
      <c r="D101" s="104"/>
      <c r="E101" s="104"/>
      <c r="F101" s="104"/>
      <c r="G101" s="104"/>
      <c r="H101" s="104"/>
      <c r="I101" s="104"/>
      <c r="J101" s="104"/>
      <c r="K101" s="104"/>
      <c r="L101" s="10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04"/>
      <c r="C102" s="3"/>
      <c r="D102" s="104"/>
      <c r="E102" s="104"/>
      <c r="F102" s="104"/>
      <c r="G102" s="104"/>
      <c r="H102" s="104"/>
      <c r="I102" s="104"/>
      <c r="J102" s="104"/>
      <c r="K102" s="104"/>
      <c r="L102" s="10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04"/>
      <c r="C103" s="3"/>
      <c r="D103" s="104"/>
      <c r="E103" s="104"/>
      <c r="F103" s="104"/>
      <c r="G103" s="104"/>
      <c r="H103" s="104"/>
      <c r="I103" s="104"/>
      <c r="J103" s="104"/>
      <c r="K103" s="104"/>
      <c r="L103" s="10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04"/>
      <c r="C104" s="3"/>
      <c r="D104" s="104"/>
      <c r="E104" s="104"/>
      <c r="F104" s="104"/>
      <c r="G104" s="104"/>
      <c r="H104" s="104"/>
      <c r="I104" s="104"/>
      <c r="J104" s="104"/>
      <c r="K104" s="104"/>
      <c r="L104" s="10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04"/>
      <c r="C105" s="3"/>
      <c r="D105" s="104"/>
      <c r="E105" s="104"/>
      <c r="F105" s="104"/>
      <c r="G105" s="104"/>
      <c r="H105" s="104"/>
      <c r="I105" s="104"/>
      <c r="J105" s="104"/>
      <c r="K105" s="104"/>
      <c r="L105" s="10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04"/>
      <c r="C106" s="3"/>
      <c r="D106" s="104"/>
      <c r="E106" s="104"/>
      <c r="F106" s="104"/>
      <c r="G106" s="104"/>
      <c r="H106" s="104"/>
      <c r="I106" s="104"/>
      <c r="J106" s="104"/>
      <c r="K106" s="104"/>
      <c r="L106" s="10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04"/>
      <c r="C107" s="3"/>
      <c r="D107" s="104"/>
      <c r="E107" s="104"/>
      <c r="F107" s="104"/>
      <c r="G107" s="104"/>
      <c r="H107" s="104"/>
      <c r="I107" s="104"/>
      <c r="J107" s="104"/>
      <c r="K107" s="104"/>
      <c r="L107" s="10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04"/>
      <c r="C108" s="3"/>
      <c r="D108" s="104"/>
      <c r="E108" s="104"/>
      <c r="F108" s="104"/>
      <c r="G108" s="104"/>
      <c r="H108" s="104"/>
      <c r="I108" s="104"/>
      <c r="J108" s="104"/>
      <c r="K108" s="104"/>
      <c r="L108" s="10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04"/>
      <c r="C109" s="3"/>
      <c r="D109" s="104"/>
      <c r="E109" s="104"/>
      <c r="F109" s="104"/>
      <c r="G109" s="104"/>
      <c r="H109" s="104"/>
      <c r="I109" s="104"/>
      <c r="J109" s="104"/>
      <c r="K109" s="104"/>
      <c r="L109" s="10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04"/>
      <c r="C110" s="3"/>
      <c r="D110" s="104"/>
      <c r="E110" s="104"/>
      <c r="F110" s="104"/>
      <c r="G110" s="104"/>
      <c r="H110" s="104"/>
      <c r="I110" s="104"/>
      <c r="J110" s="104"/>
      <c r="K110" s="104"/>
      <c r="L110" s="10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04"/>
      <c r="C111" s="3"/>
      <c r="D111" s="104"/>
      <c r="E111" s="104"/>
      <c r="F111" s="104"/>
      <c r="G111" s="104"/>
      <c r="H111" s="104"/>
      <c r="I111" s="104"/>
      <c r="J111" s="104"/>
      <c r="K111" s="104"/>
      <c r="L111" s="10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04"/>
      <c r="C112" s="3"/>
      <c r="D112" s="104"/>
      <c r="E112" s="104"/>
      <c r="F112" s="104"/>
      <c r="G112" s="104"/>
      <c r="H112" s="104"/>
      <c r="I112" s="104"/>
      <c r="J112" s="104"/>
      <c r="K112" s="104"/>
      <c r="L112" s="10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04"/>
      <c r="C113" s="3"/>
      <c r="D113" s="104"/>
      <c r="E113" s="104"/>
      <c r="F113" s="104"/>
      <c r="G113" s="104"/>
      <c r="H113" s="104"/>
      <c r="I113" s="104"/>
      <c r="J113" s="104"/>
      <c r="K113" s="104"/>
      <c r="L113" s="10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04"/>
      <c r="C114" s="3"/>
      <c r="D114" s="104"/>
      <c r="E114" s="104"/>
      <c r="F114" s="104"/>
      <c r="G114" s="104"/>
      <c r="H114" s="104"/>
      <c r="I114" s="104"/>
      <c r="J114" s="104"/>
      <c r="K114" s="104"/>
      <c r="L114" s="10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04"/>
      <c r="C115" s="3"/>
      <c r="D115" s="104"/>
      <c r="E115" s="104"/>
      <c r="F115" s="104"/>
      <c r="G115" s="104"/>
      <c r="H115" s="104"/>
      <c r="I115" s="104"/>
      <c r="J115" s="104"/>
      <c r="K115" s="104"/>
      <c r="L115" s="10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04"/>
      <c r="C116" s="3"/>
      <c r="D116" s="104"/>
      <c r="E116" s="104"/>
      <c r="F116" s="104"/>
      <c r="G116" s="104"/>
      <c r="H116" s="104"/>
      <c r="I116" s="104"/>
      <c r="J116" s="104"/>
      <c r="K116" s="104"/>
      <c r="L116" s="10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04"/>
      <c r="C117" s="3"/>
      <c r="D117" s="104"/>
      <c r="E117" s="104"/>
      <c r="F117" s="104"/>
      <c r="G117" s="104"/>
      <c r="H117" s="104"/>
      <c r="I117" s="104"/>
      <c r="J117" s="104"/>
      <c r="K117" s="104"/>
      <c r="L117" s="10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04"/>
      <c r="C118" s="3"/>
      <c r="D118" s="104"/>
      <c r="E118" s="104"/>
      <c r="F118" s="104"/>
      <c r="G118" s="104"/>
      <c r="H118" s="104"/>
      <c r="I118" s="104"/>
      <c r="J118" s="104"/>
      <c r="K118" s="104"/>
      <c r="L118" s="10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04"/>
      <c r="C119" s="3"/>
      <c r="D119" s="104"/>
      <c r="E119" s="104"/>
      <c r="F119" s="104"/>
      <c r="G119" s="104"/>
      <c r="H119" s="104"/>
      <c r="I119" s="104"/>
      <c r="J119" s="104"/>
      <c r="K119" s="104"/>
      <c r="L119" s="10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04"/>
      <c r="C120" s="3"/>
      <c r="D120" s="104"/>
      <c r="E120" s="104"/>
      <c r="F120" s="104"/>
      <c r="G120" s="104"/>
      <c r="H120" s="104"/>
      <c r="I120" s="104"/>
      <c r="J120" s="104"/>
      <c r="K120" s="104"/>
      <c r="L120" s="10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04"/>
      <c r="C121" s="3"/>
      <c r="D121" s="104"/>
      <c r="E121" s="104"/>
      <c r="F121" s="104"/>
      <c r="G121" s="104"/>
      <c r="H121" s="104"/>
      <c r="I121" s="104"/>
      <c r="J121" s="104"/>
      <c r="K121" s="104"/>
      <c r="L121" s="10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04"/>
      <c r="C122" s="3"/>
      <c r="D122" s="104"/>
      <c r="E122" s="104"/>
      <c r="F122" s="104"/>
      <c r="G122" s="104"/>
      <c r="H122" s="104"/>
      <c r="I122" s="104"/>
      <c r="J122" s="104"/>
      <c r="K122" s="104"/>
      <c r="L122" s="10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04"/>
      <c r="C123" s="3"/>
      <c r="D123" s="104"/>
      <c r="E123" s="104"/>
      <c r="F123" s="104"/>
      <c r="G123" s="104"/>
      <c r="H123" s="104"/>
      <c r="I123" s="104"/>
      <c r="J123" s="104"/>
      <c r="K123" s="104"/>
      <c r="L123" s="10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04"/>
      <c r="C124" s="3"/>
      <c r="D124" s="104"/>
      <c r="E124" s="104"/>
      <c r="F124" s="104"/>
      <c r="G124" s="104"/>
      <c r="H124" s="104"/>
      <c r="I124" s="104"/>
      <c r="J124" s="104"/>
      <c r="K124" s="104"/>
      <c r="L124" s="10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04"/>
      <c r="C125" s="3"/>
      <c r="D125" s="104"/>
      <c r="E125" s="104"/>
      <c r="F125" s="104"/>
      <c r="G125" s="104"/>
      <c r="H125" s="104"/>
      <c r="I125" s="104"/>
      <c r="J125" s="104"/>
      <c r="K125" s="104"/>
      <c r="L125" s="10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04"/>
      <c r="C126" s="3"/>
      <c r="D126" s="104"/>
      <c r="E126" s="104"/>
      <c r="F126" s="104"/>
      <c r="G126" s="104"/>
      <c r="H126" s="104"/>
      <c r="I126" s="104"/>
      <c r="J126" s="104"/>
      <c r="K126" s="104"/>
      <c r="L126" s="10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04"/>
      <c r="C127" s="3"/>
      <c r="D127" s="104"/>
      <c r="E127" s="104"/>
      <c r="F127" s="104"/>
      <c r="G127" s="104"/>
      <c r="H127" s="104"/>
      <c r="I127" s="104"/>
      <c r="J127" s="104"/>
      <c r="K127" s="104"/>
      <c r="L127" s="10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04"/>
      <c r="C128" s="3"/>
      <c r="D128" s="104"/>
      <c r="E128" s="104"/>
      <c r="F128" s="104"/>
      <c r="G128" s="104"/>
      <c r="H128" s="104"/>
      <c r="I128" s="104"/>
      <c r="J128" s="104"/>
      <c r="K128" s="104"/>
      <c r="L128" s="10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04"/>
      <c r="C129" s="3"/>
      <c r="D129" s="104"/>
      <c r="E129" s="104"/>
      <c r="F129" s="104"/>
      <c r="G129" s="104"/>
      <c r="H129" s="104"/>
      <c r="I129" s="104"/>
      <c r="J129" s="104"/>
      <c r="K129" s="104"/>
      <c r="L129" s="10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04"/>
      <c r="C130" s="3"/>
      <c r="D130" s="104"/>
      <c r="E130" s="104"/>
      <c r="F130" s="104"/>
      <c r="G130" s="104"/>
      <c r="H130" s="104"/>
      <c r="I130" s="104"/>
      <c r="J130" s="104"/>
      <c r="K130" s="104"/>
      <c r="L130" s="10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04"/>
      <c r="C131" s="3"/>
      <c r="D131" s="104"/>
      <c r="E131" s="104"/>
      <c r="F131" s="104"/>
      <c r="G131" s="104"/>
      <c r="H131" s="104"/>
      <c r="I131" s="104"/>
      <c r="J131" s="104"/>
      <c r="K131" s="104"/>
      <c r="L131" s="10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04"/>
      <c r="C132" s="3"/>
      <c r="D132" s="104"/>
      <c r="E132" s="104"/>
      <c r="F132" s="104"/>
      <c r="G132" s="104"/>
      <c r="H132" s="104"/>
      <c r="I132" s="104"/>
      <c r="J132" s="104"/>
      <c r="K132" s="104"/>
      <c r="L132" s="10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04"/>
      <c r="C133" s="3"/>
      <c r="D133" s="104"/>
      <c r="E133" s="104"/>
      <c r="F133" s="104"/>
      <c r="G133" s="104"/>
      <c r="H133" s="104"/>
      <c r="I133" s="104"/>
      <c r="J133" s="104"/>
      <c r="K133" s="104"/>
      <c r="L133" s="10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04"/>
      <c r="C134" s="3"/>
      <c r="D134" s="104"/>
      <c r="E134" s="104"/>
      <c r="F134" s="104"/>
      <c r="G134" s="104"/>
      <c r="H134" s="104"/>
      <c r="I134" s="104"/>
      <c r="J134" s="104"/>
      <c r="K134" s="104"/>
      <c r="L134" s="10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04"/>
      <c r="C135" s="3"/>
      <c r="D135" s="104"/>
      <c r="E135" s="104"/>
      <c r="F135" s="104"/>
      <c r="G135" s="104"/>
      <c r="H135" s="104"/>
      <c r="I135" s="104"/>
      <c r="J135" s="104"/>
      <c r="K135" s="104"/>
      <c r="L135" s="10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04"/>
      <c r="C136" s="3"/>
      <c r="D136" s="104"/>
      <c r="E136" s="104"/>
      <c r="F136" s="104"/>
      <c r="G136" s="104"/>
      <c r="H136" s="104"/>
      <c r="I136" s="104"/>
      <c r="J136" s="104"/>
      <c r="K136" s="104"/>
      <c r="L136" s="10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04"/>
      <c r="C137" s="3"/>
      <c r="D137" s="104"/>
      <c r="E137" s="104"/>
      <c r="F137" s="104"/>
      <c r="G137" s="104"/>
      <c r="H137" s="104"/>
      <c r="I137" s="104"/>
      <c r="J137" s="104"/>
      <c r="K137" s="104"/>
      <c r="L137" s="10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04"/>
      <c r="C138" s="3"/>
      <c r="D138" s="104"/>
      <c r="E138" s="104"/>
      <c r="F138" s="104"/>
      <c r="G138" s="104"/>
      <c r="H138" s="104"/>
      <c r="I138" s="104"/>
      <c r="J138" s="104"/>
      <c r="K138" s="104"/>
      <c r="L138" s="10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04"/>
      <c r="C139" s="3"/>
      <c r="D139" s="104"/>
      <c r="E139" s="104"/>
      <c r="F139" s="104"/>
      <c r="G139" s="104"/>
      <c r="H139" s="104"/>
      <c r="I139" s="104"/>
      <c r="J139" s="104"/>
      <c r="K139" s="104"/>
      <c r="L139" s="10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04"/>
      <c r="C140" s="3"/>
      <c r="D140" s="104"/>
      <c r="E140" s="104"/>
      <c r="F140" s="104"/>
      <c r="G140" s="104"/>
      <c r="H140" s="104"/>
      <c r="I140" s="104"/>
      <c r="J140" s="104"/>
      <c r="K140" s="104"/>
      <c r="L140" s="10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04"/>
      <c r="C141" s="3"/>
      <c r="D141" s="104"/>
      <c r="E141" s="104"/>
      <c r="F141" s="104"/>
      <c r="G141" s="104"/>
      <c r="H141" s="104"/>
      <c r="I141" s="104"/>
      <c r="J141" s="104"/>
      <c r="K141" s="104"/>
      <c r="L141" s="10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04"/>
      <c r="C142" s="3"/>
      <c r="D142" s="104"/>
      <c r="E142" s="104"/>
      <c r="F142" s="104"/>
      <c r="G142" s="104"/>
      <c r="H142" s="104"/>
      <c r="I142" s="104"/>
      <c r="J142" s="104"/>
      <c r="K142" s="104"/>
      <c r="L142" s="10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04"/>
      <c r="C143" s="3"/>
      <c r="D143" s="104"/>
      <c r="E143" s="104"/>
      <c r="F143" s="104"/>
      <c r="G143" s="104"/>
      <c r="H143" s="104"/>
      <c r="I143" s="104"/>
      <c r="J143" s="104"/>
      <c r="K143" s="104"/>
      <c r="L143" s="10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04"/>
      <c r="C144" s="3"/>
      <c r="D144" s="104"/>
      <c r="E144" s="104"/>
      <c r="F144" s="104"/>
      <c r="G144" s="104"/>
      <c r="H144" s="104"/>
      <c r="I144" s="104"/>
      <c r="J144" s="104"/>
      <c r="K144" s="104"/>
      <c r="L144" s="10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04"/>
      <c r="C145" s="3"/>
      <c r="D145" s="104"/>
      <c r="E145" s="104"/>
      <c r="F145" s="104"/>
      <c r="G145" s="104"/>
      <c r="H145" s="104"/>
      <c r="I145" s="104"/>
      <c r="J145" s="104"/>
      <c r="K145" s="104"/>
      <c r="L145" s="10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04"/>
      <c r="C146" s="3"/>
      <c r="D146" s="104"/>
      <c r="E146" s="104"/>
      <c r="F146" s="104"/>
      <c r="G146" s="104"/>
      <c r="H146" s="104"/>
      <c r="I146" s="104"/>
      <c r="J146" s="104"/>
      <c r="K146" s="104"/>
      <c r="L146" s="10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04"/>
      <c r="C147" s="3"/>
      <c r="D147" s="104"/>
      <c r="E147" s="104"/>
      <c r="F147" s="104"/>
      <c r="G147" s="104"/>
      <c r="H147" s="104"/>
      <c r="I147" s="104"/>
      <c r="J147" s="104"/>
      <c r="K147" s="104"/>
      <c r="L147" s="10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04"/>
      <c r="C148" s="3"/>
      <c r="D148" s="104"/>
      <c r="E148" s="104"/>
      <c r="F148" s="104"/>
      <c r="G148" s="104"/>
      <c r="H148" s="104"/>
      <c r="I148" s="104"/>
      <c r="J148" s="104"/>
      <c r="K148" s="104"/>
      <c r="L148" s="10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04"/>
      <c r="C149" s="3"/>
      <c r="D149" s="104"/>
      <c r="E149" s="104"/>
      <c r="F149" s="104"/>
      <c r="G149" s="104"/>
      <c r="H149" s="104"/>
      <c r="I149" s="104"/>
      <c r="J149" s="104"/>
      <c r="K149" s="104"/>
      <c r="L149" s="10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04"/>
      <c r="C150" s="3"/>
      <c r="D150" s="104"/>
      <c r="E150" s="104"/>
      <c r="F150" s="104"/>
      <c r="G150" s="104"/>
      <c r="H150" s="104"/>
      <c r="I150" s="104"/>
      <c r="J150" s="104"/>
      <c r="K150" s="104"/>
      <c r="L150" s="10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04"/>
      <c r="C151" s="3"/>
      <c r="D151" s="104"/>
      <c r="E151" s="104"/>
      <c r="F151" s="104"/>
      <c r="G151" s="104"/>
      <c r="H151" s="104"/>
      <c r="I151" s="104"/>
      <c r="J151" s="104"/>
      <c r="K151" s="104"/>
      <c r="L151" s="10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04"/>
      <c r="C152" s="3"/>
      <c r="D152" s="104"/>
      <c r="E152" s="104"/>
      <c r="F152" s="104"/>
      <c r="G152" s="104"/>
      <c r="H152" s="104"/>
      <c r="I152" s="104"/>
      <c r="J152" s="104"/>
      <c r="K152" s="104"/>
      <c r="L152" s="10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04"/>
      <c r="C153" s="3"/>
      <c r="D153" s="104"/>
      <c r="E153" s="104"/>
      <c r="F153" s="104"/>
      <c r="G153" s="104"/>
      <c r="H153" s="104"/>
      <c r="I153" s="104"/>
      <c r="J153" s="104"/>
      <c r="K153" s="104"/>
      <c r="L153" s="10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04"/>
      <c r="C154" s="3"/>
      <c r="D154" s="104"/>
      <c r="E154" s="104"/>
      <c r="F154" s="104"/>
      <c r="G154" s="104"/>
      <c r="H154" s="104"/>
      <c r="I154" s="104"/>
      <c r="J154" s="104"/>
      <c r="K154" s="104"/>
      <c r="L154" s="10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04"/>
      <c r="C155" s="3"/>
      <c r="D155" s="104"/>
      <c r="E155" s="104"/>
      <c r="F155" s="104"/>
      <c r="G155" s="104"/>
      <c r="H155" s="104"/>
      <c r="I155" s="104"/>
      <c r="J155" s="104"/>
      <c r="K155" s="104"/>
      <c r="L155" s="10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04"/>
      <c r="C156" s="3"/>
      <c r="D156" s="104"/>
      <c r="E156" s="104"/>
      <c r="F156" s="104"/>
      <c r="G156" s="104"/>
      <c r="H156" s="104"/>
      <c r="I156" s="104"/>
      <c r="J156" s="104"/>
      <c r="K156" s="104"/>
      <c r="L156" s="10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04"/>
      <c r="C157" s="3"/>
      <c r="D157" s="104"/>
      <c r="E157" s="104"/>
      <c r="F157" s="104"/>
      <c r="G157" s="104"/>
      <c r="H157" s="104"/>
      <c r="I157" s="104"/>
      <c r="J157" s="104"/>
      <c r="K157" s="104"/>
      <c r="L157" s="10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04"/>
      <c r="C158" s="3"/>
      <c r="D158" s="104"/>
      <c r="E158" s="104"/>
      <c r="F158" s="104"/>
      <c r="G158" s="104"/>
      <c r="H158" s="104"/>
      <c r="I158" s="104"/>
      <c r="J158" s="104"/>
      <c r="K158" s="104"/>
      <c r="L158" s="10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04"/>
      <c r="C159" s="3"/>
      <c r="D159" s="104"/>
      <c r="E159" s="104"/>
      <c r="F159" s="104"/>
      <c r="G159" s="104"/>
      <c r="H159" s="104"/>
      <c r="I159" s="104"/>
      <c r="J159" s="104"/>
      <c r="K159" s="104"/>
      <c r="L159" s="10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04"/>
      <c r="C160" s="3"/>
      <c r="D160" s="104"/>
      <c r="E160" s="104"/>
      <c r="F160" s="104"/>
      <c r="G160" s="104"/>
      <c r="H160" s="104"/>
      <c r="I160" s="104"/>
      <c r="J160" s="104"/>
      <c r="K160" s="104"/>
      <c r="L160" s="10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04"/>
      <c r="C161" s="3"/>
      <c r="D161" s="104"/>
      <c r="E161" s="104"/>
      <c r="F161" s="104"/>
      <c r="G161" s="104"/>
      <c r="H161" s="104"/>
      <c r="I161" s="104"/>
      <c r="J161" s="104"/>
      <c r="K161" s="104"/>
      <c r="L161" s="10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04"/>
      <c r="C162" s="3"/>
      <c r="D162" s="104"/>
      <c r="E162" s="104"/>
      <c r="F162" s="104"/>
      <c r="G162" s="104"/>
      <c r="H162" s="104"/>
      <c r="I162" s="104"/>
      <c r="J162" s="104"/>
      <c r="K162" s="104"/>
      <c r="L162" s="10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04"/>
      <c r="C163" s="3"/>
      <c r="D163" s="104"/>
      <c r="E163" s="104"/>
      <c r="F163" s="104"/>
      <c r="G163" s="104"/>
      <c r="H163" s="104"/>
      <c r="I163" s="104"/>
      <c r="J163" s="104"/>
      <c r="K163" s="104"/>
      <c r="L163" s="10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04"/>
      <c r="C164" s="3"/>
      <c r="D164" s="104"/>
      <c r="E164" s="104"/>
      <c r="F164" s="104"/>
      <c r="G164" s="104"/>
      <c r="H164" s="104"/>
      <c r="I164" s="104"/>
      <c r="J164" s="104"/>
      <c r="K164" s="104"/>
      <c r="L164" s="10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04"/>
      <c r="C165" s="3"/>
      <c r="D165" s="104"/>
      <c r="E165" s="104"/>
      <c r="F165" s="104"/>
      <c r="G165" s="104"/>
      <c r="H165" s="104"/>
      <c r="I165" s="104"/>
      <c r="J165" s="104"/>
      <c r="K165" s="104"/>
      <c r="L165" s="10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04"/>
      <c r="C166" s="3"/>
      <c r="D166" s="104"/>
      <c r="E166" s="104"/>
      <c r="F166" s="104"/>
      <c r="G166" s="104"/>
      <c r="H166" s="104"/>
      <c r="I166" s="104"/>
      <c r="J166" s="104"/>
      <c r="K166" s="104"/>
      <c r="L166" s="10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04"/>
      <c r="C167" s="3"/>
      <c r="D167" s="104"/>
      <c r="E167" s="104"/>
      <c r="F167" s="104"/>
      <c r="G167" s="104"/>
      <c r="H167" s="104"/>
      <c r="I167" s="104"/>
      <c r="J167" s="104"/>
      <c r="K167" s="104"/>
      <c r="L167" s="10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04"/>
      <c r="C168" s="3"/>
      <c r="D168" s="104"/>
      <c r="E168" s="104"/>
      <c r="F168" s="104"/>
      <c r="G168" s="104"/>
      <c r="H168" s="104"/>
      <c r="I168" s="104"/>
      <c r="J168" s="104"/>
      <c r="K168" s="104"/>
      <c r="L168" s="10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04"/>
      <c r="C169" s="3"/>
      <c r="D169" s="104"/>
      <c r="E169" s="104"/>
      <c r="F169" s="104"/>
      <c r="G169" s="104"/>
      <c r="H169" s="104"/>
      <c r="I169" s="104"/>
      <c r="J169" s="104"/>
      <c r="K169" s="104"/>
      <c r="L169" s="10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04"/>
      <c r="C170" s="3"/>
      <c r="D170" s="104"/>
      <c r="E170" s="104"/>
      <c r="F170" s="104"/>
      <c r="G170" s="104"/>
      <c r="H170" s="104"/>
      <c r="I170" s="104"/>
      <c r="J170" s="104"/>
      <c r="K170" s="104"/>
      <c r="L170" s="10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04"/>
      <c r="C171" s="3"/>
      <c r="D171" s="104"/>
      <c r="E171" s="104"/>
      <c r="F171" s="104"/>
      <c r="G171" s="104"/>
      <c r="H171" s="104"/>
      <c r="I171" s="104"/>
      <c r="J171" s="104"/>
      <c r="K171" s="104"/>
      <c r="L171" s="10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04"/>
      <c r="C172" s="3"/>
      <c r="D172" s="104"/>
      <c r="E172" s="104"/>
      <c r="F172" s="104"/>
      <c r="G172" s="104"/>
      <c r="H172" s="104"/>
      <c r="I172" s="104"/>
      <c r="J172" s="104"/>
      <c r="K172" s="104"/>
      <c r="L172" s="10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04"/>
      <c r="C173" s="3"/>
      <c r="D173" s="104"/>
      <c r="E173" s="104"/>
      <c r="F173" s="104"/>
      <c r="G173" s="104"/>
      <c r="H173" s="104"/>
      <c r="I173" s="104"/>
      <c r="J173" s="104"/>
      <c r="K173" s="104"/>
      <c r="L173" s="10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04"/>
      <c r="C174" s="3"/>
      <c r="D174" s="104"/>
      <c r="E174" s="104"/>
      <c r="F174" s="104"/>
      <c r="G174" s="104"/>
      <c r="H174" s="104"/>
      <c r="I174" s="104"/>
      <c r="J174" s="104"/>
      <c r="K174" s="104"/>
      <c r="L174" s="10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04"/>
      <c r="C175" s="3"/>
      <c r="D175" s="104"/>
      <c r="E175" s="104"/>
      <c r="F175" s="104"/>
      <c r="G175" s="104"/>
      <c r="H175" s="104"/>
      <c r="I175" s="104"/>
      <c r="J175" s="104"/>
      <c r="K175" s="104"/>
      <c r="L175" s="10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04"/>
      <c r="C176" s="3"/>
      <c r="D176" s="104"/>
      <c r="E176" s="104"/>
      <c r="F176" s="104"/>
      <c r="G176" s="104"/>
      <c r="H176" s="104"/>
      <c r="I176" s="104"/>
      <c r="J176" s="104"/>
      <c r="K176" s="104"/>
      <c r="L176" s="10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04"/>
      <c r="C177" s="3"/>
      <c r="D177" s="104"/>
      <c r="E177" s="104"/>
      <c r="F177" s="104"/>
      <c r="G177" s="104"/>
      <c r="H177" s="104"/>
      <c r="I177" s="104"/>
      <c r="J177" s="104"/>
      <c r="K177" s="104"/>
      <c r="L177" s="10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04"/>
      <c r="C178" s="3"/>
      <c r="D178" s="104"/>
      <c r="E178" s="104"/>
      <c r="F178" s="104"/>
      <c r="G178" s="104"/>
      <c r="H178" s="104"/>
      <c r="I178" s="104"/>
      <c r="J178" s="104"/>
      <c r="K178" s="104"/>
      <c r="L178" s="10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04"/>
      <c r="C179" s="3"/>
      <c r="D179" s="104"/>
      <c r="E179" s="104"/>
      <c r="F179" s="104"/>
      <c r="G179" s="104"/>
      <c r="H179" s="104"/>
      <c r="I179" s="104"/>
      <c r="J179" s="104"/>
      <c r="K179" s="104"/>
      <c r="L179" s="10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04"/>
      <c r="C180" s="3"/>
      <c r="D180" s="104"/>
      <c r="E180" s="104"/>
      <c r="F180" s="104"/>
      <c r="G180" s="104"/>
      <c r="H180" s="104"/>
      <c r="I180" s="104"/>
      <c r="J180" s="104"/>
      <c r="K180" s="104"/>
      <c r="L180" s="10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04"/>
      <c r="C181" s="3"/>
      <c r="D181" s="104"/>
      <c r="E181" s="104"/>
      <c r="F181" s="104"/>
      <c r="G181" s="104"/>
      <c r="H181" s="104"/>
      <c r="I181" s="104"/>
      <c r="J181" s="104"/>
      <c r="K181" s="104"/>
      <c r="L181" s="10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04"/>
      <c r="C182" s="3"/>
      <c r="D182" s="104"/>
      <c r="E182" s="104"/>
      <c r="F182" s="104"/>
      <c r="G182" s="104"/>
      <c r="H182" s="104"/>
      <c r="I182" s="104"/>
      <c r="J182" s="104"/>
      <c r="K182" s="104"/>
      <c r="L182" s="10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04"/>
      <c r="C183" s="3"/>
      <c r="D183" s="104"/>
      <c r="E183" s="104"/>
      <c r="F183" s="104"/>
      <c r="G183" s="104"/>
      <c r="H183" s="104"/>
      <c r="I183" s="104"/>
      <c r="J183" s="104"/>
      <c r="K183" s="104"/>
      <c r="L183" s="10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04"/>
      <c r="C184" s="3"/>
      <c r="D184" s="104"/>
      <c r="E184" s="104"/>
      <c r="F184" s="104"/>
      <c r="G184" s="104"/>
      <c r="H184" s="104"/>
      <c r="I184" s="104"/>
      <c r="J184" s="104"/>
      <c r="K184" s="104"/>
      <c r="L184" s="10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04"/>
      <c r="C185" s="3"/>
      <c r="D185" s="104"/>
      <c r="E185" s="104"/>
      <c r="F185" s="104"/>
      <c r="G185" s="104"/>
      <c r="H185" s="104"/>
      <c r="I185" s="104"/>
      <c r="J185" s="104"/>
      <c r="K185" s="104"/>
      <c r="L185" s="10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04"/>
      <c r="C186" s="3"/>
      <c r="D186" s="104"/>
      <c r="E186" s="104"/>
      <c r="F186" s="104"/>
      <c r="G186" s="104"/>
      <c r="H186" s="104"/>
      <c r="I186" s="104"/>
      <c r="J186" s="104"/>
      <c r="K186" s="104"/>
      <c r="L186" s="10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04"/>
      <c r="C187" s="3"/>
      <c r="D187" s="104"/>
      <c r="E187" s="104"/>
      <c r="F187" s="104"/>
      <c r="G187" s="104"/>
      <c r="H187" s="104"/>
      <c r="I187" s="104"/>
      <c r="J187" s="104"/>
      <c r="K187" s="104"/>
      <c r="L187" s="10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04"/>
      <c r="C188" s="3"/>
      <c r="D188" s="104"/>
      <c r="E188" s="104"/>
      <c r="F188" s="104"/>
      <c r="G188" s="104"/>
      <c r="H188" s="104"/>
      <c r="I188" s="104"/>
      <c r="J188" s="104"/>
      <c r="K188" s="104"/>
      <c r="L188" s="10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04"/>
      <c r="C189" s="3"/>
      <c r="D189" s="104"/>
      <c r="E189" s="104"/>
      <c r="F189" s="104"/>
      <c r="G189" s="104"/>
      <c r="H189" s="104"/>
      <c r="I189" s="104"/>
      <c r="J189" s="104"/>
      <c r="K189" s="104"/>
      <c r="L189" s="10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04"/>
      <c r="C190" s="3"/>
      <c r="D190" s="104"/>
      <c r="E190" s="104"/>
      <c r="F190" s="104"/>
      <c r="G190" s="104"/>
      <c r="H190" s="104"/>
      <c r="I190" s="104"/>
      <c r="J190" s="104"/>
      <c r="K190" s="104"/>
      <c r="L190" s="10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04"/>
      <c r="C191" s="3"/>
      <c r="D191" s="104"/>
      <c r="E191" s="104"/>
      <c r="F191" s="104"/>
      <c r="G191" s="104"/>
      <c r="H191" s="104"/>
      <c r="I191" s="104"/>
      <c r="J191" s="104"/>
      <c r="K191" s="104"/>
      <c r="L191" s="10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04"/>
      <c r="C192" s="3"/>
      <c r="D192" s="104"/>
      <c r="E192" s="104"/>
      <c r="F192" s="104"/>
      <c r="G192" s="104"/>
      <c r="H192" s="104"/>
      <c r="I192" s="104"/>
      <c r="J192" s="104"/>
      <c r="K192" s="104"/>
      <c r="L192" s="10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04"/>
      <c r="C193" s="3"/>
      <c r="D193" s="104"/>
      <c r="E193" s="104"/>
      <c r="F193" s="104"/>
      <c r="G193" s="104"/>
      <c r="H193" s="104"/>
      <c r="I193" s="104"/>
      <c r="J193" s="104"/>
      <c r="K193" s="104"/>
      <c r="L193" s="10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04"/>
      <c r="C194" s="3"/>
      <c r="D194" s="104"/>
      <c r="E194" s="104"/>
      <c r="F194" s="104"/>
      <c r="G194" s="104"/>
      <c r="H194" s="104"/>
      <c r="I194" s="104"/>
      <c r="J194" s="104"/>
      <c r="K194" s="104"/>
      <c r="L194" s="10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04"/>
      <c r="C195" s="3"/>
      <c r="D195" s="104"/>
      <c r="E195" s="104"/>
      <c r="F195" s="104"/>
      <c r="G195" s="104"/>
      <c r="H195" s="104"/>
      <c r="I195" s="104"/>
      <c r="J195" s="104"/>
      <c r="K195" s="104"/>
      <c r="L195" s="10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04"/>
      <c r="C196" s="3"/>
      <c r="D196" s="104"/>
      <c r="E196" s="104"/>
      <c r="F196" s="104"/>
      <c r="G196" s="104"/>
      <c r="H196" s="104"/>
      <c r="I196" s="104"/>
      <c r="J196" s="104"/>
      <c r="K196" s="104"/>
      <c r="L196" s="10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04"/>
      <c r="C197" s="3"/>
      <c r="D197" s="104"/>
      <c r="E197" s="104"/>
      <c r="F197" s="104"/>
      <c r="G197" s="104"/>
      <c r="H197" s="104"/>
      <c r="I197" s="104"/>
      <c r="J197" s="104"/>
      <c r="K197" s="104"/>
      <c r="L197" s="10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04"/>
      <c r="C198" s="3"/>
      <c r="D198" s="104"/>
      <c r="E198" s="104"/>
      <c r="F198" s="104"/>
      <c r="G198" s="104"/>
      <c r="H198" s="104"/>
      <c r="I198" s="104"/>
      <c r="J198" s="104"/>
      <c r="K198" s="104"/>
      <c r="L198" s="10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04"/>
      <c r="C199" s="3"/>
      <c r="D199" s="104"/>
      <c r="E199" s="104"/>
      <c r="F199" s="104"/>
      <c r="G199" s="104"/>
      <c r="H199" s="104"/>
      <c r="I199" s="104"/>
      <c r="J199" s="104"/>
      <c r="K199" s="104"/>
      <c r="L199" s="10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04"/>
      <c r="C200" s="3"/>
      <c r="D200" s="104"/>
      <c r="E200" s="104"/>
      <c r="F200" s="104"/>
      <c r="G200" s="104"/>
      <c r="H200" s="104"/>
      <c r="I200" s="104"/>
      <c r="J200" s="104"/>
      <c r="K200" s="104"/>
      <c r="L200" s="10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04"/>
      <c r="C201" s="3"/>
      <c r="D201" s="104"/>
      <c r="E201" s="104"/>
      <c r="F201" s="104"/>
      <c r="G201" s="104"/>
      <c r="H201" s="104"/>
      <c r="I201" s="104"/>
      <c r="J201" s="104"/>
      <c r="K201" s="104"/>
      <c r="L201" s="10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04"/>
      <c r="C202" s="3"/>
      <c r="D202" s="104"/>
      <c r="E202" s="104"/>
      <c r="F202" s="104"/>
      <c r="G202" s="104"/>
      <c r="H202" s="104"/>
      <c r="I202" s="104"/>
      <c r="J202" s="104"/>
      <c r="K202" s="104"/>
      <c r="L202" s="10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04"/>
      <c r="C203" s="3"/>
      <c r="D203" s="104"/>
      <c r="E203" s="104"/>
      <c r="F203" s="104"/>
      <c r="G203" s="104"/>
      <c r="H203" s="104"/>
      <c r="I203" s="104"/>
      <c r="J203" s="104"/>
      <c r="K203" s="104"/>
      <c r="L203" s="10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04"/>
      <c r="C204" s="3"/>
      <c r="D204" s="104"/>
      <c r="E204" s="104"/>
      <c r="F204" s="104"/>
      <c r="G204" s="104"/>
      <c r="H204" s="104"/>
      <c r="I204" s="104"/>
      <c r="J204" s="104"/>
      <c r="K204" s="104"/>
      <c r="L204" s="10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04"/>
      <c r="C205" s="3"/>
      <c r="D205" s="104"/>
      <c r="E205" s="104"/>
      <c r="F205" s="104"/>
      <c r="G205" s="104"/>
      <c r="H205" s="104"/>
      <c r="I205" s="104"/>
      <c r="J205" s="104"/>
      <c r="K205" s="104"/>
      <c r="L205" s="10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04"/>
      <c r="C206" s="3"/>
      <c r="D206" s="104"/>
      <c r="E206" s="104"/>
      <c r="F206" s="104"/>
      <c r="G206" s="104"/>
      <c r="H206" s="104"/>
      <c r="I206" s="104"/>
      <c r="J206" s="104"/>
      <c r="K206" s="104"/>
      <c r="L206" s="10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04"/>
      <c r="C207" s="3"/>
      <c r="D207" s="104"/>
      <c r="E207" s="104"/>
      <c r="F207" s="104"/>
      <c r="G207" s="104"/>
      <c r="H207" s="104"/>
      <c r="I207" s="104"/>
      <c r="J207" s="104"/>
      <c r="K207" s="104"/>
      <c r="L207" s="10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04"/>
      <c r="C208" s="3"/>
      <c r="D208" s="104"/>
      <c r="E208" s="104"/>
      <c r="F208" s="104"/>
      <c r="G208" s="104"/>
      <c r="H208" s="104"/>
      <c r="I208" s="104"/>
      <c r="J208" s="104"/>
      <c r="K208" s="104"/>
      <c r="L208" s="10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04"/>
      <c r="C209" s="3"/>
      <c r="D209" s="104"/>
      <c r="E209" s="104"/>
      <c r="F209" s="104"/>
      <c r="G209" s="104"/>
      <c r="H209" s="104"/>
      <c r="I209" s="104"/>
      <c r="J209" s="104"/>
      <c r="K209" s="104"/>
      <c r="L209" s="10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04"/>
      <c r="C210" s="3"/>
      <c r="D210" s="104"/>
      <c r="E210" s="104"/>
      <c r="F210" s="104"/>
      <c r="G210" s="104"/>
      <c r="H210" s="104"/>
      <c r="I210" s="104"/>
      <c r="J210" s="104"/>
      <c r="K210" s="104"/>
      <c r="L210" s="10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04"/>
      <c r="C211" s="3"/>
      <c r="D211" s="104"/>
      <c r="E211" s="104"/>
      <c r="F211" s="104"/>
      <c r="G211" s="104"/>
      <c r="H211" s="104"/>
      <c r="I211" s="104"/>
      <c r="J211" s="104"/>
      <c r="K211" s="104"/>
      <c r="L211" s="10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04"/>
      <c r="C212" s="3"/>
      <c r="D212" s="104"/>
      <c r="E212" s="104"/>
      <c r="F212" s="104"/>
      <c r="G212" s="104"/>
      <c r="H212" s="104"/>
      <c r="I212" s="104"/>
      <c r="J212" s="104"/>
      <c r="K212" s="104"/>
      <c r="L212" s="10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04"/>
      <c r="C213" s="3"/>
      <c r="D213" s="104"/>
      <c r="E213" s="104"/>
      <c r="F213" s="104"/>
      <c r="G213" s="104"/>
      <c r="H213" s="104"/>
      <c r="I213" s="104"/>
      <c r="J213" s="104"/>
      <c r="K213" s="104"/>
      <c r="L213" s="10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04"/>
      <c r="C214" s="3"/>
      <c r="D214" s="104"/>
      <c r="E214" s="104"/>
      <c r="F214" s="104"/>
      <c r="G214" s="104"/>
      <c r="H214" s="104"/>
      <c r="I214" s="104"/>
      <c r="J214" s="104"/>
      <c r="K214" s="104"/>
      <c r="L214" s="10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04"/>
      <c r="C215" s="3"/>
      <c r="D215" s="104"/>
      <c r="E215" s="104"/>
      <c r="F215" s="104"/>
      <c r="G215" s="104"/>
      <c r="H215" s="104"/>
      <c r="I215" s="104"/>
      <c r="J215" s="104"/>
      <c r="K215" s="104"/>
      <c r="L215" s="10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04"/>
      <c r="C216" s="3"/>
      <c r="D216" s="104"/>
      <c r="E216" s="104"/>
      <c r="F216" s="104"/>
      <c r="G216" s="104"/>
      <c r="H216" s="104"/>
      <c r="I216" s="104"/>
      <c r="J216" s="104"/>
      <c r="K216" s="104"/>
      <c r="L216" s="10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04"/>
      <c r="C217" s="3"/>
      <c r="D217" s="104"/>
      <c r="E217" s="104"/>
      <c r="F217" s="104"/>
      <c r="G217" s="104"/>
      <c r="H217" s="104"/>
      <c r="I217" s="104"/>
      <c r="J217" s="104"/>
      <c r="K217" s="104"/>
      <c r="L217" s="10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104"/>
      <c r="C218" s="3"/>
      <c r="D218" s="104"/>
      <c r="E218" s="104"/>
      <c r="F218" s="104"/>
      <c r="G218" s="104"/>
      <c r="H218" s="104"/>
      <c r="I218" s="104"/>
      <c r="J218" s="104"/>
      <c r="K218" s="104"/>
      <c r="L218" s="10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104"/>
      <c r="C219" s="3"/>
      <c r="D219" s="104"/>
      <c r="E219" s="104"/>
      <c r="F219" s="104"/>
      <c r="G219" s="104"/>
      <c r="H219" s="104"/>
      <c r="I219" s="104"/>
      <c r="J219" s="104"/>
      <c r="K219" s="104"/>
      <c r="L219" s="10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104"/>
      <c r="E220" s="104"/>
      <c r="F220" s="104"/>
      <c r="G220" s="104"/>
      <c r="H220" s="104"/>
      <c r="I220" s="104"/>
      <c r="J220" s="104"/>
      <c r="K220" s="104"/>
      <c r="L220" s="10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D1:H1"/>
    <mergeCell ref="I1:O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2024-09-13T09:28:39Z</dcterms:created>
  <dc:creator>Antonio Russo</dc:creator>
</cp:coreProperties>
</file>