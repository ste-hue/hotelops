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40" tabRatio="600" firstSheet="0" activeTab="4" autoFilterDateGrouping="1"/>
  </bookViews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Scadenziario 14-08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1">
    <font>
      <name val="Aptos Narrow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rgb="FF1F3864"/>
      <sz val="16"/>
    </font>
    <font>
      <name val="Arial"/>
      <family val="2"/>
      <b val="1"/>
      <color theme="1"/>
      <sz val="11"/>
    </font>
    <font>
      <name val="Aptos Narrow"/>
      <color theme="1"/>
      <sz val="12"/>
    </font>
    <font>
      <name val="Calibri"/>
      <family val="2"/>
      <b val="1"/>
      <color rgb="FF1F3864"/>
      <sz val="20"/>
    </font>
    <font>
      <name val="Arial"/>
      <family val="2"/>
      <b val="1"/>
      <color rgb="FF1F3864"/>
      <sz val="14"/>
    </font>
    <font>
      <name val="Calibri"/>
      <family val="2"/>
      <color theme="1"/>
      <sz val="12"/>
    </font>
    <font>
      <name val="Calibri"/>
      <family val="2"/>
      <b val="1"/>
      <color rgb="FF1F3864"/>
      <sz val="14"/>
    </font>
    <font>
      <name val="Arial"/>
      <family val="2"/>
      <i val="1"/>
      <color rgb="FF80808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Arial"/>
      <family val="2"/>
      <color rgb="FF333333"/>
      <sz val="11"/>
    </font>
    <font>
      <name val="Arial"/>
      <family val="2"/>
      <b val="1"/>
      <color rgb="FF006100"/>
      <sz val="11"/>
    </font>
    <font>
      <name val="Calibri"/>
      <family val="2"/>
      <color rgb="FFFFFFFF"/>
      <sz val="12"/>
    </font>
    <font>
      <name val="Calibri"/>
      <family val="2"/>
      <b val="1"/>
      <color rgb="FFC00000"/>
      <sz val="12"/>
    </font>
    <font>
      <name val="Aptos Narrow"/>
      <b val="1"/>
      <color theme="1"/>
      <sz val="12"/>
    </font>
    <font>
      <name val="Calibri"/>
      <family val="2"/>
      <b val="1"/>
      <color rgb="FF1F3864"/>
      <sz val="12"/>
    </font>
    <font>
      <name val="Arial"/>
      <family val="2"/>
      <b val="1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family val="2"/>
      <color rgb="FF006100"/>
      <sz val="11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b val="1"/>
      <color rgb="FFC00000"/>
      <sz val="12"/>
      <u val="single"/>
    </font>
    <font>
      <name val="Calibri"/>
      <family val="2"/>
      <b val="1"/>
      <color rgb="FF1F3864"/>
      <sz val="12"/>
      <u val="single"/>
    </font>
    <font>
      <name val="Calibri"/>
      <family val="2"/>
      <b val="1"/>
      <i val="1"/>
      <color rgb="FF0070C0"/>
      <sz val="12"/>
    </font>
    <font>
      <name val="Calibri"/>
      <family val="2"/>
      <color rgb="FF0000FF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</font>
    <font>
      <name val="Calibri"/>
      <family val="2"/>
      <b val="1"/>
      <color rgb="FF1F3864"/>
      <sz val="13"/>
    </font>
    <font>
      <name val="Calibri"/>
      <family val="2"/>
      <b val="1"/>
      <color theme="1"/>
      <sz val="13"/>
      <u val="single"/>
    </font>
    <font>
      <name val="Calibri"/>
      <family val="2"/>
      <b val="1"/>
      <color theme="1"/>
      <sz val="13"/>
    </font>
    <font>
      <name val="Calibri"/>
      <family val="2"/>
      <color rgb="FFFF0000"/>
      <sz val="12"/>
    </font>
    <font>
      <name val="Calibri"/>
      <family val="2"/>
      <b val="1"/>
      <color rgb="FF7030A0"/>
      <sz val="12"/>
      <u val="single"/>
    </font>
    <font>
      <name val="Calibri"/>
      <family val="2"/>
      <b val="1"/>
      <color rgb="FF7030A0"/>
      <sz val="12"/>
    </font>
    <font>
      <name val="Arial"/>
      <family val="2"/>
      <b val="1"/>
      <color rgb="FF006100"/>
      <sz val="14"/>
    </font>
    <font>
      <name val="Arial"/>
      <family val="2"/>
      <b val="1"/>
      <color rgb="FF7F6000"/>
      <sz val="11"/>
    </font>
    <font>
      <name val="Arial"/>
      <family val="2"/>
      <b val="1"/>
      <i val="1"/>
      <color rgb="FF7F6000"/>
      <sz val="11"/>
    </font>
    <font>
      <name val="Arial"/>
      <family val="2"/>
      <b val="1"/>
      <color rgb="FFFF0000"/>
      <sz val="11"/>
    </font>
    <font>
      <name val="Arial"/>
      <family val="2"/>
      <color rgb="FF0000FF"/>
      <sz val="11"/>
      <u val="single"/>
    </font>
    <font>
      <name val="Aptos Narrow"/>
      <color theme="1"/>
      <sz val="12"/>
      <scheme val="minor"/>
    </font>
  </fonts>
  <fills count="1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</borders>
  <cellStyleXfs count="1">
    <xf numFmtId="0" fontId="50" fillId="0" borderId="1"/>
  </cellStyleXfs>
  <cellXfs count="16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2" borderId="1" pivotButton="0" quotePrefix="0" xfId="0"/>
    <xf numFmtId="0" fontId="9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4" borderId="3" applyAlignment="1" pivotButton="0" quotePrefix="0" xfId="0">
      <alignment horizontal="center"/>
    </xf>
    <xf numFmtId="0" fontId="12" fillId="5" borderId="4" pivotButton="0" quotePrefix="0" xfId="0"/>
    <xf numFmtId="0" fontId="14" fillId="4" borderId="5" applyAlignment="1" pivotButton="0" quotePrefix="0" xfId="0">
      <alignment horizontal="center"/>
    </xf>
    <xf numFmtId="0" fontId="14" fillId="4" borderId="6" applyAlignment="1" pivotButton="0" quotePrefix="0" xfId="0">
      <alignment horizontal="center"/>
    </xf>
    <xf numFmtId="0" fontId="15" fillId="2" borderId="1" pivotButton="0" quotePrefix="0" xfId="0"/>
    <xf numFmtId="0" fontId="16" fillId="6" borderId="7" pivotButton="0" quotePrefix="0" xfId="0"/>
    <xf numFmtId="0" fontId="14" fillId="4" borderId="8" applyAlignment="1" pivotButton="0" quotePrefix="0" xfId="0">
      <alignment horizontal="center"/>
    </xf>
    <xf numFmtId="164" fontId="16" fillId="6" borderId="7" pivotButton="0" quotePrefix="0" xfId="0"/>
    <xf numFmtId="0" fontId="3" fillId="0" borderId="9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14" fillId="2" borderId="10" applyAlignment="1" pivotButton="0" quotePrefix="0" xfId="0">
      <alignment horizontal="center"/>
    </xf>
    <xf numFmtId="164" fontId="16" fillId="6" borderId="11" applyAlignment="1" pivotButton="0" quotePrefix="0" xfId="0">
      <alignment horizontal="right"/>
    </xf>
    <xf numFmtId="0" fontId="14" fillId="2" borderId="12" applyAlignment="1" pivotButton="0" quotePrefix="0" xfId="0">
      <alignment horizontal="center"/>
    </xf>
    <xf numFmtId="0" fontId="18" fillId="5" borderId="1" applyAlignment="1" pivotButton="0" quotePrefix="0" xfId="0">
      <alignment horizontal="left"/>
    </xf>
    <xf numFmtId="0" fontId="19" fillId="0" borderId="0" pivotButton="0" quotePrefix="0" xfId="0"/>
    <xf numFmtId="0" fontId="20" fillId="5" borderId="1" pivotButton="0" quotePrefix="0" xfId="0"/>
    <xf numFmtId="164" fontId="16" fillId="6" borderId="7" applyAlignment="1" pivotButton="0" quotePrefix="0" xfId="0">
      <alignment horizontal="right"/>
    </xf>
    <xf numFmtId="164" fontId="20" fillId="5" borderId="13" applyAlignment="1" pivotButton="0" quotePrefix="0" xfId="0">
      <alignment horizontal="right"/>
    </xf>
    <xf numFmtId="164" fontId="20" fillId="5" borderId="14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4" fontId="3" fillId="0" borderId="15" pivotButton="0" quotePrefix="0" xfId="0"/>
    <xf numFmtId="164" fontId="12" fillId="8" borderId="16" applyAlignment="1" pivotButton="0" quotePrefix="0" xfId="0">
      <alignment horizontal="right"/>
    </xf>
    <xf numFmtId="164" fontId="1" fillId="0" borderId="15" applyAlignment="1" pivotButton="0" quotePrefix="0" xfId="0">
      <alignment horizontal="right"/>
    </xf>
    <xf numFmtId="164" fontId="20" fillId="5" borderId="17" applyAlignment="1" pivotButton="0" quotePrefix="0" xfId="0">
      <alignment horizontal="right"/>
    </xf>
    <xf numFmtId="0" fontId="10" fillId="2" borderId="1" applyAlignment="1" pivotButton="0" quotePrefix="0" xfId="0">
      <alignment horizontal="left"/>
    </xf>
    <xf numFmtId="164" fontId="21" fillId="0" borderId="15" applyAlignment="1" pivotButton="0" quotePrefix="0" xfId="0">
      <alignment horizontal="left"/>
    </xf>
    <xf numFmtId="0" fontId="9" fillId="2" borderId="1" pivotButton="0" quotePrefix="0" xfId="0"/>
    <xf numFmtId="0" fontId="7" fillId="9" borderId="1" applyAlignment="1" pivotButton="0" quotePrefix="0" xfId="0">
      <alignment horizontal="left"/>
    </xf>
    <xf numFmtId="0" fontId="7" fillId="9" borderId="1" pivotButton="0" quotePrefix="0" xfId="0"/>
    <xf numFmtId="164" fontId="3" fillId="0" borderId="18" pivotButton="0" quotePrefix="0" xfId="0"/>
    <xf numFmtId="164" fontId="7" fillId="9" borderId="19" applyAlignment="1" pivotButton="0" quotePrefix="0" xfId="0">
      <alignment horizontal="right"/>
    </xf>
    <xf numFmtId="164" fontId="7" fillId="9" borderId="20" applyAlignment="1" pivotButton="0" quotePrefix="0" xfId="0">
      <alignment horizontal="right"/>
    </xf>
    <xf numFmtId="164" fontId="12" fillId="8" borderId="18" applyAlignment="1" pivotButton="0" quotePrefix="0" xfId="0">
      <alignment horizontal="right"/>
    </xf>
    <xf numFmtId="164" fontId="1" fillId="10" borderId="16" applyAlignment="1" pivotButton="0" quotePrefix="0" xfId="0">
      <alignment horizontal="right"/>
    </xf>
    <xf numFmtId="164" fontId="1" fillId="0" borderId="18" applyAlignment="1" pivotButton="0" quotePrefix="0" xfId="0">
      <alignment horizontal="right"/>
    </xf>
    <xf numFmtId="164" fontId="7" fillId="9" borderId="21" applyAlignment="1" pivotButton="0" quotePrefix="0" xfId="0">
      <alignment horizontal="right"/>
    </xf>
    <xf numFmtId="0" fontId="4" fillId="11" borderId="1" pivotButton="0" quotePrefix="0" xfId="0"/>
    <xf numFmtId="164" fontId="10" fillId="0" borderId="15" applyAlignment="1" pivotButton="0" quotePrefix="0" xfId="0">
      <alignment horizontal="right"/>
    </xf>
    <xf numFmtId="0" fontId="22" fillId="2" borderId="1" applyAlignment="1" pivotButton="0" quotePrefix="0" xfId="0">
      <alignment horizontal="left"/>
    </xf>
    <xf numFmtId="0" fontId="7" fillId="0" borderId="0" pivotButton="0" quotePrefix="0" xfId="0"/>
    <xf numFmtId="164" fontId="7" fillId="0" borderId="19" applyAlignment="1" pivotButton="0" quotePrefix="0" xfId="0">
      <alignment horizontal="right"/>
    </xf>
    <xf numFmtId="164" fontId="7" fillId="0" borderId="20" applyAlignment="1" pivotButton="0" quotePrefix="0" xfId="0">
      <alignment horizontal="right"/>
    </xf>
    <xf numFmtId="164" fontId="21" fillId="0" borderId="18" applyAlignment="1" pivotButton="0" quotePrefix="0" xfId="0">
      <alignment horizontal="left"/>
    </xf>
    <xf numFmtId="164" fontId="1" fillId="10" borderId="18" applyAlignment="1" pivotButton="0" quotePrefix="0" xfId="0">
      <alignment horizontal="right"/>
    </xf>
    <xf numFmtId="164" fontId="7" fillId="0" borderId="22" applyAlignment="1" pivotButton="0" quotePrefix="0" xfId="0">
      <alignment horizontal="right"/>
    </xf>
    <xf numFmtId="164" fontId="10" fillId="0" borderId="18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4" fontId="1" fillId="0" borderId="18" pivotButton="0" quotePrefix="0" xfId="0"/>
    <xf numFmtId="164" fontId="23" fillId="6" borderId="11" applyAlignment="1" pivotButton="0" quotePrefix="0" xfId="0">
      <alignment horizontal="left"/>
    </xf>
    <xf numFmtId="164" fontId="24" fillId="6" borderId="11" pivotButton="0" quotePrefix="0" xfId="0"/>
    <xf numFmtId="164" fontId="25" fillId="6" borderId="23" applyAlignment="1" pivotButton="0" quotePrefix="0" xfId="0">
      <alignment horizontal="right"/>
    </xf>
    <xf numFmtId="164" fontId="26" fillId="6" borderId="20" applyAlignment="1" pivotButton="0" quotePrefix="0" xfId="0">
      <alignment horizontal="right"/>
    </xf>
    <xf numFmtId="164" fontId="27" fillId="6" borderId="21" applyAlignment="1" pivotButton="0" quotePrefix="0" xfId="0">
      <alignment horizontal="right"/>
    </xf>
    <xf numFmtId="0" fontId="29" fillId="0" borderId="0" pivotButton="0" quotePrefix="0" xfId="0"/>
    <xf numFmtId="164" fontId="7" fillId="9" borderId="23" applyAlignment="1" pivotButton="0" quotePrefix="0" xfId="0">
      <alignment horizontal="right"/>
    </xf>
    <xf numFmtId="0" fontId="30" fillId="2" borderId="1" pivotButton="0" quotePrefix="0" xfId="0"/>
    <xf numFmtId="0" fontId="7" fillId="0" borderId="22" applyAlignment="1" pivotButton="0" quotePrefix="0" xfId="0">
      <alignment horizontal="right"/>
    </xf>
    <xf numFmtId="0" fontId="31" fillId="2" borderId="1" applyAlignment="1" pivotButton="0" quotePrefix="0" xfId="0">
      <alignment horizontal="left"/>
    </xf>
    <xf numFmtId="0" fontId="32" fillId="0" borderId="0" pivotButton="0" quotePrefix="0" xfId="0"/>
    <xf numFmtId="164" fontId="32" fillId="0" borderId="19" applyAlignment="1" pivotButton="0" quotePrefix="0" xfId="0">
      <alignment horizontal="right"/>
    </xf>
    <xf numFmtId="164" fontId="32" fillId="0" borderId="20" applyAlignment="1" pivotButton="0" quotePrefix="0" xfId="0">
      <alignment horizontal="right"/>
    </xf>
    <xf numFmtId="164" fontId="32" fillId="0" borderId="22" applyAlignment="1" pivotButton="0" quotePrefix="0" xfId="0">
      <alignment horizontal="right"/>
    </xf>
    <xf numFmtId="164" fontId="33" fillId="12" borderId="24" applyAlignment="1" pivotButton="0" quotePrefix="0" xfId="0">
      <alignment horizontal="left"/>
    </xf>
    <xf numFmtId="164" fontId="18" fillId="12" borderId="24" pivotButton="0" quotePrefix="0" xfId="0"/>
    <xf numFmtId="164" fontId="18" fillId="12" borderId="23" applyAlignment="1" pivotButton="0" quotePrefix="0" xfId="0">
      <alignment horizontal="right"/>
    </xf>
    <xf numFmtId="164" fontId="18" fillId="12" borderId="20" applyAlignment="1" pivotButton="0" quotePrefix="0" xfId="0">
      <alignment horizontal="right"/>
    </xf>
    <xf numFmtId="164" fontId="18" fillId="12" borderId="21" applyAlignment="1" pivotButton="0" quotePrefix="0" xfId="0">
      <alignment horizontal="right"/>
    </xf>
    <xf numFmtId="164" fontId="34" fillId="5" borderId="25" applyAlignment="1" pivotButton="0" quotePrefix="0" xfId="0">
      <alignment horizontal="left"/>
    </xf>
    <xf numFmtId="164" fontId="20" fillId="5" borderId="25" pivotButton="0" quotePrefix="0" xfId="0"/>
    <xf numFmtId="164" fontId="20" fillId="5" borderId="23" applyAlignment="1" pivotButton="0" quotePrefix="0" xfId="0">
      <alignment horizontal="right"/>
    </xf>
    <xf numFmtId="164" fontId="20" fillId="5" borderId="20" applyAlignment="1" pivotButton="0" quotePrefix="0" xfId="0">
      <alignment horizontal="right"/>
    </xf>
    <xf numFmtId="164" fontId="20" fillId="5" borderId="21" applyAlignment="1" pivotButton="0" quotePrefix="0" xfId="0">
      <alignment horizontal="right"/>
    </xf>
    <xf numFmtId="165" fontId="3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6" fillId="0" borderId="0" applyAlignment="1" pivotButton="0" quotePrefix="0" xfId="0">
      <alignment horizontal="right"/>
    </xf>
    <xf numFmtId="166" fontId="7" fillId="0" borderId="26" applyAlignment="1" pivotButton="0" quotePrefix="0" xfId="0">
      <alignment horizontal="right"/>
    </xf>
    <xf numFmtId="167" fontId="7" fillId="0" borderId="2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4" fontId="37" fillId="3" borderId="27" applyAlignment="1" pivotButton="0" quotePrefix="0" xfId="0">
      <alignment horizontal="left"/>
    </xf>
    <xf numFmtId="164" fontId="38" fillId="3" borderId="27" pivotButton="0" quotePrefix="0" xfId="0"/>
    <xf numFmtId="164" fontId="38" fillId="3" borderId="23" applyAlignment="1" pivotButton="0" quotePrefix="0" xfId="0">
      <alignment horizontal="right"/>
    </xf>
    <xf numFmtId="164" fontId="38" fillId="3" borderId="20" applyAlignment="1" pivotButton="0" quotePrefix="0" xfId="0">
      <alignment horizontal="right"/>
    </xf>
    <xf numFmtId="164" fontId="38" fillId="3" borderId="21" applyAlignment="1" pivotButton="0" quotePrefix="0" xfId="0">
      <alignment horizontal="right"/>
    </xf>
    <xf numFmtId="164" fontId="39" fillId="0" borderId="28" applyAlignment="1" pivotButton="0" quotePrefix="0" xfId="0">
      <alignment horizontal="left"/>
    </xf>
    <xf numFmtId="164" fontId="40" fillId="0" borderId="28" pivotButton="0" quotePrefix="0" xfId="0"/>
    <xf numFmtId="164" fontId="41" fillId="0" borderId="26" applyAlignment="1" pivotButton="0" quotePrefix="0" xfId="0">
      <alignment horizontal="right"/>
    </xf>
    <xf numFmtId="164" fontId="41" fillId="0" borderId="20" applyAlignment="1" pivotButton="0" quotePrefix="0" xfId="0">
      <alignment horizontal="right"/>
    </xf>
    <xf numFmtId="0" fontId="42" fillId="9" borderId="1" applyAlignment="1" pivotButton="0" quotePrefix="0" xfId="0">
      <alignment horizontal="left"/>
    </xf>
    <xf numFmtId="164" fontId="43" fillId="13" borderId="29" applyAlignment="1" pivotButton="0" quotePrefix="0" xfId="0">
      <alignment horizontal="left"/>
    </xf>
    <xf numFmtId="164" fontId="44" fillId="13" borderId="29" pivotButton="0" quotePrefix="0" xfId="0"/>
    <xf numFmtId="164" fontId="44" fillId="13" borderId="23" applyAlignment="1" pivotButton="0" quotePrefix="0" xfId="0">
      <alignment horizontal="right"/>
    </xf>
    <xf numFmtId="164" fontId="44" fillId="13" borderId="20" applyAlignment="1" pivotButton="0" quotePrefix="0" xfId="0">
      <alignment horizontal="right"/>
    </xf>
    <xf numFmtId="164" fontId="44" fillId="13" borderId="21" applyAlignment="1" pivotButton="0" quotePrefix="0" xfId="0">
      <alignment horizontal="right"/>
    </xf>
    <xf numFmtId="164" fontId="41" fillId="0" borderId="30" applyAlignment="1" pivotButton="0" quotePrefix="0" xfId="0">
      <alignment horizontal="right"/>
    </xf>
    <xf numFmtId="164" fontId="41" fillId="0" borderId="31" applyAlignment="1" pivotButton="0" quotePrefix="0" xfId="0">
      <alignment horizontal="right"/>
    </xf>
    <xf numFmtId="164" fontId="41" fillId="0" borderId="32" applyAlignment="1" pivotButton="0" quotePrefix="0" xfId="0">
      <alignment horizontal="right"/>
    </xf>
    <xf numFmtId="164" fontId="4" fillId="0" borderId="0" pivotButton="0" quotePrefix="0" xfId="0"/>
    <xf numFmtId="0" fontId="45" fillId="6" borderId="33" pivotButton="0" quotePrefix="0" xfId="0"/>
    <xf numFmtId="164" fontId="10" fillId="0" borderId="0" applyAlignment="1" pivotButton="0" quotePrefix="0" xfId="0">
      <alignment horizontal="left"/>
    </xf>
    <xf numFmtId="164" fontId="1" fillId="0" borderId="0" pivotButton="0" quotePrefix="0" xfId="0"/>
    <xf numFmtId="0" fontId="11" fillId="4" borderId="34" applyAlignment="1" pivotButton="0" quotePrefix="0" xfId="0">
      <alignment horizontal="center"/>
    </xf>
    <xf numFmtId="0" fontId="46" fillId="14" borderId="1" applyAlignment="1" pivotButton="0" quotePrefix="0" xfId="0">
      <alignment horizontal="center"/>
    </xf>
    <xf numFmtId="0" fontId="47" fillId="14" borderId="1" applyAlignment="1" pivotButton="0" quotePrefix="0" xfId="0">
      <alignment horizontal="center"/>
    </xf>
    <xf numFmtId="166" fontId="46" fillId="14" borderId="1" applyAlignment="1" pivotButton="0" quotePrefix="0" xfId="0">
      <alignment horizontal="center"/>
    </xf>
    <xf numFmtId="166" fontId="46" fillId="14" borderId="35" applyAlignment="1" pivotButton="0" quotePrefix="0" xfId="0">
      <alignment horizontal="right"/>
    </xf>
    <xf numFmtId="164" fontId="10" fillId="0" borderId="36" applyAlignment="1" pivotButton="0" quotePrefix="0" xfId="0">
      <alignment horizontal="right"/>
    </xf>
    <xf numFmtId="164" fontId="1" fillId="2" borderId="18" applyAlignment="1" pivotButton="0" quotePrefix="0" xfId="0">
      <alignment horizontal="right"/>
    </xf>
    <xf numFmtId="0" fontId="4" fillId="2" borderId="1" pivotButton="0" quotePrefix="0" xfId="0"/>
    <xf numFmtId="164" fontId="1" fillId="2" borderId="16" applyAlignment="1" pivotButton="0" quotePrefix="0" xfId="0">
      <alignment horizontal="right"/>
    </xf>
    <xf numFmtId="164" fontId="49" fillId="0" borderId="0" pivotButton="0" quotePrefix="0" xfId="0"/>
    <xf numFmtId="0" fontId="3" fillId="0" borderId="37" applyAlignment="1" pivotButton="0" quotePrefix="0" xfId="0">
      <alignment horizontal="center"/>
    </xf>
    <xf numFmtId="0" fontId="3" fillId="0" borderId="0" pivotButton="0" quotePrefix="0" xfId="0"/>
    <xf numFmtId="164" fontId="1" fillId="0" borderId="15" pivotButton="0" quotePrefix="0" xfId="0"/>
    <xf numFmtId="164" fontId="1" fillId="0" borderId="0" applyAlignment="1" pivotButton="0" quotePrefix="0" xfId="0">
      <alignment horizontal="right"/>
    </xf>
    <xf numFmtId="0" fontId="50" fillId="0" borderId="0" pivotButton="0" quotePrefix="0" xfId="0"/>
    <xf numFmtId="4" fontId="4" fillId="0" borderId="0" pivotButton="0" quotePrefix="0" xfId="0"/>
    <xf numFmtId="0" fontId="14" fillId="7" borderId="40" applyAlignment="1" pivotButton="0" quotePrefix="0" xfId="0">
      <alignment horizontal="center"/>
    </xf>
    <xf numFmtId="0" fontId="14" fillId="4" borderId="41" applyAlignment="1" pivotButton="0" quotePrefix="0" xfId="0">
      <alignment horizontal="center"/>
    </xf>
    <xf numFmtId="0" fontId="20" fillId="9" borderId="1" applyAlignment="1" pivotButton="0" quotePrefix="0" xfId="0">
      <alignment horizontal="right"/>
    </xf>
    <xf numFmtId="164" fontId="7" fillId="9" borderId="42" applyAlignment="1" pivotButton="0" quotePrefix="0" xfId="0">
      <alignment horizontal="right"/>
    </xf>
    <xf numFmtId="164" fontId="7" fillId="9" borderId="43" applyAlignment="1" pivotButton="0" quotePrefix="0" xfId="0">
      <alignment horizontal="right"/>
    </xf>
    <xf numFmtId="164" fontId="28" fillId="9" borderId="11" applyAlignment="1" pivotButton="0" quotePrefix="0" xfId="0">
      <alignment horizontal="right"/>
    </xf>
    <xf numFmtId="164" fontId="7" fillId="9" borderId="1" applyAlignment="1" pivotButton="0" quotePrefix="0" xfId="0">
      <alignment horizontal="right"/>
    </xf>
    <xf numFmtId="164" fontId="32" fillId="9" borderId="43" applyAlignment="1" pivotButton="0" quotePrefix="0" xfId="0">
      <alignment horizontal="right"/>
    </xf>
    <xf numFmtId="164" fontId="18" fillId="9" borderId="24" applyAlignment="1" pivotButton="0" quotePrefix="0" xfId="0">
      <alignment horizontal="right"/>
    </xf>
    <xf numFmtId="164" fontId="20" fillId="9" borderId="25" applyAlignment="1" pivotButton="0" quotePrefix="0" xfId="0">
      <alignment horizontal="right"/>
    </xf>
    <xf numFmtId="164" fontId="38" fillId="9" borderId="27" applyAlignment="1" pivotButton="0" quotePrefix="0" xfId="0">
      <alignment horizontal="right"/>
    </xf>
    <xf numFmtId="164" fontId="41" fillId="9" borderId="28" applyAlignment="1" pivotButton="0" quotePrefix="0" xfId="0">
      <alignment horizontal="right"/>
    </xf>
    <xf numFmtId="164" fontId="44" fillId="9" borderId="29" applyAlignment="1" pivotButton="0" quotePrefix="0" xfId="0">
      <alignment horizontal="right"/>
    </xf>
    <xf numFmtId="0" fontId="14" fillId="2" borderId="44" applyAlignment="1" pivotButton="0" quotePrefix="0" xfId="0">
      <alignment horizontal="center"/>
    </xf>
    <xf numFmtId="164" fontId="20" fillId="5" borderId="45" applyAlignment="1" pivotButton="0" quotePrefix="0" xfId="0">
      <alignment horizontal="right"/>
    </xf>
    <xf numFmtId="164" fontId="7" fillId="9" borderId="46" applyAlignment="1" pivotButton="0" quotePrefix="0" xfId="0">
      <alignment horizontal="right"/>
    </xf>
    <xf numFmtId="164" fontId="7" fillId="0" borderId="46" applyAlignment="1" pivotButton="0" quotePrefix="0" xfId="0">
      <alignment horizontal="right"/>
    </xf>
    <xf numFmtId="164" fontId="27" fillId="6" borderId="46" applyAlignment="1" pivotButton="0" quotePrefix="0" xfId="0">
      <alignment horizontal="right"/>
    </xf>
    <xf numFmtId="164" fontId="32" fillId="0" borderId="46" applyAlignment="1" pivotButton="0" quotePrefix="0" xfId="0">
      <alignment horizontal="right"/>
    </xf>
    <xf numFmtId="164" fontId="18" fillId="12" borderId="46" applyAlignment="1" pivotButton="0" quotePrefix="0" xfId="0">
      <alignment horizontal="right"/>
    </xf>
    <xf numFmtId="164" fontId="20" fillId="5" borderId="46" applyAlignment="1" pivotButton="0" quotePrefix="0" xfId="0">
      <alignment horizontal="right"/>
    </xf>
    <xf numFmtId="164" fontId="38" fillId="3" borderId="46" applyAlignment="1" pivotButton="0" quotePrefix="0" xfId="0">
      <alignment horizontal="right"/>
    </xf>
    <xf numFmtId="164" fontId="44" fillId="13" borderId="46" applyAlignment="1" pivotButton="0" quotePrefix="0" xfId="0">
      <alignment horizontal="right"/>
    </xf>
    <xf numFmtId="164" fontId="41" fillId="0" borderId="47" applyAlignment="1" pivotButton="0" quotePrefix="0" xfId="0">
      <alignment horizontal="right"/>
    </xf>
    <xf numFmtId="0" fontId="6" fillId="15" borderId="0" applyAlignment="1" pivotButton="0" quotePrefix="0" xfId="0">
      <alignment horizontal="center"/>
    </xf>
    <xf numFmtId="164" fontId="1" fillId="0" borderId="18" applyAlignment="1" pivotButton="0" quotePrefix="0" xfId="0">
      <alignment horizontal="left"/>
    </xf>
    <xf numFmtId="0" fontId="8" fillId="15" borderId="39" applyAlignment="1" pivotButton="0" quotePrefix="0" xfId="0">
      <alignment horizontal="center"/>
    </xf>
    <xf numFmtId="0" fontId="0" fillId="0" borderId="2" pivotButton="0" quotePrefix="0" xfId="0"/>
    <xf numFmtId="0" fontId="0" fillId="0" borderId="38" pivotButton="0" quotePrefix="0" xfId="0"/>
    <xf numFmtId="0" fontId="8" fillId="2" borderId="38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1" applyAlignment="1" pivotButton="0" quotePrefix="0" xfId="0">
      <alignment horizontal="center"/>
    </xf>
    <xf numFmtId="0" fontId="48" fillId="2" borderId="1" applyAlignment="1" pivotButton="0" quotePrefix="0" xfId="0">
      <alignment horizontal="left"/>
    </xf>
    <xf numFmtId="0" fontId="6" fillId="15" borderId="1" applyAlignment="1" pivotButton="0" quotePrefix="0" xfId="0">
      <alignment horizontal="center"/>
    </xf>
  </cellXfs>
  <cellStyles count="1">
    <cellStyle name="Normal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ID#AAACFWyTS2E
Antonio Russo    (2024-09-20 08:25:32)
Stima</t>
      </text>
    </comment>
    <comment ref="A16" authorId="0" shapeId="0">
      <text>
        <t>======
ID#AAACFWyTS1s
Economato Panorama Group    (2025-01-24 11:45:42)
Ripartato consuntivo da conto economico menisle 2024 secondo accordi con fornitori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ID#AAACFWyTS18
Amministrazione    (2025-01-28 16:04:53)
ACCONTO IVA 2025 - SCAD PAG 27/12/2025</t>
      </text>
    </comment>
    <comment ref="B10" authorId="0" shapeId="0">
      <text>
        <t>======
ID#AAACFWyTS10
Amministrazione    (2025-01-27 13:30:23)
33,33% del complessivo versato</t>
      </text>
    </comment>
    <comment ref="F15" authorId="0" shapeId="0">
      <text>
        <t>======
ID#AAACFWyTS14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ID#AAACFWyTS2A
Economato Panorama Group    (2025-01-24 11:30:18)
Valore stimato su fatturato 2024</t>
      </text>
    </comment>
    <comment ref="B5" authorId="0" shapeId="0">
      <text>
        <t>======
ID#AAACFWyTS1w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ID#AAACFWyTS2I
Amministrazione    (2025-10-22 08:36:07)
Avuto il dettaglio il 22/10/2025</t>
      </text>
    </comment>
    <comment ref="B14" authorId="0" shapeId="0">
      <text>
        <t>======
ID#AAACFWyTS1o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selection activeCell="A1" sqref="A1"/>
    </sheetView>
  </sheetViews>
  <sheetFormatPr baseColWidth="10" defaultColWidth="11.1640625" defaultRowHeight="15" customHeight="1"/>
  <cols>
    <col width="58.33203125" customWidth="1" style="160" min="1" max="1"/>
    <col width="41.6640625" customWidth="1" style="160" min="2" max="2"/>
    <col width="10.5" customWidth="1" style="160" min="3" max="6"/>
    <col width="11.1640625" customWidth="1" style="160" min="7" max="26"/>
  </cols>
  <sheetData>
    <row r="1" ht="15.75" customHeight="1" s="160">
      <c r="A1" s="2" t="inlineStr">
        <is>
          <t>CONTROLLI PIANO FINANZIARIO — ORTI</t>
        </is>
      </c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9" t="n"/>
      <c r="B2" s="9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3" t="inlineStr">
        <is>
          <t>1. SALDO PARTENZA</t>
        </is>
      </c>
      <c r="B3" s="13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160">
      <c r="A4" s="16" t="inlineStr">
        <is>
          <t>C4:E4 = saldi iniziali hardcoded (mesi chiusi)?</t>
        </is>
      </c>
      <c r="B4" s="21">
        <f>IF(OR(_xlfn.ISFORMULA('Piano Finanziario'!C4),_xlfn.ISFORMULA('Piano Finanziario'!D4),_xlfn.ISFORMULA('Piano Finanziario'!E4)),"ERRORE","OK")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16" t="inlineStr">
        <is>
          <t>F4 = E37 (luglio parte da saldo reale giugno)?</t>
        </is>
      </c>
      <c r="B5" s="21">
        <f>IF('Piano Finanziario'!F4='Piano Finanziario'!E37,"OK","ERRORE")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16" t="inlineStr">
        <is>
          <t>Catena F4:K4 = mese prec riga 37?</t>
        </is>
      </c>
      <c r="B6" s="21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9" t="inlineStr">
        <is>
          <t>(non applicabile — mesi passati rimossi)</t>
        </is>
      </c>
      <c r="B7" s="21" t="inlineStr">
        <is>
          <t>OK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9" t="n"/>
      <c r="B8" s="9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13" t="inlineStr">
        <is>
          <t>2. TOTALE ENTRATE (riga 12)</t>
        </is>
      </c>
      <c r="B9" s="1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16" t="inlineStr">
        <is>
          <t>Riga 12 = SUM(6:11) per mesi C:K?</t>
        </is>
      </c>
      <c r="B10" s="21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9" t="n"/>
      <c r="B11" s="9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13" t="inlineStr">
        <is>
          <t>3. TOTALE USCITE (riga 27)</t>
        </is>
      </c>
      <c r="B12" s="1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16" t="inlineStr">
        <is>
          <t>Riga 27 = SUM(14:26) per mesi C:K?</t>
        </is>
      </c>
      <c r="B13" s="21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9" t="n"/>
      <c r="B14" s="9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13" t="inlineStr">
        <is>
          <t>4. CASH FLOW (riga 29)</t>
        </is>
      </c>
      <c r="B15" s="1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16" t="inlineStr">
        <is>
          <t>Riga 29 = Entrate - Uscite per mesi C:K?</t>
        </is>
      </c>
      <c r="B16" s="21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9" t="n"/>
      <c r="B17" s="9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13" t="n"/>
      <c r="B18" s="1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9" t="n"/>
      <c r="B19" s="68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9" t="n"/>
      <c r="B20" s="9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13" t="inlineStr">
        <is>
          <t>6. RIFERIMENTI USCITE — FOGLI DETTAGLIO (mesi I:R)</t>
        </is>
      </c>
      <c r="B21" s="1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16" t="inlineStr">
        <is>
          <t>Riga 14 — Salari e Stipendi</t>
        </is>
      </c>
      <c r="B22" s="21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16" t="inlineStr">
        <is>
          <t>Riga 15 — Utenze</t>
        </is>
      </c>
      <c r="B23" s="21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16" t="inlineStr">
        <is>
          <t>Riga 16 — Materie Prime/Consumo</t>
        </is>
      </c>
      <c r="B24" s="21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16" t="inlineStr">
        <is>
          <t>Riga 17 — Tasse e Imposte</t>
        </is>
      </c>
      <c r="B25" s="21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16" t="inlineStr">
        <is>
          <t>Riga 18 — Commissioni Portali</t>
        </is>
      </c>
      <c r="B26" s="21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16" t="inlineStr">
        <is>
          <t>Riga 19 — Mutui e Finanziamenti</t>
        </is>
      </c>
      <c r="B27" s="21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16" t="inlineStr">
        <is>
          <t>Riga 20 — Consulenze</t>
        </is>
      </c>
      <c r="B28" s="21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16" t="inlineStr">
        <is>
          <t>Riga 21 — Godimento Beni di Terzi</t>
        </is>
      </c>
      <c r="B29" s="21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16" t="inlineStr">
        <is>
          <t>Riga 22 — Varie ed Eventuali</t>
        </is>
      </c>
      <c r="B30" s="21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16" t="inlineStr">
        <is>
          <t>Riga 23 — Canoni e servizi</t>
        </is>
      </c>
      <c r="B31" s="21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9" t="n"/>
      <c r="B32" s="9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13" t="inlineStr">
        <is>
          <t>7. SALDO PROIETTATO (riga 37)</t>
        </is>
      </c>
      <c r="B33" s="1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16" t="inlineStr">
        <is>
          <t>Riga 37 = riga 4 + riga 29 per mesi attivi I:R?</t>
        </is>
      </c>
      <c r="B34" s="21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9" t="n"/>
      <c r="B35" s="9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13" t="inlineStr">
        <is>
          <t>8. CASH FLOW CON AFFIDAMENTI (riga 45)</t>
        </is>
      </c>
      <c r="B36" s="1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16" t="inlineStr">
        <is>
          <t>Riga 45 = riga 37 + riga 43 per mesi attivi I:R?</t>
        </is>
      </c>
      <c r="B37" s="21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9" t="n"/>
      <c r="B38" s="9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13" t="inlineStr">
        <is>
          <t>9. COLONNA TOTALI (T)</t>
        </is>
      </c>
      <c r="B39" s="1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16" t="inlineStr">
        <is>
          <t>L12 Totale Entrate = SUM(C12:K12)?</t>
        </is>
      </c>
      <c r="B40" s="21">
        <f>IF('Piano Finanziario'!L12=SUM('Piano Finanziario'!C12:'Piano Finanziario'!K12),"OK","ERRORE")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16" t="inlineStr">
        <is>
          <t>L27 Totale Uscite = SUM(C27:K27)?</t>
        </is>
      </c>
      <c r="B41" s="21">
        <f>IF('Piano Finanziario'!L27=SUM('Piano Finanziario'!C27:'Piano Finanziario'!K27),"OK","ERRORE")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16" t="inlineStr">
        <is>
          <t>L29 Cash Flow = L12 - L27?</t>
        </is>
      </c>
      <c r="B42" s="21">
        <f>IF('Piano Finanziario'!L29='Piano Finanziario'!L12-'Piano Finanziario'!L27,"OK","ERRORE")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9" t="n"/>
      <c r="B43" s="9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110">
        <f>CONCATENATE("RISULTATO COMPLESSIVO")</f>
        <v/>
      </c>
      <c r="B44" s="110">
        <f>IF(COUNTIF(B4:B42,"ERRORE")=0,"✓ TUTTI I "&amp;COUNTA(B4:B42)&amp;" CONTROLLI OK","✗ "&amp;COUNTIF(B4:B42,"ERRORE")&amp;" ERRORI TROVATI su "&amp;COUNTA(B4:B42)&amp;" verifiche")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baseColWidth="10" defaultColWidth="11.1640625" defaultRowHeight="15" customHeight="1"/>
  <cols>
    <col width="15.33203125" customWidth="1" style="160" min="1" max="3"/>
    <col width="15.6640625" customWidth="1" style="160" min="4" max="4"/>
    <col width="15.33203125" customWidth="1" style="160" min="5" max="6"/>
    <col width="16.33203125" customWidth="1" style="160" min="7" max="9"/>
    <col width="14.83203125" customWidth="1" style="160" min="10" max="10"/>
    <col width="15.33203125" customWidth="1" style="160" min="11" max="11"/>
    <col width="14.83203125" customWidth="1" style="160" min="12" max="16"/>
    <col width="16" bestFit="1" customWidth="1" style="160" min="17" max="17"/>
    <col width="14.5" bestFit="1" customWidth="1" style="160" min="18" max="18"/>
    <col width="11.1640625" customWidth="1" style="160" min="19" max="26"/>
  </cols>
  <sheetData>
    <row r="1" ht="30" customHeight="1" s="160">
      <c r="A1" s="6" t="inlineStr">
        <is>
          <t>ORTI S.R.L.</t>
        </is>
      </c>
      <c r="B1" s="7" t="n"/>
      <c r="C1" s="158" t="n">
        <v>2026</v>
      </c>
      <c r="D1" s="156" t="n"/>
      <c r="E1" s="156" t="n"/>
      <c r="F1" s="156" t="n"/>
      <c r="G1" s="156" t="n"/>
      <c r="H1" s="156" t="n"/>
      <c r="I1" s="156" t="n"/>
      <c r="J1" s="156" t="n"/>
      <c r="K1" s="157" t="n"/>
      <c r="L1" s="155" t="n">
        <v>2027</v>
      </c>
      <c r="M1" s="156" t="n"/>
      <c r="N1" s="156" t="n"/>
      <c r="O1" s="156" t="n"/>
      <c r="P1" s="156" t="n"/>
      <c r="Q1" s="156" t="n"/>
      <c r="R1" s="156" t="n"/>
      <c r="S1" s="156" t="n"/>
      <c r="T1" s="157" t="n"/>
      <c r="U1" s="8" t="n"/>
      <c r="V1" s="8" t="n"/>
      <c r="W1" s="8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24" customHeight="1" s="160" thickBot="1">
      <c r="A2" s="159" t="n"/>
      <c r="B2" s="7" t="n"/>
      <c r="C2" s="14" t="inlineStr">
        <is>
          <t>APRILE</t>
        </is>
      </c>
      <c r="D2" s="15" t="inlineStr">
        <is>
          <t>MAGGIO</t>
        </is>
      </c>
      <c r="E2" s="15" t="inlineStr">
        <is>
          <t>GIUGNO</t>
        </is>
      </c>
      <c r="F2" s="15" t="inlineStr">
        <is>
          <t>LUGLIO</t>
        </is>
      </c>
      <c r="G2" s="15" t="inlineStr">
        <is>
          <t>AGOSTO</t>
        </is>
      </c>
      <c r="H2" s="15" t="inlineStr">
        <is>
          <t>SETTEMBRE</t>
        </is>
      </c>
      <c r="I2" s="15" t="inlineStr">
        <is>
          <t>OTTOBRE</t>
        </is>
      </c>
      <c r="J2" s="15" t="inlineStr">
        <is>
          <t>NOVEMBRE</t>
        </is>
      </c>
      <c r="K2" s="18" t="inlineStr">
        <is>
          <t>DICEMBRE</t>
        </is>
      </c>
      <c r="L2" s="15" t="inlineStr">
        <is>
          <t>GENNAIO</t>
        </is>
      </c>
      <c r="M2" s="15" t="inlineStr">
        <is>
          <t>FEBBRAIO</t>
        </is>
      </c>
      <c r="N2" s="15" t="inlineStr">
        <is>
          <t>MARZO</t>
        </is>
      </c>
      <c r="O2" s="15" t="inlineStr">
        <is>
          <t>APRILE</t>
        </is>
      </c>
      <c r="P2" s="18" t="inlineStr">
        <is>
          <t>MAGGIO</t>
        </is>
      </c>
      <c r="Q2" s="130" t="inlineStr">
        <is>
          <t>GIUGNO</t>
        </is>
      </c>
      <c r="R2" s="129" t="inlineStr">
        <is>
          <t>TOTALI</t>
        </is>
      </c>
      <c r="S2" s="8" t="n"/>
      <c r="T2" s="8" t="n"/>
      <c r="U2" s="8" t="n"/>
      <c r="V2" s="8" t="n"/>
      <c r="W2" s="8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15.75" customHeight="1" s="160">
      <c r="B3" s="22" t="n"/>
      <c r="C3" s="23" t="n"/>
      <c r="D3" s="23" t="n"/>
      <c r="E3" s="23" t="n"/>
      <c r="F3" s="23" t="n"/>
      <c r="G3" s="23" t="n"/>
      <c r="H3" s="23" t="n"/>
      <c r="I3" s="23" t="n"/>
      <c r="J3" s="23" t="n"/>
      <c r="K3" s="25" t="n"/>
      <c r="L3" s="23" t="n"/>
      <c r="M3" s="23" t="n"/>
      <c r="N3" s="23" t="n"/>
      <c r="O3" s="23" t="n"/>
      <c r="P3" s="25" t="n"/>
      <c r="Q3" s="142" t="n"/>
      <c r="R3" s="22" t="n"/>
      <c r="S3" s="8" t="n"/>
      <c r="T3" s="8" t="n"/>
      <c r="U3" s="8" t="n"/>
      <c r="V3" s="8" t="n"/>
      <c r="W3" s="8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 ht="21.75" customHeight="1" s="160">
      <c r="A4" s="26" t="inlineStr">
        <is>
          <t>SALDO MESE PRECED</t>
        </is>
      </c>
      <c r="B4" s="28" t="n"/>
      <c r="C4" s="30" t="n">
        <v>339337.46</v>
      </c>
      <c r="D4" s="31" t="n">
        <v>581125.86</v>
      </c>
      <c r="E4" s="31" t="n">
        <v>927966.55</v>
      </c>
      <c r="F4" s="31">
        <f>E37</f>
        <v/>
      </c>
      <c r="G4" s="31">
        <f>F37</f>
        <v/>
      </c>
      <c r="H4" s="31">
        <f>G37</f>
        <v/>
      </c>
      <c r="I4" s="31">
        <f>H37</f>
        <v/>
      </c>
      <c r="J4" s="36">
        <f>I37</f>
        <v/>
      </c>
      <c r="K4" s="36">
        <f>J37</f>
        <v/>
      </c>
      <c r="L4" s="36">
        <f>K37</f>
        <v/>
      </c>
      <c r="M4" s="36">
        <f>L37</f>
        <v/>
      </c>
      <c r="N4" s="36">
        <f>M37</f>
        <v/>
      </c>
      <c r="O4" s="36">
        <f>N37</f>
        <v/>
      </c>
      <c r="P4" s="36">
        <f>O37</f>
        <v/>
      </c>
      <c r="Q4" s="143">
        <f>P37</f>
        <v/>
      </c>
      <c r="R4" s="131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7.5" customHeight="1" s="160">
      <c r="A5" s="40" t="n"/>
      <c r="B5" s="41" t="n"/>
      <c r="C5" s="43" t="n"/>
      <c r="D5" s="44" t="n"/>
      <c r="E5" s="44" t="n"/>
      <c r="F5" s="44" t="n"/>
      <c r="G5" s="44" t="n"/>
      <c r="H5" s="44" t="n"/>
      <c r="I5" s="44" t="n"/>
      <c r="J5" s="48" t="n"/>
      <c r="K5" s="48" t="n"/>
      <c r="L5" s="48" t="n"/>
      <c r="M5" s="48" t="n"/>
      <c r="N5" s="48" t="n"/>
      <c r="O5" s="48" t="n"/>
      <c r="P5" s="48" t="n"/>
      <c r="Q5" s="144" t="n"/>
      <c r="R5" s="132" t="n"/>
      <c r="S5" s="49" t="n"/>
      <c r="T5" s="49" t="n"/>
      <c r="U5" s="49" t="n"/>
      <c r="V5" s="49" t="n"/>
      <c r="W5" s="49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1.75" customHeight="1" s="160">
      <c r="A6" s="51" t="inlineStr">
        <is>
          <t xml:space="preserve">Entrate Hotel </t>
        </is>
      </c>
      <c r="B6" s="52" t="n"/>
      <c r="C6" s="53" t="n"/>
      <c r="D6" s="54" t="n"/>
      <c r="E6" s="54" t="n"/>
      <c r="F6" s="54" t="n">
        <v>750000</v>
      </c>
      <c r="G6" s="54" t="n">
        <v>830000</v>
      </c>
      <c r="H6" s="54" t="n">
        <v>580000</v>
      </c>
      <c r="I6" s="54">
        <f>110000+160000</f>
        <v/>
      </c>
      <c r="J6" s="57" t="n"/>
      <c r="K6" s="57" t="n"/>
      <c r="L6" s="57" t="n">
        <v>29397</v>
      </c>
      <c r="M6" s="57" t="n">
        <v>34158</v>
      </c>
      <c r="N6" s="57" t="n">
        <v>64649</v>
      </c>
      <c r="O6" s="57" t="n">
        <v>64953</v>
      </c>
      <c r="P6" s="57" t="n">
        <v>450000</v>
      </c>
      <c r="Q6" s="145" t="n">
        <v>600000</v>
      </c>
      <c r="R6" s="132">
        <f>SUM(C6:Q6)</f>
        <v/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1.75" customHeight="1" s="160">
      <c r="A7" s="51" t="inlineStr">
        <is>
          <t>Entrate Residence</t>
        </is>
      </c>
      <c r="B7" s="52" t="n"/>
      <c r="C7" s="53" t="n"/>
      <c r="D7" s="54" t="n"/>
      <c r="E7" s="54" t="n"/>
      <c r="F7" s="54" t="n">
        <v>120000</v>
      </c>
      <c r="G7" s="54" t="n">
        <v>140000</v>
      </c>
      <c r="H7" s="54" t="n">
        <v>100000</v>
      </c>
      <c r="I7" s="54">
        <f>26000+17000</f>
        <v/>
      </c>
      <c r="J7" s="57" t="n"/>
      <c r="K7" s="57" t="n"/>
      <c r="L7" s="57" t="n"/>
      <c r="M7" s="57" t="n"/>
      <c r="N7" s="57" t="n"/>
      <c r="O7" s="57" t="n"/>
      <c r="P7" s="57" t="n">
        <v>60000</v>
      </c>
      <c r="Q7" s="145" t="n">
        <v>100000</v>
      </c>
      <c r="R7" s="132">
        <f>SUM(C7:Q7)</f>
        <v/>
      </c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 ht="21.75" customHeight="1" s="160">
      <c r="A8" s="51" t="inlineStr">
        <is>
          <t>Entrate CVM</t>
        </is>
      </c>
      <c r="B8" s="52" t="n"/>
      <c r="C8" s="53" t="n"/>
      <c r="D8" s="54" t="n"/>
      <c r="E8" s="54" t="n"/>
      <c r="F8" s="54" t="n">
        <v>45000</v>
      </c>
      <c r="G8" s="54" t="n">
        <v>48000</v>
      </c>
      <c r="H8" s="54" t="n">
        <v>30000</v>
      </c>
      <c r="I8" s="54">
        <f>5798+10000</f>
        <v/>
      </c>
      <c r="J8" s="57" t="n"/>
      <c r="K8" s="57" t="n"/>
      <c r="L8" s="57" t="n"/>
      <c r="M8" s="57" t="n"/>
      <c r="N8" s="57" t="n"/>
      <c r="O8" s="57" t="n"/>
      <c r="P8" s="57" t="n">
        <v>22000</v>
      </c>
      <c r="Q8" s="145" t="n">
        <v>25000</v>
      </c>
      <c r="R8" s="132">
        <f>SUM(C8:Q8)</f>
        <v/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1.75" customHeight="1" s="160">
      <c r="A9" s="51" t="inlineStr">
        <is>
          <t>Entrate Supermercato</t>
        </is>
      </c>
      <c r="B9" s="52" t="n"/>
      <c r="C9" s="53" t="n"/>
      <c r="D9" s="54" t="n"/>
      <c r="E9" s="54" t="n"/>
      <c r="F9" s="54" t="n">
        <v>25620</v>
      </c>
      <c r="G9" s="54" t="n">
        <v>25620</v>
      </c>
      <c r="H9" s="54" t="n">
        <v>25620</v>
      </c>
      <c r="I9" s="54" t="n">
        <v>25620</v>
      </c>
      <c r="J9" s="57" t="n">
        <v>25620</v>
      </c>
      <c r="K9" s="57" t="n">
        <v>25620</v>
      </c>
      <c r="L9" s="57" t="n">
        <v>25620</v>
      </c>
      <c r="M9" s="57" t="n">
        <v>25620</v>
      </c>
      <c r="N9" s="57" t="n">
        <v>25620</v>
      </c>
      <c r="O9" s="57" t="n">
        <v>25620</v>
      </c>
      <c r="P9" s="57" t="n">
        <v>25620</v>
      </c>
      <c r="Q9" s="145" t="n">
        <v>25620</v>
      </c>
      <c r="R9" s="133">
        <f>SUM(C9:Q9)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21.75" customHeight="1" s="160">
      <c r="A10" s="51" t="inlineStr">
        <is>
          <t>Rientro Sospesi</t>
        </is>
      </c>
      <c r="B10" s="52" t="n"/>
      <c r="C10" s="53" t="n"/>
      <c r="D10" s="54" t="n"/>
      <c r="E10" s="54" t="n"/>
      <c r="F10" s="54" t="n"/>
      <c r="G10" s="54" t="n"/>
      <c r="H10" s="54" t="n"/>
      <c r="I10" s="54" t="n"/>
      <c r="J10" s="57" t="n"/>
      <c r="K10" s="57" t="n"/>
      <c r="L10" s="57" t="n"/>
      <c r="M10" s="57" t="n"/>
      <c r="N10" s="57" t="n"/>
      <c r="O10" s="57" t="n"/>
      <c r="P10" s="57" t="n"/>
      <c r="Q10" s="145" t="n"/>
      <c r="R10" s="133">
        <f>SUM(C10:Q10)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t="21.75" customHeight="1" s="160">
      <c r="A11" s="51" t="inlineStr">
        <is>
          <t>Caparre Intur</t>
        </is>
      </c>
      <c r="B11" s="52" t="n"/>
      <c r="C11" s="53" t="n"/>
      <c r="D11" s="54" t="n"/>
      <c r="E11" s="54" t="n"/>
      <c r="F11" s="54" t="n"/>
      <c r="G11" s="54" t="n"/>
      <c r="H11" s="54" t="n"/>
      <c r="I11" s="54" t="n"/>
      <c r="J11" s="57" t="n"/>
      <c r="K11" s="57" t="n"/>
      <c r="L11" s="57" t="n"/>
      <c r="M11" s="57" t="n"/>
      <c r="N11" s="57" t="n"/>
      <c r="O11" s="57" t="n"/>
      <c r="P11" s="57" t="n"/>
      <c r="Q11" s="145" t="n"/>
      <c r="R11" s="133">
        <f>SUM(C11:Q11)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 ht="21.75" customHeight="1" s="160" thickBot="1">
      <c r="A12" s="61" t="inlineStr">
        <is>
          <t>TOTALE ENTRATE</t>
        </is>
      </c>
      <c r="B12" s="62" t="n"/>
      <c r="C12" s="63">
        <f>SUM(C6:C11)</f>
        <v/>
      </c>
      <c r="D12" s="64">
        <f>SUM(D6:D11)</f>
        <v/>
      </c>
      <c r="E12" s="64">
        <f>SUM(E6:E11)</f>
        <v/>
      </c>
      <c r="F12" s="64">
        <f>SUM(F6:F11)</f>
        <v/>
      </c>
      <c r="G12" s="64">
        <f>SUM(G6:G11)</f>
        <v/>
      </c>
      <c r="H12" s="64">
        <f>SUM(H6:H11)</f>
        <v/>
      </c>
      <c r="I12" s="64">
        <f>SUM(I6:I11)</f>
        <v/>
      </c>
      <c r="J12" s="65">
        <f>SUM(J6:J11)</f>
        <v/>
      </c>
      <c r="K12" s="65">
        <f>SUM(K6:K11)</f>
        <v/>
      </c>
      <c r="L12" s="65">
        <f>SUM(L6:L11)</f>
        <v/>
      </c>
      <c r="M12" s="65">
        <f>SUM(M6:M11)</f>
        <v/>
      </c>
      <c r="N12" s="65">
        <f>SUM(N6:N11)</f>
        <v/>
      </c>
      <c r="O12" s="65">
        <f>SUM(O6:O11)</f>
        <v/>
      </c>
      <c r="P12" s="65">
        <f>SUM(P6:P11)</f>
        <v/>
      </c>
      <c r="Q12" s="146">
        <f>SUM(Q6:Q11)</f>
        <v/>
      </c>
      <c r="R12" s="134">
        <f>SUM(C12:Q12)</f>
        <v/>
      </c>
      <c r="S12" s="66" t="n"/>
      <c r="T12" s="66" t="n"/>
      <c r="U12" s="66" t="n"/>
      <c r="V12" s="66" t="n"/>
      <c r="W12" s="66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t="7.5" customHeight="1" s="160" thickTop="1">
      <c r="A13" s="40" t="n"/>
      <c r="B13" s="41" t="n"/>
      <c r="C13" s="67" t="n"/>
      <c r="D13" s="44" t="n"/>
      <c r="E13" s="44" t="n"/>
      <c r="F13" s="44" t="n"/>
      <c r="G13" s="44" t="n"/>
      <c r="H13" s="44" t="n"/>
      <c r="I13" s="44" t="n"/>
      <c r="J13" s="48" t="n"/>
      <c r="K13" s="48" t="n"/>
      <c r="L13" s="48" t="n"/>
      <c r="M13" s="48" t="n"/>
      <c r="N13" s="48" t="n"/>
      <c r="O13" s="48" t="n"/>
      <c r="P13" s="48" t="n"/>
      <c r="Q13" s="144" t="n"/>
      <c r="R13" s="13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 ht="21.75" customHeight="1" s="160">
      <c r="A14" s="51" t="inlineStr">
        <is>
          <t>Salari e Stipendi</t>
        </is>
      </c>
      <c r="B14" s="52" t="n"/>
      <c r="C14" s="53">
        <f>'Salari e Stipendi'!D4</f>
        <v/>
      </c>
      <c r="D14" s="54">
        <f>'Salari e Stipendi'!E4</f>
        <v/>
      </c>
      <c r="E14" s="54">
        <f>'Salari e Stipendi'!F4</f>
        <v/>
      </c>
      <c r="F14" s="54">
        <f>'Salari e Stipendi'!G4</f>
        <v/>
      </c>
      <c r="G14" s="54">
        <f>'Salari e Stipendi'!H4</f>
        <v/>
      </c>
      <c r="H14" s="54">
        <f>'Salari e Stipendi'!I4</f>
        <v/>
      </c>
      <c r="I14" s="54">
        <f>'Salari e Stipendi'!J4</f>
        <v/>
      </c>
      <c r="J14" s="57">
        <f>'Salari e Stipendi'!K4</f>
        <v/>
      </c>
      <c r="K14" s="57">
        <f>'Salari e Stipendi'!L4</f>
        <v/>
      </c>
      <c r="L14" s="57">
        <f>'Salari e Stipendi'!M4</f>
        <v/>
      </c>
      <c r="M14" s="57">
        <f>'Salari e Stipendi'!N4</f>
        <v/>
      </c>
      <c r="N14" s="57">
        <f>'Salari e Stipendi'!O4</f>
        <v/>
      </c>
      <c r="O14" s="57">
        <f>'Salari e Stipendi'!P4</f>
        <v/>
      </c>
      <c r="P14" s="57">
        <f>'Salari e Stipendi'!Q4</f>
        <v/>
      </c>
      <c r="Q14" s="145">
        <f>'Salari e Stipendi'!R4</f>
        <v/>
      </c>
      <c r="R14" s="132">
        <f>SUM(C14:Q14)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t="21.75" customHeight="1" s="160">
      <c r="A15" s="51" t="inlineStr">
        <is>
          <t>Utenze</t>
        </is>
      </c>
      <c r="B15" s="52" t="n"/>
      <c r="C15" s="53">
        <f>Utenze!D3</f>
        <v/>
      </c>
      <c r="D15" s="54">
        <f>Utenze!E3</f>
        <v/>
      </c>
      <c r="E15" s="54">
        <f>Utenze!F3</f>
        <v/>
      </c>
      <c r="F15" s="54">
        <f>Utenze!G3</f>
        <v/>
      </c>
      <c r="G15" s="54">
        <f>Utenze!H3</f>
        <v/>
      </c>
      <c r="H15" s="54">
        <f>Utenze!I3</f>
        <v/>
      </c>
      <c r="I15" s="54">
        <f>Utenze!J3</f>
        <v/>
      </c>
      <c r="J15" s="57">
        <f>Utenze!K3</f>
        <v/>
      </c>
      <c r="K15" s="57">
        <f>Utenze!L3</f>
        <v/>
      </c>
      <c r="L15" s="57">
        <f>Utenze!M3</f>
        <v/>
      </c>
      <c r="M15" s="57">
        <f>Utenze!N3</f>
        <v/>
      </c>
      <c r="N15" s="57">
        <f>Utenze!O3</f>
        <v/>
      </c>
      <c r="O15" s="57">
        <f>Utenze!P3</f>
        <v/>
      </c>
      <c r="P15" s="57">
        <f>Utenze!Q3</f>
        <v/>
      </c>
      <c r="Q15" s="145">
        <f>Utenze!R3</f>
        <v/>
      </c>
      <c r="R15" s="132">
        <f>SUM(C15:Q15)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 ht="21.75" customHeight="1" s="160">
      <c r="A16" s="51" t="inlineStr">
        <is>
          <t>Materie Prime/Consumo</t>
        </is>
      </c>
      <c r="B16" s="52" t="n"/>
      <c r="C16" s="53">
        <f>MAX('Materie Prime-Consumo '!D3,'Materie Prime-Consumo '!D4)</f>
        <v/>
      </c>
      <c r="D16" s="54">
        <f>MAX('Materie Prime-Consumo '!E3,'Materie Prime-Consumo '!E4)</f>
        <v/>
      </c>
      <c r="E16" s="54">
        <f>MAX('Materie Prime-Consumo '!F3,'Materie Prime-Consumo '!F4)</f>
        <v/>
      </c>
      <c r="F16" s="54">
        <f>MAX('Materie Prime-Consumo '!G3,'Materie Prime-Consumo '!G4)</f>
        <v/>
      </c>
      <c r="G16" s="54">
        <f>MAX('Materie Prime-Consumo '!H3,'Materie Prime-Consumo '!H4)</f>
        <v/>
      </c>
      <c r="H16" s="54">
        <f>MAX('Materie Prime-Consumo '!I3,'Materie Prime-Consumo '!I4)</f>
        <v/>
      </c>
      <c r="I16" s="54">
        <f>MAX('Materie Prime-Consumo '!J3,'Materie Prime-Consumo '!J4)</f>
        <v/>
      </c>
      <c r="J16" s="57">
        <f>MAX('Materie Prime-Consumo '!K3,'Materie Prime-Consumo '!K4)</f>
        <v/>
      </c>
      <c r="K16" s="57">
        <f>MAX('Materie Prime-Consumo '!L3,'Materie Prime-Consumo '!L4)</f>
        <v/>
      </c>
      <c r="L16" s="57">
        <f>MAX('Materie Prime-Consumo '!M3,'Materie Prime-Consumo '!M4)</f>
        <v/>
      </c>
      <c r="M16" s="57">
        <f>MAX('Materie Prime-Consumo '!N3,'Materie Prime-Consumo '!N4)</f>
        <v/>
      </c>
      <c r="N16" s="57">
        <f>MAX('Materie Prime-Consumo '!O3,'Materie Prime-Consumo '!O4)</f>
        <v/>
      </c>
      <c r="O16" s="57">
        <f>MAX('Materie Prime-Consumo '!P3,'Materie Prime-Consumo '!P4)</f>
        <v/>
      </c>
      <c r="P16" s="57">
        <f>MAX('Materie Prime-Consumo '!Q3,'Materie Prime-Consumo '!Q4)</f>
        <v/>
      </c>
      <c r="Q16" s="145">
        <f>MAX('Materie Prime-Consumo '!R3,'Materie Prime-Consumo '!R4)</f>
        <v/>
      </c>
      <c r="R16" s="132">
        <f>SUM(C16:Q16)</f>
        <v/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t="21.75" customHeight="1" s="160">
      <c r="A17" s="51" t="inlineStr">
        <is>
          <t>Tasse e Imposte</t>
        </is>
      </c>
      <c r="B17" s="52" t="n"/>
      <c r="C17" s="53">
        <f>'Tasse e Imposte'!D3</f>
        <v/>
      </c>
      <c r="D17" s="54">
        <f>'Tasse e Imposte'!E3</f>
        <v/>
      </c>
      <c r="E17" s="54">
        <f>'Tasse e Imposte'!F3</f>
        <v/>
      </c>
      <c r="F17" s="54">
        <f>'Tasse e Imposte'!G3</f>
        <v/>
      </c>
      <c r="G17" s="54">
        <f>'Tasse e Imposte'!H3</f>
        <v/>
      </c>
      <c r="H17" s="54">
        <f>'Tasse e Imposte'!I3</f>
        <v/>
      </c>
      <c r="I17" s="54">
        <f>'Tasse e Imposte'!J3</f>
        <v/>
      </c>
      <c r="J17" s="57">
        <f>'Tasse e Imposte'!K3</f>
        <v/>
      </c>
      <c r="K17" s="57">
        <f>'Tasse e Imposte'!L3</f>
        <v/>
      </c>
      <c r="L17" s="57">
        <f>'Tasse e Imposte'!M3</f>
        <v/>
      </c>
      <c r="M17" s="57">
        <f>'Tasse e Imposte'!N3</f>
        <v/>
      </c>
      <c r="N17" s="57">
        <f>'Tasse e Imposte'!O3</f>
        <v/>
      </c>
      <c r="O17" s="57">
        <f>'Tasse e Imposte'!P3</f>
        <v/>
      </c>
      <c r="P17" s="57">
        <f>'Tasse e Imposte'!Q3</f>
        <v/>
      </c>
      <c r="Q17" s="145">
        <f>'Tasse e Imposte'!R3</f>
        <v/>
      </c>
      <c r="R17" s="132">
        <f>SUM(C17:Q17)</f>
        <v/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 ht="21.75" customHeight="1" s="160">
      <c r="A18" s="51" t="inlineStr">
        <is>
          <t>Commissioni Portali</t>
        </is>
      </c>
      <c r="B18" s="52" t="n"/>
      <c r="C18" s="53">
        <f>'Commisisoni Portali'!D3</f>
        <v/>
      </c>
      <c r="D18" s="54">
        <f>'Commisisoni Portali'!E3</f>
        <v/>
      </c>
      <c r="E18" s="54">
        <f>'Commisisoni Portali'!F3</f>
        <v/>
      </c>
      <c r="F18" s="54">
        <f>'Commisisoni Portali'!G3</f>
        <v/>
      </c>
      <c r="G18" s="54">
        <f>'Commisisoni Portali'!H3</f>
        <v/>
      </c>
      <c r="H18" s="54">
        <f>'Commisisoni Portali'!I3</f>
        <v/>
      </c>
      <c r="I18" s="54">
        <f>'Commisisoni Portali'!J3</f>
        <v/>
      </c>
      <c r="J18" s="57">
        <f>'Commisisoni Portali'!K3</f>
        <v/>
      </c>
      <c r="K18" s="57">
        <f>'Commisisoni Portali'!L3</f>
        <v/>
      </c>
      <c r="L18" s="57">
        <f>'Commisisoni Portali'!M3</f>
        <v/>
      </c>
      <c r="M18" s="57">
        <f>'Commisisoni Portali'!N3</f>
        <v/>
      </c>
      <c r="N18" s="57">
        <f>'Commisisoni Portali'!O3</f>
        <v/>
      </c>
      <c r="O18" s="57">
        <f>'Commisisoni Portali'!P3</f>
        <v/>
      </c>
      <c r="P18" s="57">
        <f>'Commisisoni Portali'!Q3</f>
        <v/>
      </c>
      <c r="Q18" s="145">
        <f>'Commisisoni Portali'!R3</f>
        <v/>
      </c>
      <c r="R18" s="132">
        <f>SUM(C18:Q18)</f>
        <v/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t="21.75" customHeight="1" s="160">
      <c r="A19" s="51" t="inlineStr">
        <is>
          <t>Mutui e Finaziamenti</t>
        </is>
      </c>
      <c r="B19" s="52" t="n"/>
      <c r="C19" s="53">
        <f>'Mutui e Finaziamenti'!D3</f>
        <v/>
      </c>
      <c r="D19" s="54">
        <f>'Mutui e Finaziamenti'!E3</f>
        <v/>
      </c>
      <c r="E19" s="54">
        <f>'Mutui e Finaziamenti'!F3</f>
        <v/>
      </c>
      <c r="F19" s="54">
        <f>'Mutui e Finaziamenti'!G3</f>
        <v/>
      </c>
      <c r="G19" s="54">
        <f>'Mutui e Finaziamenti'!H3</f>
        <v/>
      </c>
      <c r="H19" s="54">
        <f>'Mutui e Finaziamenti'!I3</f>
        <v/>
      </c>
      <c r="I19" s="54">
        <f>'Mutui e Finaziamenti'!J3</f>
        <v/>
      </c>
      <c r="J19" s="57">
        <f>'Mutui e Finaziamenti'!K3</f>
        <v/>
      </c>
      <c r="K19" s="57">
        <f>'Mutui e Finaziamenti'!L3</f>
        <v/>
      </c>
      <c r="L19" s="57">
        <f>'Mutui e Finaziamenti'!M3</f>
        <v/>
      </c>
      <c r="M19" s="57">
        <f>'Mutui e Finaziamenti'!N3</f>
        <v/>
      </c>
      <c r="N19" s="57">
        <f>'Mutui e Finaziamenti'!O3</f>
        <v/>
      </c>
      <c r="O19" s="57">
        <f>'Mutui e Finaziamenti'!P3</f>
        <v/>
      </c>
      <c r="P19" s="57">
        <f>'Mutui e Finaziamenti'!Q3</f>
        <v/>
      </c>
      <c r="Q19" s="145">
        <f>'Mutui e Finaziamenti'!R3</f>
        <v/>
      </c>
      <c r="R19" s="132">
        <f>SUM(C19:Q19)</f>
        <v/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 ht="21.75" customHeight="1" s="160">
      <c r="A20" s="51" t="inlineStr">
        <is>
          <t>Consulenze</t>
        </is>
      </c>
      <c r="B20" s="52" t="n"/>
      <c r="C20" s="53">
        <f>Consulenze!D3</f>
        <v/>
      </c>
      <c r="D20" s="54">
        <f>Consulenze!E3</f>
        <v/>
      </c>
      <c r="E20" s="54">
        <f>Consulenze!F3</f>
        <v/>
      </c>
      <c r="F20" s="54">
        <f>Consulenze!G3</f>
        <v/>
      </c>
      <c r="G20" s="54">
        <f>Consulenze!H3</f>
        <v/>
      </c>
      <c r="H20" s="54">
        <f>Consulenze!I3</f>
        <v/>
      </c>
      <c r="I20" s="54">
        <f>Consulenze!J3</f>
        <v/>
      </c>
      <c r="J20" s="57">
        <f>Consulenze!K3</f>
        <v/>
      </c>
      <c r="K20" s="57">
        <f>Consulenze!L3</f>
        <v/>
      </c>
      <c r="L20" s="57">
        <f>Consulenze!M3</f>
        <v/>
      </c>
      <c r="M20" s="57">
        <f>Consulenze!N3</f>
        <v/>
      </c>
      <c r="N20" s="57">
        <f>Consulenze!O3</f>
        <v/>
      </c>
      <c r="O20" s="57">
        <f>Consulenze!P3</f>
        <v/>
      </c>
      <c r="P20" s="57">
        <f>Consulenze!Q3</f>
        <v/>
      </c>
      <c r="Q20" s="145">
        <f>Consulenze!R3</f>
        <v/>
      </c>
      <c r="R20" s="132">
        <f>SUM(C20:Q20)</f>
        <v/>
      </c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t="21.75" customHeight="1" s="160">
      <c r="A21" s="51" t="inlineStr">
        <is>
          <t>Godimento Beni di Terzi</t>
        </is>
      </c>
      <c r="B21" s="52" t="n"/>
      <c r="C21" s="53">
        <f>'Godimento Beni di Terzi'!D4</f>
        <v/>
      </c>
      <c r="D21" s="54">
        <f>'Godimento Beni di Terzi'!E4</f>
        <v/>
      </c>
      <c r="E21" s="54">
        <f>'Godimento Beni di Terzi'!F4</f>
        <v/>
      </c>
      <c r="F21" s="54">
        <f>'Godimento Beni di Terzi'!G4</f>
        <v/>
      </c>
      <c r="G21" s="54">
        <f>'Godimento Beni di Terzi'!H4</f>
        <v/>
      </c>
      <c r="H21" s="54">
        <f>'Godimento Beni di Terzi'!I4</f>
        <v/>
      </c>
      <c r="I21" s="54">
        <f>'Godimento Beni di Terzi'!J4</f>
        <v/>
      </c>
      <c r="J21" s="57">
        <f>'Godimento Beni di Terzi'!K4</f>
        <v/>
      </c>
      <c r="K21" s="57">
        <f>'Godimento Beni di Terzi'!L4</f>
        <v/>
      </c>
      <c r="L21" s="57">
        <f>'Godimento Beni di Terzi'!M4</f>
        <v/>
      </c>
      <c r="M21" s="57">
        <f>'Godimento Beni di Terzi'!N4</f>
        <v/>
      </c>
      <c r="N21" s="57">
        <f>'Godimento Beni di Terzi'!O4</f>
        <v/>
      </c>
      <c r="O21" s="57">
        <f>'Godimento Beni di Terzi'!P4</f>
        <v/>
      </c>
      <c r="P21" s="57">
        <f>'Godimento Beni di Terzi'!Q4</f>
        <v/>
      </c>
      <c r="Q21" s="145">
        <f>'Godimento Beni di Terzi'!R4</f>
        <v/>
      </c>
      <c r="R21" s="132">
        <f>SUM(C21:Q21)</f>
        <v/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 ht="21.75" customHeight="1" s="160">
      <c r="A22" s="51" t="inlineStr">
        <is>
          <t>Varie ed Eventuali</t>
        </is>
      </c>
      <c r="B22" s="52" t="n"/>
      <c r="C22" s="53">
        <f>' Varie ed Eventuali'!D3</f>
        <v/>
      </c>
      <c r="D22" s="54">
        <f>' Varie ed Eventuali'!E3</f>
        <v/>
      </c>
      <c r="E22" s="54">
        <f>' Varie ed Eventuali'!F3</f>
        <v/>
      </c>
      <c r="F22" s="54">
        <f>' Varie ed Eventuali'!G3</f>
        <v/>
      </c>
      <c r="G22" s="54">
        <f>' Varie ed Eventuali'!H3</f>
        <v/>
      </c>
      <c r="H22" s="54">
        <f>' Varie ed Eventuali'!I3</f>
        <v/>
      </c>
      <c r="I22" s="54">
        <f>' Varie ed Eventuali'!J3</f>
        <v/>
      </c>
      <c r="J22" s="57">
        <f>' Varie ed Eventuali'!K3</f>
        <v/>
      </c>
      <c r="K22" s="57">
        <f>' Varie ed Eventuali'!L3</f>
        <v/>
      </c>
      <c r="L22" s="57">
        <f>' Varie ed Eventuali'!M3</f>
        <v/>
      </c>
      <c r="M22" s="57">
        <f>' Varie ed Eventuali'!N3</f>
        <v/>
      </c>
      <c r="N22" s="57">
        <f>' Varie ed Eventuali'!O3</f>
        <v/>
      </c>
      <c r="O22" s="57">
        <f>' Varie ed Eventuali'!P3</f>
        <v/>
      </c>
      <c r="P22" s="57">
        <f>' Varie ed Eventuali'!Q3</f>
        <v/>
      </c>
      <c r="Q22" s="145">
        <f>' Varie ed Eventuali'!R3</f>
        <v/>
      </c>
      <c r="R22" s="132">
        <f>SUM(C22:Q22)</f>
        <v/>
      </c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t="21.75" customHeight="1" s="160">
      <c r="A23" s="51" t="inlineStr">
        <is>
          <t>Canoni e servizi</t>
        </is>
      </c>
      <c r="B23" s="52" t="n"/>
      <c r="C23" s="53">
        <f>'Canoni e servizi'!D4</f>
        <v/>
      </c>
      <c r="D23" s="54">
        <f>'Canoni e servizi'!E4</f>
        <v/>
      </c>
      <c r="E23" s="54">
        <f>'Canoni e servizi'!F4</f>
        <v/>
      </c>
      <c r="F23" s="54">
        <f>'Canoni e servizi'!G4</f>
        <v/>
      </c>
      <c r="G23" s="54">
        <f>'Canoni e servizi'!H4</f>
        <v/>
      </c>
      <c r="H23" s="54">
        <f>'Canoni e servizi'!I4</f>
        <v/>
      </c>
      <c r="I23" s="54">
        <f>'Canoni e servizi'!J4</f>
        <v/>
      </c>
      <c r="J23" s="57">
        <f>'Canoni e servizi'!K4</f>
        <v/>
      </c>
      <c r="K23" s="57">
        <f>'Canoni e servizi'!L4</f>
        <v/>
      </c>
      <c r="L23" s="57">
        <f>'Canoni e servizi'!M4</f>
        <v/>
      </c>
      <c r="M23" s="57">
        <f>'Canoni e servizi'!N4</f>
        <v/>
      </c>
      <c r="N23" s="57">
        <f>'Canoni e servizi'!O4</f>
        <v/>
      </c>
      <c r="O23" s="57">
        <f>'Canoni e servizi'!P4</f>
        <v/>
      </c>
      <c r="P23" s="57">
        <f>'Canoni e servizi'!Q4</f>
        <v/>
      </c>
      <c r="Q23" s="145">
        <f>'Canoni e servizi'!R4</f>
        <v/>
      </c>
      <c r="R23" s="132">
        <f>SUM(C23:Q23)</f>
        <v/>
      </c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 ht="21.75" customHeight="1" s="160">
      <c r="A24" s="51" t="inlineStr">
        <is>
          <t>Deposito Fitto</t>
        </is>
      </c>
      <c r="B24" s="52" t="n"/>
      <c r="C24" s="53" t="n"/>
      <c r="D24" s="54" t="n"/>
      <c r="E24" s="54" t="n"/>
      <c r="F24" s="54" t="n"/>
      <c r="G24" s="54" t="n"/>
      <c r="H24" s="54" t="n"/>
      <c r="I24" s="54" t="n"/>
      <c r="J24" s="57" t="n"/>
      <c r="K24" s="57" t="n"/>
      <c r="L24" s="57" t="n"/>
      <c r="M24" s="57" t="n"/>
      <c r="N24" s="57" t="n"/>
      <c r="O24" s="57" t="n"/>
      <c r="P24" s="57" t="n"/>
      <c r="Q24" s="145" t="n"/>
      <c r="R24" s="132">
        <f>SUM(C24:Q24)</f>
        <v/>
      </c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t="21.75" customHeight="1" s="160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  <c r="J25" s="57" t="n"/>
      <c r="K25" s="69" t="n"/>
      <c r="L25" s="57" t="n"/>
      <c r="M25" s="57" t="n"/>
      <c r="N25" s="57" t="n"/>
      <c r="O25" s="57" t="n"/>
      <c r="P25" s="57" t="n"/>
      <c r="Q25" s="145" t="n"/>
      <c r="R25" s="132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 ht="21.75" customHeight="1" s="160">
      <c r="A26" s="70" t="n"/>
      <c r="B26" s="71" t="n"/>
      <c r="C26" s="72" t="n"/>
      <c r="D26" s="73" t="n"/>
      <c r="E26" s="73" t="n"/>
      <c r="F26" s="73" t="n"/>
      <c r="G26" s="73" t="n"/>
      <c r="H26" s="73" t="n"/>
      <c r="I26" s="73" t="n"/>
      <c r="J26" s="74" t="n"/>
      <c r="K26" s="57" t="n"/>
      <c r="L26" s="74" t="n"/>
      <c r="M26" s="74" t="n"/>
      <c r="N26" s="74" t="n"/>
      <c r="O26" s="74" t="n"/>
      <c r="P26" s="74" t="n"/>
      <c r="Q26" s="147" t="n"/>
      <c r="R26" s="136" t="n"/>
      <c r="S26" s="27" t="n"/>
      <c r="T26" s="27" t="n"/>
      <c r="U26" s="27" t="n"/>
      <c r="V26" s="27" t="n"/>
      <c r="W26" s="27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 ht="21.75" customHeight="1" s="160" thickBot="1">
      <c r="A27" s="75" t="inlineStr">
        <is>
          <t xml:space="preserve">TOTALE USCITE </t>
        </is>
      </c>
      <c r="B27" s="76" t="n"/>
      <c r="C27" s="77">
        <f>SUM(C14:C26)</f>
        <v/>
      </c>
      <c r="D27" s="78">
        <f>SUM(D14:D26)</f>
        <v/>
      </c>
      <c r="E27" s="78">
        <f>SUM(E14:E26)</f>
        <v/>
      </c>
      <c r="F27" s="78">
        <f>SUM(F14:F26)</f>
        <v/>
      </c>
      <c r="G27" s="78">
        <f>SUM(G14:G26)</f>
        <v/>
      </c>
      <c r="H27" s="78">
        <f>SUM(H14:H26)</f>
        <v/>
      </c>
      <c r="I27" s="78">
        <f>SUM(I14:I26)</f>
        <v/>
      </c>
      <c r="J27" s="79">
        <f>SUM(J14:J26)</f>
        <v/>
      </c>
      <c r="K27" s="79">
        <f>SUM(K14:K26)</f>
        <v/>
      </c>
      <c r="L27" s="79">
        <f>SUM(L14:L26)</f>
        <v/>
      </c>
      <c r="M27" s="79">
        <f>SUM(M14:M26)</f>
        <v/>
      </c>
      <c r="N27" s="79">
        <f>SUM(N14:N26)</f>
        <v/>
      </c>
      <c r="O27" s="79">
        <f>SUM(O14:O26)</f>
        <v/>
      </c>
      <c r="P27" s="79">
        <f>SUM(P14:P26)</f>
        <v/>
      </c>
      <c r="Q27" s="148">
        <f>SUM(Q14:Q26)</f>
        <v/>
      </c>
      <c r="R27" s="137">
        <f>SUM(C27:Q27)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 ht="7.5" customHeight="1" s="160" thickTop="1">
      <c r="A28" s="40" t="n"/>
      <c r="B28" s="41" t="n"/>
      <c r="C28" s="67" t="n"/>
      <c r="D28" s="44" t="n"/>
      <c r="E28" s="44" t="n"/>
      <c r="F28" s="44" t="n"/>
      <c r="G28" s="44" t="n"/>
      <c r="H28" s="44" t="n"/>
      <c r="I28" s="44" t="n"/>
      <c r="J28" s="48" t="n"/>
      <c r="K28" s="48" t="n"/>
      <c r="L28" s="48" t="n"/>
      <c r="M28" s="48" t="n"/>
      <c r="N28" s="48" t="n"/>
      <c r="O28" s="48" t="n"/>
      <c r="P28" s="48" t="n"/>
      <c r="Q28" s="144" t="n"/>
      <c r="R28" s="13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 ht="21.75" customHeight="1" s="160" thickBot="1">
      <c r="A29" s="80" t="inlineStr">
        <is>
          <t>Cash Flow</t>
        </is>
      </c>
      <c r="B29" s="81" t="n"/>
      <c r="C29" s="82">
        <f>C12-C27</f>
        <v/>
      </c>
      <c r="D29" s="83">
        <f>D12-D27</f>
        <v/>
      </c>
      <c r="E29" s="83">
        <f>E12-E27</f>
        <v/>
      </c>
      <c r="F29" s="83">
        <f>F12-F27</f>
        <v/>
      </c>
      <c r="G29" s="83">
        <f>G12-G27</f>
        <v/>
      </c>
      <c r="H29" s="83">
        <f>H12-H27</f>
        <v/>
      </c>
      <c r="I29" s="83">
        <f>I12-I27</f>
        <v/>
      </c>
      <c r="J29" s="84">
        <f>J12-J27</f>
        <v/>
      </c>
      <c r="K29" s="84">
        <f>K12-K27</f>
        <v/>
      </c>
      <c r="L29" s="84">
        <f>L12-L27</f>
        <v/>
      </c>
      <c r="M29" s="84">
        <f>M12-M27</f>
        <v/>
      </c>
      <c r="N29" s="84">
        <f>N12-N27</f>
        <v/>
      </c>
      <c r="O29" s="84">
        <f>O12-O27</f>
        <v/>
      </c>
      <c r="P29" s="84">
        <f>P12-P27</f>
        <v/>
      </c>
      <c r="Q29" s="149">
        <f>Q12-Q27</f>
        <v/>
      </c>
      <c r="R29" s="138">
        <f>R12-R27</f>
        <v/>
      </c>
      <c r="S29" s="27" t="n"/>
      <c r="T29" s="27" t="n"/>
      <c r="U29" s="27" t="n"/>
      <c r="V29" s="27" t="n"/>
      <c r="W29" s="27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 ht="7.5" customHeight="1" s="160" thickTop="1">
      <c r="A30" s="40" t="n"/>
      <c r="B30" s="41" t="n"/>
      <c r="C30" s="67" t="n"/>
      <c r="D30" s="44" t="n"/>
      <c r="E30" s="44" t="n"/>
      <c r="F30" s="44" t="n"/>
      <c r="G30" s="44" t="n"/>
      <c r="H30" s="44" t="n"/>
      <c r="I30" s="44" t="n"/>
      <c r="J30" s="48" t="n"/>
      <c r="K30" s="48" t="n"/>
      <c r="L30" s="48" t="n"/>
      <c r="M30" s="48" t="n"/>
      <c r="N30" s="48" t="n"/>
      <c r="O30" s="48" t="n"/>
      <c r="P30" s="48" t="n"/>
      <c r="Q30" s="144" t="n"/>
      <c r="R30" s="13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 ht="21.75" customHeight="1" s="160">
      <c r="A31" s="85" t="inlineStr">
        <is>
          <t>30/04/2026</t>
        </is>
      </c>
      <c r="B31" s="52" t="n"/>
      <c r="C31" s="53" t="inlineStr">
        <is>
          <t>30/04/2026</t>
        </is>
      </c>
      <c r="D31" s="54" t="inlineStr">
        <is>
          <t>31/05/2026</t>
        </is>
      </c>
      <c r="E31" s="54" t="inlineStr">
        <is>
          <t>30/06/2026</t>
        </is>
      </c>
      <c r="F31" s="54" t="n"/>
      <c r="G31" s="54" t="n"/>
      <c r="H31" s="54" t="n"/>
      <c r="I31" s="54" t="n"/>
      <c r="J31" s="57" t="n"/>
      <c r="K31" s="57" t="n"/>
      <c r="L31" s="57" t="n"/>
      <c r="M31" s="57" t="n"/>
      <c r="N31" s="57" t="n"/>
      <c r="O31" s="57" t="n"/>
      <c r="P31" s="57" t="n"/>
      <c r="Q31" s="145" t="n"/>
      <c r="R31" s="132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 ht="21.75" customHeight="1" s="160">
      <c r="A32" s="86" t="inlineStr">
        <is>
          <t>Saldo MPS</t>
        </is>
      </c>
      <c r="B32" s="87" t="inlineStr">
        <is>
          <t>30/06/2026</t>
        </is>
      </c>
      <c r="C32" s="88" t="inlineStr">
        <is>
          <t>726,946.18 €</t>
        </is>
      </c>
      <c r="D32" s="89" t="n">
        <v>469192.55</v>
      </c>
      <c r="E32" s="54" t="n">
        <v>791654.1</v>
      </c>
      <c r="F32" s="54" t="n"/>
      <c r="G32" s="54" t="n"/>
      <c r="H32" s="54" t="n"/>
      <c r="I32" s="54" t="n"/>
      <c r="J32" s="57" t="n"/>
      <c r="K32" s="57" t="n"/>
      <c r="L32" s="57" t="n"/>
      <c r="M32" s="57" t="n"/>
      <c r="N32" s="57" t="n"/>
      <c r="O32" s="57" t="n"/>
      <c r="P32" s="57" t="n"/>
      <c r="Q32" s="145" t="n"/>
      <c r="R32" s="13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t="21.75" customHeight="1" s="160">
      <c r="A33" s="86" t="inlineStr">
        <is>
          <t>Saldo Intesa</t>
        </is>
      </c>
      <c r="B33" s="90" t="n"/>
      <c r="C33" s="88" t="inlineStr">
        <is>
          <t>136,312.45 €</t>
        </is>
      </c>
      <c r="D33" s="54" t="n">
        <v>111933.31</v>
      </c>
      <c r="E33" s="54" t="n">
        <v>136312.45</v>
      </c>
      <c r="F33" s="54" t="n"/>
      <c r="G33" s="54" t="n"/>
      <c r="H33" s="54" t="n"/>
      <c r="I33" s="54" t="n"/>
      <c r="J33" s="57" t="n"/>
      <c r="K33" s="57" t="n"/>
      <c r="L33" s="57" t="n"/>
      <c r="M33" s="57" t="n"/>
      <c r="N33" s="57" t="n"/>
      <c r="O33" s="57" t="n"/>
      <c r="P33" s="57" t="n"/>
      <c r="Q33" s="145" t="n"/>
      <c r="R33" s="132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 ht="21.75" customHeight="1" s="160">
      <c r="A34" s="86" t="n"/>
      <c r="B34" s="52" t="n"/>
      <c r="C34" s="53" t="n"/>
      <c r="D34" s="54" t="n"/>
      <c r="E34" s="54" t="n"/>
      <c r="F34" s="54" t="n"/>
      <c r="G34" s="54" t="n"/>
      <c r="H34" s="54" t="n"/>
      <c r="I34" s="54" t="n"/>
      <c r="J34" s="57" t="n"/>
      <c r="K34" s="57" t="n"/>
      <c r="L34" s="57" t="n"/>
      <c r="M34" s="57" t="n"/>
      <c r="N34" s="57" t="n"/>
      <c r="O34" s="57" t="n"/>
      <c r="P34" s="57" t="n"/>
      <c r="Q34" s="145" t="n"/>
      <c r="R34" s="133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t="21.75" customHeight="1" s="160" thickBot="1">
      <c r="A35" s="91" t="inlineStr">
        <is>
          <t xml:space="preserve">TOTALE BANCHE </t>
        </is>
      </c>
      <c r="B35" s="92" t="n"/>
      <c r="C35" s="93">
        <f>SUM(C32:C34)</f>
        <v/>
      </c>
      <c r="D35" s="94" t="n"/>
      <c r="E35" s="94" t="n"/>
      <c r="F35" s="94" t="n"/>
      <c r="G35" s="94" t="n"/>
      <c r="H35" s="94" t="n"/>
      <c r="I35" s="94" t="n"/>
      <c r="J35" s="95" t="n"/>
      <c r="K35" s="95" t="n"/>
      <c r="L35" s="95" t="n"/>
      <c r="M35" s="95" t="n"/>
      <c r="N35" s="95" t="n"/>
      <c r="O35" s="95" t="n"/>
      <c r="P35" s="95" t="n"/>
      <c r="Q35" s="150" t="n"/>
      <c r="R35" s="139" t="n"/>
      <c r="S35" s="27" t="n"/>
      <c r="T35" s="27" t="n"/>
      <c r="U35" s="27" t="n"/>
      <c r="V35" s="27" t="n"/>
      <c r="W35" s="27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 ht="7.5" customHeight="1" s="160" thickTop="1">
      <c r="A36" s="40" t="n"/>
      <c r="B36" s="41" t="n"/>
      <c r="C36" s="67" t="n"/>
      <c r="D36" s="44" t="n"/>
      <c r="E36" s="44" t="n"/>
      <c r="F36" s="44" t="n"/>
      <c r="G36" s="44" t="n"/>
      <c r="H36" s="44" t="n"/>
      <c r="I36" s="44" t="n"/>
      <c r="J36" s="48" t="n"/>
      <c r="K36" s="48" t="n"/>
      <c r="L36" s="48" t="n"/>
      <c r="M36" s="48" t="n"/>
      <c r="N36" s="48" t="n"/>
      <c r="O36" s="48" t="n"/>
      <c r="P36" s="48" t="n"/>
      <c r="Q36" s="144" t="n"/>
      <c r="R36" s="13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t="25.5" customHeight="1" s="160" thickBot="1">
      <c r="A37" s="96" t="inlineStr">
        <is>
          <t xml:space="preserve">Saldo di Periodo/Proiettato </t>
        </is>
      </c>
      <c r="B37" s="97" t="n"/>
      <c r="C37" s="98">
        <f>C4+C29</f>
        <v/>
      </c>
      <c r="D37" s="99">
        <f>D4+D29</f>
        <v/>
      </c>
      <c r="E37" s="99">
        <f>E4+E29</f>
        <v/>
      </c>
      <c r="F37" s="99">
        <f>F4+F29</f>
        <v/>
      </c>
      <c r="G37" s="99">
        <f>G4+G29</f>
        <v/>
      </c>
      <c r="H37" s="99">
        <f>H4+H29</f>
        <v/>
      </c>
      <c r="I37" s="99">
        <f>I4+I29</f>
        <v/>
      </c>
      <c r="J37" s="99">
        <f>J4+J29</f>
        <v/>
      </c>
      <c r="K37" s="99">
        <f>K4+K29</f>
        <v/>
      </c>
      <c r="L37" s="99">
        <f>L4+L29</f>
        <v/>
      </c>
      <c r="M37" s="99">
        <f>M4+M29</f>
        <v/>
      </c>
      <c r="N37" s="99">
        <f>N4+N29</f>
        <v/>
      </c>
      <c r="O37" s="99">
        <f>O4+O29</f>
        <v/>
      </c>
      <c r="P37" s="99">
        <f>P4+P29</f>
        <v/>
      </c>
      <c r="Q37" s="99">
        <f>Q4+Q29</f>
        <v/>
      </c>
      <c r="R37" s="140">
        <f>Q37</f>
        <v/>
      </c>
      <c r="S37" s="27" t="n"/>
      <c r="T37" s="27" t="n"/>
      <c r="U37" s="27" t="n"/>
      <c r="V37" s="27" t="n"/>
      <c r="W37" s="27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 ht="7.5" customHeight="1" s="160" thickTop="1">
      <c r="A38" s="100" t="n"/>
      <c r="B38" s="41" t="n"/>
      <c r="C38" s="67" t="n"/>
      <c r="D38" s="44" t="n"/>
      <c r="E38" s="44" t="n"/>
      <c r="F38" s="44" t="n"/>
      <c r="G38" s="44" t="n"/>
      <c r="H38" s="44" t="n"/>
      <c r="I38" s="44" t="n"/>
      <c r="J38" s="48" t="n"/>
      <c r="K38" s="48" t="n"/>
      <c r="L38" s="48" t="n"/>
      <c r="M38" s="48" t="n"/>
      <c r="N38" s="48" t="n"/>
      <c r="O38" s="48" t="n"/>
      <c r="P38" s="48" t="n"/>
      <c r="Q38" s="144" t="n"/>
      <c r="R38" s="13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t="21.75" customHeight="1" s="160">
      <c r="A39" s="86" t="inlineStr">
        <is>
          <t xml:space="preserve">Fin. MPS 60 mesi </t>
        </is>
      </c>
      <c r="B39" s="52" t="n"/>
      <c r="C39" s="53" t="n">
        <v>0</v>
      </c>
      <c r="D39" s="54" t="n">
        <v>0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7" t="n">
        <v>0</v>
      </c>
      <c r="K39" s="57" t="n">
        <v>0</v>
      </c>
      <c r="L39" s="57" t="n"/>
      <c r="M39" s="57" t="n"/>
      <c r="N39" s="57" t="n"/>
      <c r="O39" s="57" t="n"/>
      <c r="P39" s="57" t="n"/>
      <c r="Q39" s="145" t="n"/>
      <c r="R39" s="132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  <row r="40" ht="21.75" customHeight="1" s="160">
      <c r="A40" s="86" t="n"/>
      <c r="B40" s="52" t="n"/>
      <c r="C40" s="53" t="n"/>
      <c r="D40" s="54" t="n"/>
      <c r="E40" s="54" t="n"/>
      <c r="F40" s="54" t="n"/>
      <c r="G40" s="54" t="n"/>
      <c r="H40" s="54" t="n"/>
      <c r="I40" s="54" t="n"/>
      <c r="J40" s="57" t="n"/>
      <c r="K40" s="57" t="n"/>
      <c r="L40" s="57" t="n"/>
      <c r="M40" s="57" t="n"/>
      <c r="N40" s="57" t="n"/>
      <c r="O40" s="57" t="n"/>
      <c r="P40" s="57" t="n"/>
      <c r="Q40" s="145" t="n"/>
      <c r="R40" s="132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t="21.75" customHeight="1" s="160">
      <c r="A41" s="86" t="n"/>
      <c r="B41" s="52" t="n"/>
      <c r="C41" s="53" t="n"/>
      <c r="D41" s="54" t="n"/>
      <c r="E41" s="54" t="n"/>
      <c r="F41" s="54" t="n"/>
      <c r="G41" s="54" t="n"/>
      <c r="H41" s="54" t="n"/>
      <c r="I41" s="54" t="n"/>
      <c r="J41" s="57" t="n"/>
      <c r="K41" s="57" t="n"/>
      <c r="L41" s="57" t="n"/>
      <c r="M41" s="57" t="n"/>
      <c r="N41" s="57" t="n"/>
      <c r="O41" s="57" t="n"/>
      <c r="P41" s="57" t="n"/>
      <c r="Q41" s="145" t="n"/>
      <c r="R41" s="132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</row>
    <row r="42" ht="21.75" customHeight="1" s="160">
      <c r="A42" s="86" t="n"/>
      <c r="B42" s="52" t="n"/>
      <c r="C42" s="53" t="n"/>
      <c r="D42" s="54" t="n"/>
      <c r="E42" s="54" t="n"/>
      <c r="F42" s="54" t="n"/>
      <c r="G42" s="54" t="n"/>
      <c r="H42" s="54" t="n"/>
      <c r="I42" s="54" t="n"/>
      <c r="J42" s="57" t="n"/>
      <c r="K42" s="57" t="n"/>
      <c r="L42" s="57" t="n"/>
      <c r="M42" s="57" t="n"/>
      <c r="N42" s="57" t="n"/>
      <c r="O42" s="57" t="n"/>
      <c r="P42" s="57" t="n"/>
      <c r="Q42" s="145" t="n"/>
      <c r="R42" s="133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 ht="21.75" customHeight="1" s="160" thickBot="1">
      <c r="A43" s="101" t="inlineStr">
        <is>
          <t xml:space="preserve">TOTALE AFFIDAMENTI  </t>
        </is>
      </c>
      <c r="B43" s="102" t="n"/>
      <c r="C43" s="103">
        <f>SUM(C39:C42)</f>
        <v/>
      </c>
      <c r="D43" s="104">
        <f>SUM(D39:D42)</f>
        <v/>
      </c>
      <c r="E43" s="104">
        <f>SUM(E39:E42)</f>
        <v/>
      </c>
      <c r="F43" s="104">
        <f>SUM(F39:F42)</f>
        <v/>
      </c>
      <c r="G43" s="104">
        <f>SUM(G39:G42)</f>
        <v/>
      </c>
      <c r="H43" s="104">
        <f>SUM(H39:H42)</f>
        <v/>
      </c>
      <c r="I43" s="104">
        <f>SUM(I39:I42)</f>
        <v/>
      </c>
      <c r="J43" s="105">
        <f>SUM(J39:J42)</f>
        <v/>
      </c>
      <c r="K43" s="105">
        <f>SUM(K39:K42)</f>
        <v/>
      </c>
      <c r="L43" s="105">
        <f>SUM(L39:L42)</f>
        <v/>
      </c>
      <c r="M43" s="105">
        <f>SUM(M39:M42)</f>
        <v/>
      </c>
      <c r="N43" s="105">
        <f>SUM(N39:N42)</f>
        <v/>
      </c>
      <c r="O43" s="105">
        <f>SUM(O39:O42)</f>
        <v/>
      </c>
      <c r="P43" s="105">
        <f>SUM(P39:P42)</f>
        <v/>
      </c>
      <c r="Q43" s="151">
        <f>SUM(Q39:Q42)</f>
        <v/>
      </c>
      <c r="R43" s="141">
        <f>SUM(C43:Q43)</f>
        <v/>
      </c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</row>
    <row r="44" ht="7.5" customHeight="1" s="160" thickTop="1">
      <c r="A44" s="40" t="n"/>
      <c r="B44" s="41" t="n"/>
      <c r="C44" s="67" t="n"/>
      <c r="D44" s="44" t="n"/>
      <c r="E44" s="44" t="n"/>
      <c r="F44" s="44" t="n"/>
      <c r="G44" s="44" t="n"/>
      <c r="H44" s="44" t="n"/>
      <c r="I44" s="44" t="n"/>
      <c r="J44" s="48" t="n"/>
      <c r="K44" s="48" t="n"/>
      <c r="L44" s="48" t="n"/>
      <c r="M44" s="48" t="n"/>
      <c r="N44" s="48" t="n"/>
      <c r="O44" s="48" t="n"/>
      <c r="P44" s="48" t="n"/>
      <c r="Q44" s="144" t="n"/>
      <c r="R44" s="13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 ht="25.5" customHeight="1" s="160" thickBot="1">
      <c r="A45" s="96" t="inlineStr">
        <is>
          <t>CASH FLOW CON AFFID.</t>
        </is>
      </c>
      <c r="B45" s="97" t="n"/>
      <c r="C45" s="106">
        <f>C37+C43</f>
        <v/>
      </c>
      <c r="D45" s="107">
        <f>D37+D43</f>
        <v/>
      </c>
      <c r="E45" s="107">
        <f>E37+E43</f>
        <v/>
      </c>
      <c r="F45" s="107">
        <f>F37+F43</f>
        <v/>
      </c>
      <c r="G45" s="107">
        <f>G37+G43</f>
        <v/>
      </c>
      <c r="H45" s="107">
        <f>H37+H43</f>
        <v/>
      </c>
      <c r="I45" s="107">
        <f>I37+I43</f>
        <v/>
      </c>
      <c r="J45" s="108">
        <f>J37+J43</f>
        <v/>
      </c>
      <c r="K45" s="108">
        <f>K37+K43</f>
        <v/>
      </c>
      <c r="L45" s="108">
        <f>L37+L43</f>
        <v/>
      </c>
      <c r="M45" s="108">
        <f>M37+M43</f>
        <v/>
      </c>
      <c r="N45" s="108">
        <f>N37+N43</f>
        <v/>
      </c>
      <c r="O45" s="108">
        <f>O37+O43</f>
        <v/>
      </c>
      <c r="P45" s="108">
        <f>P37+P43</f>
        <v/>
      </c>
      <c r="Q45" s="152">
        <f>Q37+Q43</f>
        <v/>
      </c>
      <c r="R45" s="140">
        <f>Q45</f>
        <v/>
      </c>
      <c r="S45" s="27" t="n"/>
      <c r="T45" s="27" t="n"/>
      <c r="U45" s="27" t="n"/>
      <c r="V45" s="27" t="n"/>
      <c r="W45" s="27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</row>
    <row r="46" ht="15.75" customHeight="1" s="160" thickTop="1">
      <c r="A46" s="5" t="n"/>
      <c r="B46" s="5" t="n"/>
      <c r="C46" s="109" t="n"/>
      <c r="D46" s="109" t="n"/>
      <c r="E46" s="109" t="n"/>
      <c r="F46" s="109" t="n"/>
      <c r="G46" s="109" t="n"/>
      <c r="H46" s="109" t="n"/>
      <c r="I46" s="109" t="n"/>
      <c r="J46" s="109" t="n"/>
      <c r="K46" s="109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 ht="15.75" customHeight="1" s="160">
      <c r="A47" s="5" t="n"/>
      <c r="B47" s="5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</row>
    <row r="48" ht="15.75" customHeight="1" s="160">
      <c r="A48" s="5" t="n"/>
      <c r="B48" s="5" t="n"/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 ht="15.75" customHeight="1" s="160">
      <c r="A49" s="5" t="n"/>
      <c r="B49" s="5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</row>
    <row r="50" ht="15.75" customHeight="1" s="160">
      <c r="A50" s="5" t="n"/>
      <c r="B50" s="5" t="n"/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 ht="15.75" customHeight="1" s="160">
      <c r="A51" s="5" t="n"/>
      <c r="B51" s="5" t="n"/>
      <c r="C51" s="109" t="n"/>
      <c r="D51" s="109" t="n"/>
      <c r="E51" s="109" t="n"/>
      <c r="F51" s="109" t="n"/>
      <c r="G51" s="109" t="n"/>
      <c r="H51" s="109" t="n"/>
      <c r="I51" s="109" t="n"/>
      <c r="J51" s="109" t="n"/>
      <c r="K51" s="109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</row>
    <row r="52" ht="15.75" customHeight="1" s="160">
      <c r="A52" s="5" t="n"/>
      <c r="B52" s="5" t="n"/>
      <c r="C52" s="109" t="n"/>
      <c r="D52" s="109" t="n"/>
      <c r="E52" s="109" t="n"/>
      <c r="F52" s="109" t="n"/>
      <c r="G52" s="109" t="n"/>
      <c r="H52" s="109" t="n"/>
      <c r="I52" s="109" t="n"/>
      <c r="J52" s="109" t="n"/>
      <c r="K52" s="109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 ht="15.75" customHeight="1" s="160">
      <c r="A53" s="5" t="n"/>
      <c r="B53" s="5" t="n"/>
      <c r="C53" s="109" t="n"/>
      <c r="D53" s="109" t="n"/>
      <c r="E53" s="109" t="n"/>
      <c r="F53" s="109" t="n"/>
      <c r="G53" s="109" t="n"/>
      <c r="H53" s="109" t="n"/>
      <c r="I53" s="109" t="n"/>
      <c r="J53" s="109" t="n"/>
      <c r="K53" s="109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</row>
    <row r="54" ht="15.75" customHeight="1" s="160">
      <c r="A54" s="5" t="n"/>
      <c r="B54" s="5" t="n"/>
      <c r="C54" s="109" t="n"/>
      <c r="D54" s="109" t="n"/>
      <c r="E54" s="109" t="n"/>
      <c r="F54" s="109" t="n"/>
      <c r="G54" s="109" t="n"/>
      <c r="H54" s="109" t="n"/>
      <c r="I54" s="109" t="n"/>
      <c r="J54" s="109" t="n"/>
      <c r="K54" s="109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 ht="15.75" customHeight="1" s="160">
      <c r="A55" s="5" t="n"/>
      <c r="B55" s="5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</row>
    <row r="56" ht="15.75" customHeight="1" s="160">
      <c r="A56" s="5" t="n"/>
      <c r="B56" s="5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 ht="15.75" customHeight="1" s="160">
      <c r="A57" s="5" t="n"/>
      <c r="B57" s="5" t="n"/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</row>
    <row r="58" ht="15.75" customHeight="1" s="160">
      <c r="A58" s="5" t="n"/>
      <c r="B58" s="5" t="n"/>
      <c r="C58" s="109" t="n"/>
      <c r="D58" s="109" t="n"/>
      <c r="E58" s="109" t="n"/>
      <c r="F58" s="109" t="n"/>
      <c r="G58" s="109" t="n"/>
      <c r="H58" s="109" t="n"/>
      <c r="I58" s="109" t="n"/>
      <c r="J58" s="109" t="n"/>
      <c r="K58" s="109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 ht="15.75" customHeight="1" s="160">
      <c r="A59" s="5" t="n"/>
      <c r="B59" s="5" t="n"/>
      <c r="C59" s="109" t="n"/>
      <c r="D59" s="109" t="n"/>
      <c r="E59" s="109" t="n"/>
      <c r="F59" s="109" t="n"/>
      <c r="G59" s="109" t="n"/>
      <c r="H59" s="109" t="n"/>
      <c r="I59" s="109" t="n"/>
      <c r="J59" s="109" t="n"/>
      <c r="K59" s="109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</row>
    <row r="60" ht="15.75" customHeight="1" s="160">
      <c r="A60" s="5" t="n"/>
      <c r="B60" s="5" t="n"/>
      <c r="C60" s="109" t="n"/>
      <c r="D60" s="109" t="n"/>
      <c r="E60" s="109" t="n"/>
      <c r="F60" s="109" t="n"/>
      <c r="G60" s="109" t="n"/>
      <c r="H60" s="109" t="n"/>
      <c r="I60" s="109" t="n"/>
      <c r="J60" s="109" t="n"/>
      <c r="K60" s="109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 ht="15.75" customHeight="1" s="160">
      <c r="A61" s="5" t="n"/>
      <c r="B61" s="5" t="n"/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</row>
    <row r="62" ht="15.75" customHeight="1" s="160">
      <c r="A62" s="5" t="n"/>
      <c r="B62" s="5" t="n"/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 ht="15.75" customHeight="1" s="160">
      <c r="A63" s="5" t="n"/>
      <c r="B63" s="5" t="n"/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</row>
    <row r="64" ht="15.75" customHeight="1" s="160">
      <c r="A64" s="5" t="n"/>
      <c r="B64" s="5" t="n"/>
      <c r="C64" s="109" t="n"/>
      <c r="D64" s="109" t="n"/>
      <c r="E64" s="109" t="n"/>
      <c r="F64" s="109" t="n"/>
      <c r="G64" s="109" t="n"/>
      <c r="H64" s="109" t="n"/>
      <c r="I64" s="109" t="n"/>
      <c r="J64" s="109" t="n"/>
      <c r="K64" s="109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 ht="15.75" customHeight="1" s="160">
      <c r="A65" s="5" t="n"/>
      <c r="B65" s="5" t="n"/>
      <c r="C65" s="109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</row>
    <row r="66" ht="15.75" customHeight="1" s="160">
      <c r="A66" s="5" t="n"/>
      <c r="B66" s="5" t="n"/>
      <c r="C66" s="109" t="n"/>
      <c r="D66" s="109" t="n"/>
      <c r="E66" s="109" t="n"/>
      <c r="F66" s="109" t="n"/>
      <c r="G66" s="109" t="n"/>
      <c r="H66" s="109" t="n"/>
      <c r="I66" s="109" t="n"/>
      <c r="J66" s="109" t="n"/>
      <c r="K66" s="109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 ht="15.75" customHeight="1" s="160">
      <c r="A67" s="5" t="n"/>
      <c r="B67" s="5" t="n"/>
      <c r="C67" s="109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</row>
    <row r="68" ht="15.75" customHeight="1" s="160">
      <c r="A68" s="5" t="n"/>
      <c r="B68" s="5" t="n"/>
      <c r="C68" s="109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 ht="15.75" customHeight="1" s="160">
      <c r="A69" s="5" t="n"/>
      <c r="B69" s="5" t="n"/>
      <c r="C69" s="109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</row>
    <row r="70" ht="15.75" customHeight="1" s="160">
      <c r="A70" s="5" t="n"/>
      <c r="B70" s="5" t="n"/>
      <c r="C70" s="109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 ht="15.75" customHeight="1" s="160">
      <c r="A71" s="5" t="n"/>
      <c r="B71" s="5" t="n"/>
      <c r="C71" s="109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</row>
    <row r="72" ht="15.75" customHeight="1" s="160">
      <c r="A72" s="5" t="n"/>
      <c r="B72" s="5" t="n"/>
      <c r="C72" s="109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 ht="15.75" customHeight="1" s="160">
      <c r="A73" s="5" t="n"/>
      <c r="B73" s="5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</row>
    <row r="74" ht="15.75" customHeight="1" s="160">
      <c r="A74" s="5" t="n"/>
      <c r="B74" s="5" t="n"/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 ht="15.75" customHeight="1" s="160">
      <c r="A75" s="5" t="n"/>
      <c r="B75" s="5" t="n"/>
      <c r="C75" s="109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</row>
    <row r="76" ht="15.75" customHeight="1" s="160">
      <c r="A76" s="5" t="n"/>
      <c r="B76" s="5" t="n"/>
      <c r="C76" s="109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 ht="15.75" customHeight="1" s="160">
      <c r="A77" s="5" t="n"/>
      <c r="B77" s="5" t="n"/>
      <c r="C77" s="109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</row>
    <row r="78" ht="15.75" customHeight="1" s="160">
      <c r="A78" s="5" t="n"/>
      <c r="B78" s="5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 ht="15.75" customHeight="1" s="160">
      <c r="A79" s="5" t="n"/>
      <c r="B79" s="5" t="n"/>
      <c r="C79" s="109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</row>
    <row r="80" ht="15.75" customHeight="1" s="160">
      <c r="A80" s="5" t="n"/>
      <c r="B80" s="5" t="n"/>
      <c r="C80" s="109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 ht="15.75" customHeight="1" s="160">
      <c r="A81" s="5" t="n"/>
      <c r="B81" s="5" t="n"/>
      <c r="C81" s="109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</row>
    <row r="82" ht="15.75" customHeight="1" s="160">
      <c r="A82" s="5" t="n"/>
      <c r="B82" s="5" t="n"/>
      <c r="C82" s="109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 ht="15.75" customHeight="1" s="160">
      <c r="A83" s="5" t="n"/>
      <c r="B83" s="5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</row>
    <row r="84" ht="15.75" customHeight="1" s="160">
      <c r="A84" s="5" t="n"/>
      <c r="B84" s="5" t="n"/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 ht="15.75" customHeight="1" s="160">
      <c r="A85" s="5" t="n"/>
      <c r="B85" s="5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</row>
    <row r="86" ht="15.75" customHeight="1" s="160">
      <c r="A86" s="5" t="n"/>
      <c r="B86" s="5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 ht="15.75" customHeight="1" s="160">
      <c r="A87" s="5" t="n"/>
      <c r="B87" s="5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</row>
    <row r="88" ht="15.75" customHeight="1" s="160">
      <c r="A88" s="5" t="n"/>
      <c r="B88" s="5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 ht="15.75" customHeight="1" s="160">
      <c r="A89" s="5" t="n"/>
      <c r="B89" s="5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</row>
    <row r="90" ht="15.75" customHeight="1" s="160">
      <c r="A90" s="5" t="n"/>
      <c r="B90" s="5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 ht="15.75" customHeight="1" s="160">
      <c r="A91" s="5" t="n"/>
      <c r="B91" s="5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</row>
    <row r="92" ht="15.75" customHeight="1" s="160">
      <c r="A92" s="5" t="n"/>
      <c r="B92" s="5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 ht="15.75" customHeight="1" s="160">
      <c r="A93" s="5" t="n"/>
      <c r="B93" s="5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</row>
    <row r="94" ht="15.75" customHeight="1" s="160">
      <c r="A94" s="5" t="n"/>
      <c r="B94" s="5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 ht="15.75" customHeight="1" s="160">
      <c r="A95" s="5" t="n"/>
      <c r="B95" s="5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</row>
    <row r="96" ht="15.75" customHeight="1" s="160">
      <c r="A96" s="5" t="n"/>
      <c r="B96" s="5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 ht="15.75" customHeight="1" s="160">
      <c r="A97" s="5" t="n"/>
      <c r="B97" s="5" t="n"/>
      <c r="C97" s="109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</row>
    <row r="98" ht="15.75" customHeight="1" s="160">
      <c r="A98" s="5" t="n"/>
      <c r="B98" s="5" t="n"/>
      <c r="C98" s="109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 ht="15.75" customHeight="1" s="160">
      <c r="A99" s="5" t="n"/>
      <c r="B99" s="5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</row>
    <row r="100" ht="15.75" customHeight="1" s="160">
      <c r="A100" s="5" t="n"/>
      <c r="B100" s="5" t="n"/>
      <c r="C100" s="109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 ht="15.75" customHeight="1" s="160">
      <c r="A101" s="5" t="n"/>
      <c r="B101" s="5" t="n"/>
      <c r="C101" s="109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</row>
    <row r="102" ht="15.75" customHeight="1" s="160">
      <c r="A102" s="5" t="n"/>
      <c r="B102" s="5" t="n"/>
      <c r="C102" s="109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 ht="15.75" customHeight="1" s="160">
      <c r="A103" s="5" t="n"/>
      <c r="B103" s="5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</row>
    <row r="104" ht="15.75" customHeight="1" s="160">
      <c r="A104" s="5" t="n"/>
      <c r="B104" s="5" t="n"/>
      <c r="C104" s="109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</row>
    <row r="105" ht="15.75" customHeight="1" s="160">
      <c r="A105" s="5" t="n"/>
      <c r="B105" s="5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</row>
    <row r="106" ht="15.75" customHeight="1" s="160">
      <c r="A106" s="5" t="n"/>
      <c r="B106" s="5" t="n"/>
      <c r="C106" s="109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</row>
    <row r="107" ht="15.75" customHeight="1" s="160">
      <c r="A107" s="5" t="n"/>
      <c r="B107" s="5" t="n"/>
      <c r="C107" s="109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</row>
    <row r="108" ht="15.75" customHeight="1" s="160">
      <c r="A108" s="5" t="n"/>
      <c r="B108" s="5" t="n"/>
      <c r="C108" s="109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</row>
    <row r="109" ht="15.75" customHeight="1" s="160">
      <c r="A109" s="5" t="n"/>
      <c r="B109" s="5" t="n"/>
      <c r="C109" s="109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</row>
    <row r="110" ht="15.75" customHeight="1" s="160">
      <c r="A110" s="5" t="n"/>
      <c r="B110" s="5" t="n"/>
      <c r="C110" s="109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</row>
    <row r="111" ht="15.75" customHeight="1" s="160">
      <c r="A111" s="5" t="n"/>
      <c r="B111" s="5" t="n"/>
      <c r="C111" s="109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</row>
    <row r="112" ht="15.75" customHeight="1" s="160">
      <c r="A112" s="5" t="n"/>
      <c r="B112" s="5" t="n"/>
      <c r="C112" s="109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</row>
    <row r="113" ht="15.75" customHeight="1" s="160">
      <c r="A113" s="5" t="n"/>
      <c r="B113" s="5" t="n"/>
      <c r="C113" s="109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</row>
    <row r="114" ht="15.75" customHeight="1" s="160">
      <c r="A114" s="5" t="n"/>
      <c r="B114" s="5" t="n"/>
      <c r="C114" s="109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</row>
    <row r="115" ht="15.75" customHeight="1" s="160">
      <c r="A115" s="5" t="n"/>
      <c r="B115" s="5" t="n"/>
      <c r="C115" s="109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</row>
    <row r="116" ht="15.75" customHeight="1" s="160">
      <c r="A116" s="5" t="n"/>
      <c r="B116" s="5" t="n"/>
      <c r="C116" s="109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</row>
    <row r="117" ht="15.75" customHeight="1" s="160">
      <c r="A117" s="5" t="n"/>
      <c r="B117" s="5" t="n"/>
      <c r="C117" s="109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</row>
    <row r="118" ht="15.75" customHeight="1" s="160">
      <c r="A118" s="5" t="n"/>
      <c r="B118" s="5" t="n"/>
      <c r="C118" s="109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</row>
    <row r="119" ht="15.75" customHeight="1" s="160">
      <c r="A119" s="5" t="n"/>
      <c r="B119" s="5" t="n"/>
      <c r="C119" s="109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</row>
    <row r="120" ht="15.75" customHeight="1" s="160">
      <c r="A120" s="5" t="n"/>
      <c r="B120" s="5" t="n"/>
      <c r="C120" s="109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</row>
    <row r="121" ht="15.75" customHeight="1" s="160">
      <c r="A121" s="5" t="n"/>
      <c r="B121" s="5" t="n"/>
      <c r="C121" s="109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</row>
    <row r="122" ht="15.75" customHeight="1" s="160">
      <c r="A122" s="5" t="n"/>
      <c r="B122" s="5" t="n"/>
      <c r="C122" s="109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</row>
    <row r="123" ht="15.75" customHeight="1" s="160">
      <c r="A123" s="5" t="n"/>
      <c r="B123" s="5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</row>
    <row r="124" ht="15.75" customHeight="1" s="160">
      <c r="A124" s="5" t="n"/>
      <c r="B124" s="5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 ht="15.75" customHeight="1" s="160">
      <c r="A125" s="5" t="n"/>
      <c r="B125" s="5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</row>
    <row r="126" ht="15.75" customHeight="1" s="160">
      <c r="A126" s="5" t="n"/>
      <c r="B126" s="5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</row>
    <row r="127" ht="15.75" customHeight="1" s="160">
      <c r="A127" s="5" t="n"/>
      <c r="B127" s="5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</row>
    <row r="128" ht="15.75" customHeight="1" s="160">
      <c r="A128" s="5" t="n"/>
      <c r="B128" s="5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 ht="15.75" customHeight="1" s="160">
      <c r="A129" s="5" t="n"/>
      <c r="B129" s="5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</row>
    <row r="130" ht="15.75" customHeight="1" s="160">
      <c r="A130" s="5" t="n"/>
      <c r="B130" s="5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</row>
    <row r="131" ht="15.75" customHeight="1" s="160">
      <c r="A131" s="5" t="n"/>
      <c r="B131" s="5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</row>
    <row r="132" ht="15.75" customHeight="1" s="160">
      <c r="A132" s="5" t="n"/>
      <c r="B132" s="5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</row>
    <row r="133" ht="15.75" customHeight="1" s="160">
      <c r="A133" s="5" t="n"/>
      <c r="B133" s="5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</row>
    <row r="134" ht="15.75" customHeight="1" s="160">
      <c r="A134" s="5" t="n"/>
      <c r="B134" s="5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</row>
    <row r="135" ht="15.75" customHeight="1" s="160">
      <c r="A135" s="5" t="n"/>
      <c r="B135" s="5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</row>
    <row r="136" ht="15.75" customHeight="1" s="160">
      <c r="A136" s="5" t="n"/>
      <c r="B136" s="5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</row>
    <row r="137" ht="15.75" customHeight="1" s="160">
      <c r="A137" s="5" t="n"/>
      <c r="B137" s="5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</row>
    <row r="138" ht="15.75" customHeight="1" s="160">
      <c r="A138" s="5" t="n"/>
      <c r="B138" s="5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 ht="15.75" customHeight="1" s="160">
      <c r="A139" s="5" t="n"/>
      <c r="B139" s="5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</row>
    <row r="140" ht="15.75" customHeight="1" s="160">
      <c r="A140" s="5" t="n"/>
      <c r="B140" s="5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</row>
    <row r="141" ht="15.75" customHeight="1" s="160">
      <c r="A141" s="5" t="n"/>
      <c r="B141" s="5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</row>
    <row r="142" ht="15.75" customHeight="1" s="160">
      <c r="A142" s="5" t="n"/>
      <c r="B142" s="5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</row>
    <row r="143" ht="15.75" customHeight="1" s="160">
      <c r="A143" s="5" t="n"/>
      <c r="B143" s="5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 ht="15.75" customHeight="1" s="160">
      <c r="A144" s="5" t="n"/>
      <c r="B144" s="5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</row>
    <row r="145" ht="15.75" customHeight="1" s="160">
      <c r="A145" s="5" t="n"/>
      <c r="B145" s="5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</row>
    <row r="146" ht="15.75" customHeight="1" s="160">
      <c r="A146" s="5" t="n"/>
      <c r="B146" s="5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</row>
    <row r="147" ht="15.75" customHeight="1" s="160">
      <c r="A147" s="5" t="n"/>
      <c r="B147" s="5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</row>
    <row r="148" ht="15.75" customHeight="1" s="160">
      <c r="A148" s="5" t="n"/>
      <c r="B148" s="5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</row>
    <row r="149" ht="15.75" customHeight="1" s="160">
      <c r="A149" s="5" t="n"/>
      <c r="B149" s="5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</row>
    <row r="150" ht="15.75" customHeight="1" s="160">
      <c r="A150" s="5" t="n"/>
      <c r="B150" s="5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</row>
    <row r="151" ht="15.75" customHeight="1" s="160">
      <c r="A151" s="5" t="n"/>
      <c r="B151" s="5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</row>
    <row r="152" ht="15.75" customHeight="1" s="160">
      <c r="A152" s="5" t="n"/>
      <c r="B152" s="5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</row>
    <row r="153" ht="15.75" customHeight="1" s="160">
      <c r="A153" s="5" t="n"/>
      <c r="B153" s="5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 ht="15.75" customHeight="1" s="160">
      <c r="A154" s="5" t="n"/>
      <c r="B154" s="5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</row>
    <row r="155" ht="15.75" customHeight="1" s="160">
      <c r="A155" s="5" t="n"/>
      <c r="B155" s="5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</row>
    <row r="156" ht="15.75" customHeight="1" s="160">
      <c r="A156" s="5" t="n"/>
      <c r="B156" s="5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</row>
    <row r="157" ht="15.75" customHeight="1" s="160">
      <c r="A157" s="5" t="n"/>
      <c r="B157" s="5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</row>
    <row r="158" ht="15.75" customHeight="1" s="160">
      <c r="A158" s="5" t="n"/>
      <c r="B158" s="5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</row>
    <row r="159" ht="15.75" customHeight="1" s="160">
      <c r="A159" s="5" t="n"/>
      <c r="B159" s="5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 ht="15.75" customHeight="1" s="160">
      <c r="A160" s="5" t="n"/>
      <c r="B160" s="5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</row>
    <row r="161" ht="15.75" customHeight="1" s="160">
      <c r="A161" s="5" t="n"/>
      <c r="B161" s="5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</row>
    <row r="162" ht="15.75" customHeight="1" s="160">
      <c r="A162" s="5" t="n"/>
      <c r="B162" s="5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</row>
    <row r="163" ht="15.75" customHeight="1" s="160">
      <c r="A163" s="5" t="n"/>
      <c r="B163" s="5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</row>
    <row r="164" ht="15.75" customHeight="1" s="160">
      <c r="A164" s="5" t="n"/>
      <c r="B164" s="5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</row>
    <row r="165" ht="15.75" customHeight="1" s="160">
      <c r="A165" s="5" t="n"/>
      <c r="B165" s="5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</row>
    <row r="166" ht="15.75" customHeight="1" s="160">
      <c r="A166" s="5" t="n"/>
      <c r="B166" s="5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</row>
    <row r="167" ht="15.75" customHeight="1" s="160">
      <c r="A167" s="5" t="n"/>
      <c r="B167" s="5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</row>
    <row r="168" ht="15.75" customHeight="1" s="160">
      <c r="A168" s="5" t="n"/>
      <c r="B168" s="5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 ht="15.75" customHeight="1" s="160">
      <c r="A169" s="5" t="n"/>
      <c r="B169" s="5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</row>
    <row r="170" ht="15.75" customHeight="1" s="160">
      <c r="A170" s="5" t="n"/>
      <c r="B170" s="5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</row>
    <row r="171" ht="15.75" customHeight="1" s="160">
      <c r="A171" s="5" t="n"/>
      <c r="B171" s="5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</row>
    <row r="172" ht="15.75" customHeight="1" s="160">
      <c r="A172" s="5" t="n"/>
      <c r="B172" s="5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</row>
    <row r="173" ht="15.75" customHeight="1" s="160">
      <c r="A173" s="5" t="n"/>
      <c r="B173" s="5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</row>
    <row r="174" ht="15.75" customHeight="1" s="160">
      <c r="A174" s="5" t="n"/>
      <c r="B174" s="5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</row>
    <row r="175" ht="15.75" customHeight="1" s="160">
      <c r="A175" s="5" t="n"/>
      <c r="B175" s="5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</row>
    <row r="176" ht="15.75" customHeight="1" s="160">
      <c r="A176" s="5" t="n"/>
      <c r="B176" s="5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 ht="15.75" customHeight="1" s="160">
      <c r="A177" s="5" t="n"/>
      <c r="B177" s="5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</row>
    <row r="178" ht="15.75" customHeight="1" s="160">
      <c r="A178" s="5" t="n"/>
      <c r="B178" s="5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</row>
    <row r="179" ht="15.75" customHeight="1" s="160">
      <c r="A179" s="5" t="n"/>
      <c r="B179" s="5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</row>
    <row r="180" ht="15.75" customHeight="1" s="160">
      <c r="A180" s="5" t="n"/>
      <c r="B180" s="5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</row>
    <row r="181" ht="15.75" customHeight="1" s="160">
      <c r="A181" s="5" t="n"/>
      <c r="B181" s="5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</row>
    <row r="182" ht="15.75" customHeight="1" s="160">
      <c r="A182" s="5" t="n"/>
      <c r="B182" s="5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</row>
    <row r="183" ht="15.75" customHeight="1" s="160">
      <c r="A183" s="5" t="n"/>
      <c r="B183" s="5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 ht="15.75" customHeight="1" s="160">
      <c r="A184" s="5" t="n"/>
      <c r="B184" s="5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</row>
    <row r="185" ht="15.75" customHeight="1" s="160">
      <c r="A185" s="5" t="n"/>
      <c r="B185" s="5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</row>
    <row r="186" ht="15.75" customHeight="1" s="160">
      <c r="A186" s="5" t="n"/>
      <c r="B186" s="5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</row>
    <row r="187" ht="15.75" customHeight="1" s="160">
      <c r="A187" s="5" t="n"/>
      <c r="B187" s="5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</row>
    <row r="188" ht="15.75" customHeight="1" s="160">
      <c r="A188" s="5" t="n"/>
      <c r="B188" s="5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</row>
    <row r="189" ht="15.75" customHeight="1" s="160">
      <c r="A189" s="5" t="n"/>
      <c r="B189" s="5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</row>
    <row r="190" ht="15.75" customHeight="1" s="160">
      <c r="A190" s="5" t="n"/>
      <c r="B190" s="5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</row>
    <row r="191" ht="15.75" customHeight="1" s="160">
      <c r="A191" s="5" t="n"/>
      <c r="B191" s="5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</row>
    <row r="192" ht="15.75" customHeight="1" s="160">
      <c r="A192" s="5" t="n"/>
      <c r="B192" s="5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</row>
    <row r="193" ht="15.75" customHeight="1" s="160">
      <c r="A193" s="5" t="n"/>
      <c r="B193" s="5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 ht="15.75" customHeight="1" s="160">
      <c r="A194" s="5" t="n"/>
      <c r="B194" s="5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</row>
    <row r="195" ht="15.75" customHeight="1" s="160">
      <c r="A195" s="5" t="n"/>
      <c r="B195" s="5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</row>
    <row r="196" ht="15.75" customHeight="1" s="160">
      <c r="A196" s="5" t="n"/>
      <c r="B196" s="5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</row>
    <row r="197" ht="15.75" customHeight="1" s="160">
      <c r="A197" s="5" t="n"/>
      <c r="B197" s="5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</row>
    <row r="198" ht="15.75" customHeight="1" s="160">
      <c r="A198" s="5" t="n"/>
      <c r="B198" s="5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 ht="15.75" customHeight="1" s="160">
      <c r="A199" s="5" t="n"/>
      <c r="B199" s="5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</row>
    <row r="200" ht="15.75" customHeight="1" s="160">
      <c r="A200" s="5" t="n"/>
      <c r="B200" s="5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</row>
    <row r="201" ht="15.75" customHeight="1" s="160">
      <c r="A201" s="5" t="n"/>
      <c r="B201" s="5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</row>
    <row r="202" ht="15.75" customHeight="1" s="160">
      <c r="A202" s="5" t="n"/>
      <c r="B202" s="5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</row>
    <row r="203" ht="15.75" customHeight="1" s="160">
      <c r="A203" s="5" t="n"/>
      <c r="B203" s="5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</row>
    <row r="204" ht="15.75" customHeight="1" s="160">
      <c r="A204" s="5" t="n"/>
      <c r="B204" s="5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</row>
    <row r="205" ht="15.75" customHeight="1" s="160">
      <c r="A205" s="5" t="n"/>
      <c r="B205" s="5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</row>
    <row r="206" ht="15.75" customHeight="1" s="160">
      <c r="A206" s="5" t="n"/>
      <c r="B206" s="5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</row>
    <row r="207" ht="15.75" customHeight="1" s="160">
      <c r="A207" s="5" t="n"/>
      <c r="B207" s="5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</row>
    <row r="208" ht="15.75" customHeight="1" s="160">
      <c r="A208" s="5" t="n"/>
      <c r="B208" s="5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</row>
    <row r="209" ht="15.75" customHeight="1" s="160">
      <c r="A209" s="5" t="n"/>
      <c r="B209" s="5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</row>
    <row r="210" ht="15.75" customHeight="1" s="160">
      <c r="A210" s="5" t="n"/>
      <c r="B210" s="5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 ht="15.75" customHeight="1" s="160">
      <c r="A211" s="5" t="n"/>
      <c r="B211" s="5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</row>
    <row r="212" ht="15.75" customHeight="1" s="160">
      <c r="A212" s="5" t="n"/>
      <c r="B212" s="5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  <row r="213" ht="15.75" customHeight="1" s="160">
      <c r="A213" s="5" t="n"/>
      <c r="B213" s="5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</row>
    <row r="214" ht="15.75" customHeight="1" s="160">
      <c r="A214" s="5" t="n"/>
      <c r="B214" s="5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</row>
    <row r="215" ht="15.75" customHeight="1" s="160">
      <c r="A215" s="5" t="n"/>
      <c r="B215" s="5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</row>
    <row r="216" ht="15.75" customHeight="1" s="160">
      <c r="A216" s="5" t="n"/>
      <c r="B216" s="5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</row>
    <row r="217" ht="15.75" customHeight="1" s="160">
      <c r="A217" s="5" t="n"/>
      <c r="B217" s="5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</row>
    <row r="218" ht="15.75" customHeight="1" s="160">
      <c r="A218" s="5" t="n"/>
      <c r="B218" s="5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</row>
    <row r="219" ht="15.75" customHeight="1" s="160">
      <c r="A219" s="5" t="n"/>
      <c r="B219" s="5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</row>
    <row r="220" ht="15.75" customHeight="1" s="160">
      <c r="A220" s="5" t="n"/>
      <c r="B220" s="5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</row>
    <row r="221" ht="15.75" customHeight="1" s="160">
      <c r="A221" s="5" t="n"/>
      <c r="B221" s="5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</row>
    <row r="222" ht="15.75" customHeight="1" s="160">
      <c r="A222" s="5" t="n"/>
      <c r="B222" s="5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</row>
    <row r="223" ht="15.75" customHeight="1" s="160">
      <c r="A223" s="5" t="n"/>
      <c r="B223" s="5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</row>
    <row r="224" ht="15.75" customHeight="1" s="160">
      <c r="A224" s="5" t="n"/>
      <c r="B224" s="5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</row>
    <row r="225" ht="15.75" customHeight="1" s="160">
      <c r="A225" s="5" t="n"/>
      <c r="B225" s="5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</row>
    <row r="226" ht="15.75" customHeight="1" s="160">
      <c r="A226" s="5" t="n"/>
      <c r="B226" s="5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</row>
    <row r="227" ht="15.75" customHeight="1" s="160">
      <c r="A227" s="5" t="n"/>
      <c r="B227" s="5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</row>
    <row r="228" ht="15.75" customHeight="1" s="160">
      <c r="A228" s="5" t="n"/>
      <c r="B228" s="5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</row>
    <row r="229" ht="15.75" customHeight="1" s="160">
      <c r="A229" s="5" t="n"/>
      <c r="B229" s="5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</row>
    <row r="230" ht="15.75" customHeight="1" s="160">
      <c r="A230" s="5" t="n"/>
      <c r="B230" s="5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</row>
    <row r="231" ht="15.75" customHeight="1" s="160">
      <c r="A231" s="5" t="n"/>
      <c r="B231" s="5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</row>
    <row r="232" ht="15.75" customHeight="1" s="160">
      <c r="A232" s="5" t="n"/>
      <c r="B232" s="5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</row>
    <row r="233" ht="15.75" customHeight="1" s="160">
      <c r="A233" s="5" t="n"/>
      <c r="B233" s="5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</row>
    <row r="234" ht="15.75" customHeight="1" s="160">
      <c r="A234" s="5" t="n"/>
      <c r="B234" s="5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</row>
    <row r="235" ht="15.75" customHeight="1" s="160">
      <c r="A235" s="5" t="n"/>
      <c r="B235" s="5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</row>
    <row r="236" ht="15.75" customHeight="1" s="160">
      <c r="A236" s="5" t="n"/>
      <c r="B236" s="5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</row>
    <row r="237" ht="15.75" customHeight="1" s="160">
      <c r="A237" s="5" t="n"/>
      <c r="B237" s="5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</row>
    <row r="238" ht="15.75" customHeight="1" s="160">
      <c r="A238" s="5" t="n"/>
      <c r="B238" s="5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</row>
    <row r="239" ht="15.75" customHeight="1" s="160">
      <c r="A239" s="5" t="n"/>
      <c r="B239" s="5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</row>
    <row r="240" ht="15.75" customHeight="1" s="160">
      <c r="A240" s="5" t="n"/>
      <c r="B240" s="5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</row>
    <row r="241" ht="15.75" customHeight="1" s="160">
      <c r="A241" s="5" t="n"/>
      <c r="B241" s="5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</row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3">
    <mergeCell ref="L1:T1"/>
    <mergeCell ref="C1:K1"/>
    <mergeCell ref="A2:A3"/>
  </mergeCells>
  <conditionalFormatting sqref="C29:Q29">
    <cfRule type="cellIs" priority="1" operator="greaterThan" dxfId="5">
      <formula>0</formula>
    </cfRule>
    <cfRule type="cellIs" priority="2" operator="lessThan" dxfId="4">
      <formula>0</formula>
    </cfRule>
  </conditionalFormatting>
  <conditionalFormatting sqref="C37:Q3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C45:Q45">
    <cfRule type="cellIs" priority="5" operator="greaterThan" dxfId="1">
      <formula>0</formula>
    </cfRule>
    <cfRule type="cellIs" priority="6" operator="lessThan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M6" sqref="M6"/>
    </sheetView>
  </sheetViews>
  <sheetFormatPr baseColWidth="10" defaultColWidth="11.1640625" defaultRowHeight="15" customHeight="1"/>
  <cols>
    <col width="8.6640625" customWidth="1" style="160" min="1" max="1"/>
    <col width="16.1640625" customWidth="1" style="160" min="2" max="2"/>
    <col width="12.6640625" customWidth="1" style="160" min="3" max="3"/>
    <col width="7.5" customWidth="1" style="160" min="4" max="4"/>
    <col width="8.6640625" customWidth="1" style="160" min="5" max="6"/>
    <col width="12.6640625" customWidth="1" style="160" min="7" max="11"/>
    <col width="11.6640625" customWidth="1" style="160" min="12" max="12"/>
    <col width="12" customWidth="1" style="160" min="13" max="13"/>
    <col width="11.6640625" bestFit="1" customWidth="1" style="160" min="14" max="14"/>
    <col width="16.33203125" customWidth="1" style="160" min="15" max="15"/>
    <col width="11.6640625" bestFit="1" customWidth="1" style="160" min="16" max="16"/>
    <col width="16.6640625" customWidth="1" style="160" min="17" max="17"/>
    <col width="13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Salari e Stipendi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7" t="n">
        <v>670101</v>
      </c>
      <c r="B5" s="38" t="inlineStr">
        <is>
          <t xml:space="preserve">SALARI </t>
        </is>
      </c>
      <c r="C5" s="34">
        <f>SUM(D5:L5)</f>
        <v/>
      </c>
      <c r="D5" s="46" t="n"/>
      <c r="E5" s="35" t="n"/>
      <c r="F5" s="35" t="n"/>
      <c r="G5" s="35" t="n">
        <v>94171.34</v>
      </c>
      <c r="H5" s="50" t="n">
        <v>94171.34</v>
      </c>
      <c r="I5" s="35" t="n">
        <v>90000</v>
      </c>
      <c r="J5" s="35" t="n">
        <v>80000</v>
      </c>
      <c r="K5" s="35" t="n">
        <v>120000</v>
      </c>
      <c r="L5" s="35" t="n">
        <v>40000</v>
      </c>
      <c r="M5" s="35" t="n">
        <v>22000</v>
      </c>
      <c r="N5" s="35" t="n">
        <v>14000</v>
      </c>
      <c r="O5" s="35" t="n">
        <v>14000</v>
      </c>
      <c r="P5" s="35" t="n">
        <v>13000</v>
      </c>
      <c r="Q5" s="35" t="n">
        <v>45000</v>
      </c>
      <c r="R5" s="35" t="n">
        <v>65000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7" t="n">
        <v>350301</v>
      </c>
      <c r="B6" s="55" t="inlineStr">
        <is>
          <t xml:space="preserve">F24 </t>
        </is>
      </c>
      <c r="C6" s="45">
        <f>SUM(D6:L6)</f>
        <v/>
      </c>
      <c r="D6" s="56" t="n"/>
      <c r="E6" s="47" t="n"/>
      <c r="F6" s="47" t="n"/>
      <c r="G6" s="47" t="n">
        <v>59500</v>
      </c>
      <c r="H6" s="47" t="n">
        <v>59261.47</v>
      </c>
      <c r="I6" s="47" t="n">
        <v>50000</v>
      </c>
      <c r="J6" s="47" t="n">
        <v>35000</v>
      </c>
      <c r="K6" s="47" t="n">
        <v>55000</v>
      </c>
      <c r="L6" s="47" t="n">
        <v>18000</v>
      </c>
      <c r="M6" s="47" t="n">
        <v>14500</v>
      </c>
      <c r="N6" s="47" t="n">
        <v>11000</v>
      </c>
      <c r="O6" s="47" t="n">
        <v>8000</v>
      </c>
      <c r="P6" s="47" t="n">
        <v>12000</v>
      </c>
      <c r="Q6" s="47" t="n">
        <v>24500</v>
      </c>
      <c r="R6" s="47" t="n">
        <v>34000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7" t="n"/>
      <c r="B7" s="58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7" t="n"/>
      <c r="B8" s="58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7" t="n"/>
      <c r="B9" s="58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7" t="n"/>
      <c r="B10" s="58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7" t="n"/>
      <c r="B11" s="58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7" t="n"/>
      <c r="B12" s="58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7" t="n"/>
      <c r="B13" s="58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7" t="n"/>
      <c r="B14" s="58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7" t="n"/>
      <c r="B15" s="58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7" t="n"/>
      <c r="B16" s="58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7" t="n"/>
      <c r="B17" s="58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7" t="n"/>
      <c r="B18" s="58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7" t="n"/>
      <c r="B19" s="58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7" t="n"/>
      <c r="B20" s="58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7" t="n"/>
      <c r="B21" s="58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7" t="n"/>
      <c r="B22" s="58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7" t="n"/>
      <c r="B23" s="58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7" t="n"/>
      <c r="B24" s="58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7" t="n"/>
      <c r="B25" s="58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7" t="n"/>
      <c r="B26" s="58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7" t="n"/>
      <c r="B27" s="58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7" t="n"/>
      <c r="B28" s="58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7" t="n"/>
      <c r="B29" s="58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7" t="n"/>
      <c r="B30" s="58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7" t="n"/>
      <c r="B31" s="58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7" t="n"/>
      <c r="B32" s="58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7" t="n"/>
      <c r="B33" s="58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7" t="n"/>
      <c r="B34" s="58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7" t="n"/>
      <c r="B35" s="58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7" t="n"/>
      <c r="B36" s="58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7" t="n"/>
      <c r="B37" s="58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7" t="n"/>
      <c r="B38" s="58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7" t="n"/>
      <c r="B39" s="58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7" t="n"/>
      <c r="B40" s="58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7" t="n"/>
      <c r="B41" s="58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7" t="n"/>
      <c r="B42" s="58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7" t="n"/>
      <c r="B43" s="58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7" t="n"/>
      <c r="B44" s="58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7" t="n"/>
      <c r="B45" s="58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7" t="n"/>
      <c r="B46" s="58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7" t="n"/>
      <c r="B47" s="58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7" t="n"/>
      <c r="B48" s="58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7" t="n"/>
      <c r="B49" s="58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7" t="n"/>
      <c r="B50" s="58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7" t="n"/>
      <c r="B51" s="58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7" t="n"/>
      <c r="B52" s="58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7" t="n"/>
      <c r="B53" s="58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7" t="n"/>
      <c r="B54" s="58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7" t="n"/>
      <c r="B55" s="58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7" t="n"/>
      <c r="B56" s="58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7" t="n"/>
      <c r="B57" s="58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7" t="n"/>
      <c r="B58" s="58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7" t="n"/>
      <c r="B59" s="58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7" t="n"/>
      <c r="B60" s="58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7" t="n"/>
      <c r="B61" s="58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7" t="n"/>
      <c r="B62" s="58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7" t="n"/>
      <c r="B63" s="58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7" t="n"/>
      <c r="B64" s="58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7" t="n"/>
      <c r="B65" s="58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7" t="n"/>
      <c r="B66" s="58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7" t="n"/>
      <c r="B67" s="58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7" t="n"/>
      <c r="B68" s="58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7" t="n"/>
      <c r="B69" s="111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R9" sqref="R9"/>
    </sheetView>
  </sheetViews>
  <sheetFormatPr baseColWidth="10" defaultColWidth="7.83203125" defaultRowHeight="15" customHeight="1"/>
  <cols>
    <col width="8.6640625" bestFit="1" customWidth="1" style="160" min="1" max="1"/>
    <col width="16.1640625" bestFit="1" customWidth="1" style="160" min="2" max="2"/>
    <col width="12.6640625" bestFit="1" customWidth="1" style="160" min="3" max="3"/>
    <col width="7.5" bestFit="1" customWidth="1" style="160" min="4" max="4"/>
    <col width="8.6640625" bestFit="1" customWidth="1" style="160" min="5" max="6"/>
    <col width="11.6640625" bestFit="1" customWidth="1" style="160" min="7" max="8"/>
    <col width="12.6640625" bestFit="1" customWidth="1" style="160" min="9" max="9"/>
    <col width="11.6640625" bestFit="1" customWidth="1" style="160" min="10" max="12"/>
    <col width="10.6640625" bestFit="1" customWidth="1" style="160" min="13" max="13"/>
    <col width="10.5" bestFit="1" customWidth="1" style="160" min="14" max="14"/>
    <col width="10.6640625" bestFit="1" customWidth="1" style="160" min="15" max="16"/>
    <col width="11.6640625" bestFit="1" customWidth="1" style="160" min="17" max="18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Utenze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570913</v>
      </c>
      <c r="B4" s="33" t="inlineStr">
        <is>
          <t>Energia elettrica</t>
        </is>
      </c>
      <c r="C4" s="34">
        <f>SUM(D4:L4)</f>
        <v/>
      </c>
      <c r="D4" s="35" t="n"/>
      <c r="E4" s="35" t="n"/>
      <c r="F4" s="35" t="n"/>
      <c r="G4" s="35" t="n">
        <v>27525.61</v>
      </c>
      <c r="H4" s="35" t="n">
        <v>21300</v>
      </c>
      <c r="I4" s="35" t="n">
        <v>19000</v>
      </c>
      <c r="J4" s="35" t="n">
        <v>17000</v>
      </c>
      <c r="K4" s="35" t="n">
        <v>20000</v>
      </c>
      <c r="L4" s="35" t="n">
        <v>27000</v>
      </c>
      <c r="M4" s="35" t="n">
        <v>4000</v>
      </c>
      <c r="N4" s="35" t="n">
        <v>3000</v>
      </c>
      <c r="O4" s="35" t="n">
        <v>3100</v>
      </c>
      <c r="P4" s="35" t="n">
        <v>4000</v>
      </c>
      <c r="Q4" s="35" t="n">
        <v>6600</v>
      </c>
      <c r="R4" s="35" t="n">
        <v>16000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570919</v>
      </c>
      <c r="B5" s="42" t="inlineStr">
        <is>
          <t>Gas</t>
        </is>
      </c>
      <c r="C5" s="45">
        <f>SUM(D5:L5)</f>
        <v/>
      </c>
      <c r="D5" s="47" t="n"/>
      <c r="E5" s="47" t="n"/>
      <c r="F5" s="47" t="n"/>
      <c r="G5" s="47" t="n">
        <v>6500</v>
      </c>
      <c r="H5" s="47" t="n">
        <v>6500</v>
      </c>
      <c r="I5" s="47" t="n">
        <v>6500</v>
      </c>
      <c r="J5" s="47" t="n">
        <v>6500</v>
      </c>
      <c r="K5" s="47" t="n">
        <v>6500</v>
      </c>
      <c r="L5" s="47" t="n">
        <v>6500</v>
      </c>
      <c r="M5" s="47" t="n">
        <v>450</v>
      </c>
      <c r="N5" s="47" t="n">
        <v>700</v>
      </c>
      <c r="O5" s="47" t="n">
        <v>370</v>
      </c>
      <c r="P5" s="47" t="n">
        <v>390</v>
      </c>
      <c r="Q5" s="47" t="n">
        <v>6500</v>
      </c>
      <c r="R5" s="47" t="n">
        <v>5600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18</v>
      </c>
      <c r="B6" s="42" t="inlineStr">
        <is>
          <t>Acqua - Ausino</t>
        </is>
      </c>
      <c r="C6" s="45">
        <f>SUM(D6:L6)</f>
        <v/>
      </c>
      <c r="D6" s="35" t="n"/>
      <c r="E6" s="35" t="n"/>
      <c r="F6" s="35" t="n"/>
      <c r="G6" s="35" t="n"/>
      <c r="H6" s="35" t="n">
        <v>2143.09</v>
      </c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44</v>
      </c>
      <c r="B7" s="42" t="inlineStr">
        <is>
          <t>Vodafone (intur)</t>
        </is>
      </c>
      <c r="C7" s="45">
        <f>SUM(D7:L7)</f>
        <v/>
      </c>
      <c r="D7" s="59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570909</v>
      </c>
      <c r="B8" s="42" t="inlineStr">
        <is>
          <t xml:space="preserve">Connectivia  </t>
        </is>
      </c>
      <c r="C8" s="45">
        <f>SUM(D8:L8)</f>
        <v/>
      </c>
      <c r="D8" s="47" t="n"/>
      <c r="E8" s="47" t="n"/>
      <c r="F8" s="47" t="n"/>
      <c r="G8" s="47" t="n"/>
      <c r="H8" s="47" t="n">
        <v>3500</v>
      </c>
      <c r="I8" s="47" t="n"/>
      <c r="J8" s="47" t="n">
        <v>3500</v>
      </c>
      <c r="K8" s="47" t="n"/>
      <c r="L8" s="47" t="n">
        <v>3500</v>
      </c>
      <c r="M8" s="47" t="n"/>
      <c r="N8" s="47" t="n">
        <v>3500</v>
      </c>
      <c r="O8" s="47" t="n"/>
      <c r="P8" s="47" t="n">
        <v>3500</v>
      </c>
      <c r="Q8" s="47" t="n"/>
      <c r="R8" s="47" t="n">
        <v>5000</v>
      </c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tabSelected="1" workbookViewId="0">
      <pane xSplit="3" ySplit="4" topLeftCell="E30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1.1640625" defaultRowHeight="15" customHeight="1"/>
  <cols>
    <col width="8.6640625" customWidth="1" style="160" min="1" max="1"/>
    <col width="63.6640625" customWidth="1" style="160" min="2" max="2"/>
    <col width="12.6640625" customWidth="1" style="160" min="3" max="3"/>
    <col hidden="1" width="7.5" customWidth="1" style="160" min="4" max="4"/>
    <col width="8.6640625" customWidth="1" style="160" min="5" max="6"/>
    <col width="12.6640625" customWidth="1" style="160" min="7" max="10"/>
    <col width="11.6640625" customWidth="1" style="160" min="11" max="12"/>
    <col width="8.33203125" customWidth="1" style="160" min="13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14" t="n"/>
      <c r="B3" s="115" t="inlineStr">
        <is>
          <t>PREVISIONALE</t>
        </is>
      </c>
      <c r="C3" s="116">
        <f>SUM(D3:L3)</f>
        <v/>
      </c>
      <c r="D3" s="117" t="n"/>
      <c r="E3" s="117" t="n"/>
      <c r="F3" s="117" t="n"/>
      <c r="G3" s="117" t="n">
        <v>120000</v>
      </c>
      <c r="H3" s="117" t="n">
        <v>145000</v>
      </c>
      <c r="I3" s="117" t="n">
        <v>140000</v>
      </c>
      <c r="J3" s="117" t="n">
        <v>135000</v>
      </c>
      <c r="K3" s="117" t="n">
        <v>75000</v>
      </c>
      <c r="L3" s="117" t="n">
        <v>60000</v>
      </c>
      <c r="M3" s="117" t="n"/>
      <c r="N3" s="117" t="n"/>
      <c r="O3" s="117" t="n"/>
      <c r="P3" s="117" t="n"/>
      <c r="Q3" s="117" t="n"/>
      <c r="R3" s="117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 xml:space="preserve">Materie Prime e Consumo </t>
        </is>
      </c>
      <c r="C4" s="19">
        <f>SUM(D4:L4)</f>
        <v/>
      </c>
      <c r="D4" s="29">
        <f>SUM(D5:D184)</f>
        <v/>
      </c>
      <c r="E4" s="29">
        <f>SUM(E5:E184)</f>
        <v/>
      </c>
      <c r="F4" s="29">
        <f>SUM(F5:F184)</f>
        <v/>
      </c>
      <c r="G4" s="29">
        <f>SUM(G5:G184)</f>
        <v/>
      </c>
      <c r="H4" s="29">
        <f>SUM(H5:H184)</f>
        <v/>
      </c>
      <c r="I4" s="29">
        <f>SUM(I5:I184)</f>
        <v/>
      </c>
      <c r="J4" s="29">
        <f>SUM(J5:J184)</f>
        <v/>
      </c>
      <c r="K4" s="29">
        <f>SUM(K5:K184)</f>
        <v/>
      </c>
      <c r="L4" s="29">
        <f>SUM(L5:L184)</f>
        <v/>
      </c>
      <c r="M4" s="29">
        <f>SUM(M5:M184)</f>
        <v/>
      </c>
      <c r="N4" s="29">
        <f>SUM(N5:N184)</f>
        <v/>
      </c>
      <c r="O4" s="29">
        <f>SUM(O5:O184)</f>
        <v/>
      </c>
      <c r="P4" s="29">
        <f>SUM(P5:P184)</f>
        <v/>
      </c>
      <c r="Q4" s="29">
        <f>SUM(Q5:Q184)</f>
        <v/>
      </c>
      <c r="R4" s="29">
        <f>SUM(R5:R184)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801</v>
      </c>
      <c r="B5" s="112" t="inlineStr">
        <is>
          <t>A. Migliore srl</t>
        </is>
      </c>
      <c r="C5" s="34">
        <f>SUM(D5:L5)</f>
        <v/>
      </c>
      <c r="D5" s="118" t="n"/>
      <c r="E5" s="118" t="n"/>
      <c r="F5" s="118" t="n"/>
      <c r="G5" s="118" t="n"/>
      <c r="H5" s="118" t="n"/>
      <c r="I5" s="118" t="n"/>
      <c r="J5" s="118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281</v>
      </c>
      <c r="B6" s="112" t="inlineStr">
        <is>
          <t>Abiti da lavoro Cavaliere srls</t>
        </is>
      </c>
      <c r="C6" s="45">
        <f>SUM(D6:L6)</f>
        <v/>
      </c>
      <c r="D6" s="118" t="n"/>
      <c r="E6" s="118" t="n"/>
      <c r="F6" s="118" t="n"/>
      <c r="G6" s="118" t="n"/>
      <c r="H6" s="118" t="n"/>
      <c r="I6" s="118" t="n"/>
      <c r="J6" s="118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1183</v>
      </c>
      <c r="B7" s="112" t="inlineStr">
        <is>
          <t>Adra srl</t>
        </is>
      </c>
      <c r="C7" s="45">
        <f>SUM(D7:L7)</f>
        <v/>
      </c>
      <c r="D7" s="118" t="n"/>
      <c r="E7" s="118" t="n"/>
      <c r="F7" s="118" t="n"/>
      <c r="G7" s="118" t="n"/>
      <c r="H7" s="118" t="n">
        <v>839.47</v>
      </c>
      <c r="I7" s="118" t="n">
        <v>990.71</v>
      </c>
      <c r="J7" s="118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412</v>
      </c>
      <c r="B8" s="112" t="inlineStr">
        <is>
          <t>Alberto D'Urso</t>
        </is>
      </c>
      <c r="C8" s="45">
        <f>SUM(D8:L8)</f>
        <v/>
      </c>
      <c r="D8" s="118" t="n"/>
      <c r="E8" s="118" t="n"/>
      <c r="F8" s="118" t="n"/>
      <c r="G8" s="118" t="n">
        <v>761.92</v>
      </c>
      <c r="H8" s="118" t="n"/>
      <c r="I8" s="118" t="n"/>
      <c r="J8" s="118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1589</v>
      </c>
      <c r="B9" s="112" t="inlineStr">
        <is>
          <t>Alnumar di Garofalo Massimiliano</t>
        </is>
      </c>
      <c r="C9" s="45">
        <f>SUM(D9:L9)</f>
        <v/>
      </c>
      <c r="D9" s="118" t="n"/>
      <c r="E9" s="118" t="n"/>
      <c r="F9" s="118" t="n"/>
      <c r="G9" s="118" t="n">
        <v>1920.41</v>
      </c>
      <c r="H9" s="118" t="n">
        <v>1895.84</v>
      </c>
      <c r="I9" s="118" t="n"/>
      <c r="J9" s="118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92</v>
      </c>
      <c r="B10" s="112" t="inlineStr">
        <is>
          <t>Amalfi sei esse</t>
        </is>
      </c>
      <c r="C10" s="45">
        <f>SUM(D10:L10)</f>
        <v/>
      </c>
      <c r="D10" s="118" t="n"/>
      <c r="E10" s="118" t="n"/>
      <c r="F10" s="118" t="n"/>
      <c r="G10" s="118" t="n">
        <v>6384.75</v>
      </c>
      <c r="H10" s="118" t="n">
        <v>6825.63</v>
      </c>
      <c r="I10" s="118" t="n">
        <v>9528.629999999999</v>
      </c>
      <c r="J10" s="118" t="n">
        <v>11654.67</v>
      </c>
      <c r="K10" s="47" t="n">
        <v>35.65</v>
      </c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1720</v>
      </c>
      <c r="B11" s="112" t="inlineStr">
        <is>
          <t>Amalfi ghiaccio</t>
        </is>
      </c>
      <c r="C11" s="45">
        <f>SUM(D11:L11)</f>
        <v/>
      </c>
      <c r="D11" s="118" t="n"/>
      <c r="E11" s="118" t="n"/>
      <c r="F11" s="118" t="n"/>
      <c r="G11" s="118" t="n"/>
      <c r="H11" s="118" t="n"/>
      <c r="I11" s="118" t="n"/>
      <c r="J11" s="118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131</v>
      </c>
      <c r="B12" s="112" t="inlineStr">
        <is>
          <t>Amalfi Web</t>
        </is>
      </c>
      <c r="C12" s="45">
        <f>SUM(D12:L12)</f>
        <v/>
      </c>
      <c r="D12" s="118" t="n"/>
      <c r="E12" s="118" t="n"/>
      <c r="F12" s="118" t="n"/>
      <c r="G12" s="118" t="n"/>
      <c r="H12" s="118" t="n"/>
      <c r="I12" s="118" t="n"/>
      <c r="J12" s="118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147</v>
      </c>
      <c r="B13" s="112" t="inlineStr">
        <is>
          <t>Amato Filippo</t>
        </is>
      </c>
      <c r="C13" s="45">
        <f>SUM(D13:L13)</f>
        <v/>
      </c>
      <c r="D13" s="118" t="n"/>
      <c r="E13" s="118" t="n"/>
      <c r="F13" s="118" t="n"/>
      <c r="G13" s="118" t="n"/>
      <c r="H13" s="118" t="n"/>
      <c r="I13" s="118" t="n"/>
      <c r="J13" s="118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325</v>
      </c>
      <c r="B14" s="112" t="inlineStr">
        <is>
          <t>Alfera srl</t>
        </is>
      </c>
      <c r="C14" s="45">
        <f>SUM(D14:L14)</f>
        <v/>
      </c>
      <c r="D14" s="118" t="n"/>
      <c r="E14" s="118" t="n"/>
      <c r="F14" s="118" t="n"/>
      <c r="G14" s="118" t="n"/>
      <c r="H14" s="118" t="n">
        <v>2260</v>
      </c>
      <c r="I14" s="118" t="n">
        <v>2976.01</v>
      </c>
      <c r="J14" s="118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916</v>
      </c>
      <c r="B15" s="112" t="inlineStr">
        <is>
          <t>Allestimenti Di Palo</t>
        </is>
      </c>
      <c r="C15" s="45">
        <f>SUM(D15:L15)</f>
        <v/>
      </c>
      <c r="D15" s="118" t="n"/>
      <c r="E15" s="118" t="n"/>
      <c r="F15" s="118" t="n"/>
      <c r="G15" s="118" t="n"/>
      <c r="H15" s="118" t="n"/>
      <c r="I15" s="118" t="n"/>
      <c r="J15" s="118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790</v>
      </c>
      <c r="B16" s="112" t="inlineStr">
        <is>
          <t>Amato Prisco pane</t>
        </is>
      </c>
      <c r="C16" s="45">
        <f>SUM(D16:L16)</f>
        <v/>
      </c>
      <c r="D16" s="47" t="n"/>
      <c r="E16" s="47" t="n"/>
      <c r="F16" s="47" t="n"/>
      <c r="G16" s="47" t="n">
        <v>474.24</v>
      </c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1260</v>
      </c>
      <c r="B17" s="112" t="inlineStr">
        <is>
          <t>Aniello Bisogno &amp; Figli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667</v>
      </c>
      <c r="B18" s="112" t="inlineStr">
        <is>
          <t>Attianese Frutta e Verdura</t>
        </is>
      </c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1298</v>
      </c>
      <c r="B19" s="112" t="inlineStr">
        <is>
          <t>Apicella Lorenzo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758</v>
      </c>
      <c r="B20" s="112" t="inlineStr">
        <is>
          <t>B&amp;G Di Palo Commercio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74</v>
      </c>
      <c r="B21" s="112" t="inlineStr">
        <is>
          <t>Bellagaia</t>
        </is>
      </c>
      <c r="C21" s="45">
        <f>SUM(D21:L21)</f>
        <v/>
      </c>
      <c r="D21" s="47" t="n"/>
      <c r="E21" s="47" t="n"/>
      <c r="F21" s="47" t="n"/>
      <c r="G21" s="47" t="n">
        <v>8248.92</v>
      </c>
      <c r="H21" s="47" t="n">
        <v>6061.72</v>
      </c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399</v>
      </c>
      <c r="B22" s="112" t="inlineStr">
        <is>
          <t>Campitiello Fabio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>
        <v>864</v>
      </c>
      <c r="B23" s="112" t="inlineStr">
        <is>
          <t>Capuano Raffaele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>
        <v>208</v>
      </c>
      <c r="B24" s="112" t="inlineStr">
        <is>
          <t>Casa Vinicola Sammarco</t>
        </is>
      </c>
      <c r="C24" s="45">
        <f>SUM(D24:L24)</f>
        <v/>
      </c>
      <c r="D24" s="47" t="n"/>
      <c r="E24" s="47" t="n"/>
      <c r="F24" s="47" t="n"/>
      <c r="G24" s="47" t="n">
        <v>666.12</v>
      </c>
      <c r="H24" s="47" t="n">
        <v>1141.92</v>
      </c>
      <c r="I24" s="47" t="n">
        <v>937.3099999999999</v>
      </c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>
        <v>1137</v>
      </c>
      <c r="B25" s="112" t="inlineStr">
        <is>
          <t>Coccorullo Falegnamenria</t>
        </is>
      </c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>
        <v>125</v>
      </c>
      <c r="B26" s="112" t="inlineStr">
        <is>
          <t>Centro Distribuzione Maglio</t>
        </is>
      </c>
      <c r="C26" s="45">
        <f>SUM(D26:L26)</f>
        <v/>
      </c>
      <c r="D26" s="47" t="n"/>
      <c r="E26" s="47" t="n"/>
      <c r="F26" s="47" t="n"/>
      <c r="G26" s="47" t="n">
        <v>1588.4</v>
      </c>
      <c r="H26" s="47" t="n">
        <v>1504.8</v>
      </c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>
        <v>315</v>
      </c>
      <c r="B27" s="112" t="inlineStr">
        <is>
          <t>Centro service Snc</t>
        </is>
      </c>
      <c r="C27" s="45">
        <f>SUM(D27:L27)</f>
        <v/>
      </c>
      <c r="D27" s="47" t="n"/>
      <c r="E27" s="47" t="n"/>
      <c r="F27" s="47" t="n"/>
      <c r="G27" s="47" t="n"/>
      <c r="H27" s="47" t="n">
        <v>513.62</v>
      </c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>
        <v>423</v>
      </c>
      <c r="B28" s="112" t="inlineStr">
        <is>
          <t>Cica</t>
        </is>
      </c>
      <c r="C28" s="45">
        <f>SUM(D28:L28)</f>
        <v/>
      </c>
      <c r="D28" s="47" t="n"/>
      <c r="E28" s="47" t="n"/>
      <c r="F28" s="47" t="n"/>
      <c r="G28" s="47" t="n">
        <v>2062.02</v>
      </c>
      <c r="H28" s="47" t="n">
        <v>2834.35</v>
      </c>
      <c r="I28" s="47" t="n">
        <v>221.32</v>
      </c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>
        <v>417</v>
      </c>
      <c r="B29" s="112" t="inlineStr">
        <is>
          <t>Cimmini Filomena</t>
        </is>
      </c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>
        <v>369</v>
      </c>
      <c r="B30" s="112" t="inlineStr">
        <is>
          <t>Creative Idea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>
        <v>1003</v>
      </c>
      <c r="B31" s="112" t="inlineStr">
        <is>
          <t>Ditta Pansa</t>
        </is>
      </c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>
        <v>226</v>
      </c>
      <c r="B32" s="112" t="inlineStr">
        <is>
          <t>De Luca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>
        <v>7</v>
      </c>
      <c r="B33" s="112" t="inlineStr">
        <is>
          <t>DG Network</t>
        </is>
      </c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>
        <v>161</v>
      </c>
      <c r="B34" s="112" t="inlineStr">
        <is>
          <t>Di Sarno Coffee</t>
        </is>
      </c>
      <c r="C34" s="45">
        <f>SUM(D34:L34)</f>
        <v/>
      </c>
      <c r="D34" s="47" t="n"/>
      <c r="E34" s="47" t="n"/>
      <c r="F34" s="47" t="n"/>
      <c r="G34" s="47" t="n">
        <v>8248.040000000001</v>
      </c>
      <c r="H34" s="47" t="n">
        <v>6307.94</v>
      </c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>
        <v>32</v>
      </c>
      <c r="B35" s="112" t="inlineStr">
        <is>
          <t>Ditta Apicella</t>
        </is>
      </c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>
        <v>1003</v>
      </c>
      <c r="B36" s="112" t="inlineStr">
        <is>
          <t>Ditta Pansa</t>
        </is>
      </c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>
        <v>133</v>
      </c>
      <c r="B37" s="112" t="inlineStr">
        <is>
          <t>Fabbrocino Michele</t>
        </is>
      </c>
      <c r="C37" s="45">
        <f>SUM(D37:L37)</f>
        <v/>
      </c>
      <c r="D37" s="47" t="n"/>
      <c r="E37" s="47" t="n"/>
      <c r="F37" s="47" t="n"/>
      <c r="G37" s="47" t="n">
        <v>3183.82</v>
      </c>
      <c r="H37" s="47" t="n">
        <v>9238</v>
      </c>
      <c r="I37" s="47" t="n">
        <v>10345.23</v>
      </c>
      <c r="J37" s="47" t="n">
        <v>1611.87</v>
      </c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>
        <v>672</v>
      </c>
      <c r="B38" s="112" t="inlineStr">
        <is>
          <t>Barela Farmacia</t>
        </is>
      </c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>
        <v>127</v>
      </c>
      <c r="B39" s="112" t="inlineStr">
        <is>
          <t>Feio Srl</t>
        </is>
      </c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>
        <v>179</v>
      </c>
      <c r="B40" s="112" t="inlineStr">
        <is>
          <t>Ferrigno Maria</t>
        </is>
      </c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>
        <v>158</v>
      </c>
      <c r="B41" s="112" t="inlineStr">
        <is>
          <t>Gallo Giovanni</t>
        </is>
      </c>
      <c r="C41" s="45">
        <f>SUM(D41:L41)</f>
        <v/>
      </c>
      <c r="D41" s="47" t="n"/>
      <c r="E41" s="47" t="n"/>
      <c r="F41" s="47" t="n"/>
      <c r="G41" s="47" t="n">
        <v>85</v>
      </c>
      <c r="H41" s="47" t="n">
        <v>118.91</v>
      </c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>
        <v>4</v>
      </c>
      <c r="B42" s="112" t="inlineStr">
        <is>
          <t>Giacinto Di Palma</t>
        </is>
      </c>
      <c r="C42" s="45">
        <f>SUM(D42:L42)</f>
        <v/>
      </c>
      <c r="D42" s="47" t="n"/>
      <c r="E42" s="47" t="n"/>
      <c r="F42" s="47" t="n"/>
      <c r="G42" s="47" t="n">
        <v>285.33</v>
      </c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>
        <v>353</v>
      </c>
      <c r="B43" s="112" t="inlineStr">
        <is>
          <t>Granato Vincenzo</t>
        </is>
      </c>
      <c r="C43" s="45">
        <f>SUM(D43:L43)</f>
        <v/>
      </c>
      <c r="D43" s="59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>
        <v>732</v>
      </c>
      <c r="B44" s="112" t="inlineStr">
        <is>
          <t>Granato Nino</t>
        </is>
      </c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>
        <v>1091</v>
      </c>
      <c r="B45" s="112" t="inlineStr">
        <is>
          <t>Hospitality Project</t>
        </is>
      </c>
      <c r="C45" s="45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>
        <v>145</v>
      </c>
      <c r="B46" s="112" t="inlineStr">
        <is>
          <t>Hotel Service</t>
        </is>
      </c>
      <c r="C46" s="45">
        <f>SUM(D46:L46)</f>
        <v/>
      </c>
      <c r="D46" s="47" t="n"/>
      <c r="E46" s="47" t="n"/>
      <c r="F46" s="47" t="n"/>
      <c r="G46" s="47" t="n">
        <v>13798.47</v>
      </c>
      <c r="H46" s="47" t="n">
        <v>17614.03</v>
      </c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>
        <v>1104</v>
      </c>
      <c r="B47" s="112" t="inlineStr">
        <is>
          <t>I.C.P srl</t>
        </is>
      </c>
      <c r="C47" s="45">
        <f>SUM(D47:L47)</f>
        <v/>
      </c>
      <c r="D47" s="47" t="n"/>
      <c r="E47" s="47" t="n"/>
      <c r="F47" s="47" t="n"/>
      <c r="G47" s="47" t="n">
        <v>1570.21</v>
      </c>
      <c r="H47" s="47" t="n">
        <v>1685.49</v>
      </c>
      <c r="I47" s="47" t="n">
        <v>2194.68</v>
      </c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>
        <v>921</v>
      </c>
      <c r="B48" s="112" t="inlineStr">
        <is>
          <t>Il centro CSC</t>
        </is>
      </c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>
        <v>815</v>
      </c>
      <c r="B49" s="112" t="inlineStr">
        <is>
          <t>Il piacere della tavola</t>
        </is>
      </c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>
        <v>1706</v>
      </c>
      <c r="B50" s="112" t="inlineStr">
        <is>
          <t>Ingrosso frutta di Michele e Vincenzo</t>
        </is>
      </c>
      <c r="C50" s="45">
        <f>SUM(D50:L50)</f>
        <v/>
      </c>
      <c r="D50" s="47" t="n"/>
      <c r="E50" s="47" t="n"/>
      <c r="F50" s="47" t="n"/>
      <c r="G50" s="47" t="n">
        <v>1952</v>
      </c>
      <c r="H50" s="47" t="n">
        <v>1576.2</v>
      </c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>
        <v>929</v>
      </c>
      <c r="B51" s="112" t="inlineStr">
        <is>
          <t>IPEI SRL</t>
        </is>
      </c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>
        <v>1153</v>
      </c>
      <c r="B52" s="112" t="inlineStr">
        <is>
          <t>La Contadina Srl</t>
        </is>
      </c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>
        <v>718</v>
      </c>
      <c r="B53" s="112" t="inlineStr">
        <is>
          <t>La Floreale</t>
        </is>
      </c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>
        <v>1303</v>
      </c>
      <c r="B54" s="112" t="inlineStr">
        <is>
          <t xml:space="preserve">La Nuova Autocarrozzaria </t>
        </is>
      </c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>
        <v>1</v>
      </c>
      <c r="B55" s="112" t="inlineStr">
        <is>
          <t>Le Croissant srl</t>
        </is>
      </c>
      <c r="C55" s="45">
        <f>SUM(D55:L55)</f>
        <v/>
      </c>
      <c r="D55" s="47" t="n"/>
      <c r="E55" s="47" t="n"/>
      <c r="F55" s="47" t="n"/>
      <c r="G55" s="47" t="n">
        <v>10010.25</v>
      </c>
      <c r="H55" s="47" t="n">
        <v>6549.5</v>
      </c>
      <c r="I55" s="47" t="n">
        <v>6648.54</v>
      </c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>
        <v>497</v>
      </c>
      <c r="B56" s="112" t="inlineStr">
        <is>
          <t>Lovali d'autore</t>
        </is>
      </c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>
        <v>186</v>
      </c>
      <c r="B57" s="112" t="inlineStr">
        <is>
          <t>L'Europea</t>
        </is>
      </c>
      <c r="C57" s="45">
        <f>SUM(D57:L57)</f>
        <v/>
      </c>
      <c r="D57" s="47" t="n"/>
      <c r="E57" s="47" t="n"/>
      <c r="F57" s="47" t="n"/>
      <c r="G57" s="47" t="n">
        <v>610</v>
      </c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>
        <v>791</v>
      </c>
      <c r="B58" s="112" t="inlineStr">
        <is>
          <t>Napolamp</t>
        </is>
      </c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>
        <v>146</v>
      </c>
      <c r="B59" s="112" t="inlineStr">
        <is>
          <t>Ninni</t>
        </is>
      </c>
      <c r="C59" s="45">
        <f>SUM(D59:L59)</f>
        <v/>
      </c>
      <c r="D59" s="47" t="n"/>
      <c r="E59" s="47" t="n"/>
      <c r="F59" s="47" t="n"/>
      <c r="G59" s="47" t="n">
        <v>1189.5</v>
      </c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>
        <v>554</v>
      </c>
      <c r="B60" s="112" t="inlineStr">
        <is>
          <t>Oceano Distribuzione</t>
        </is>
      </c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>
        <v>104</v>
      </c>
      <c r="B61" s="112" t="inlineStr">
        <is>
          <t>Paolillo Aldo</t>
        </is>
      </c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>
        <v>64</v>
      </c>
      <c r="B62" s="112" t="inlineStr">
        <is>
          <t>Paravia Srl</t>
        </is>
      </c>
      <c r="C62" s="45">
        <f>SUM(D62:L62)</f>
        <v/>
      </c>
      <c r="D62" s="47" t="n"/>
      <c r="E62" s="47" t="n"/>
      <c r="F62" s="47" t="n"/>
      <c r="G62" s="47" t="n"/>
      <c r="H62" s="47" t="n">
        <v>689.3200000000001</v>
      </c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>
        <v>137</v>
      </c>
      <c r="B63" s="112" t="inlineStr">
        <is>
          <t>Primavera Servizi</t>
        </is>
      </c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>
        <v>80</v>
      </c>
      <c r="B64" s="112" t="inlineStr">
        <is>
          <t>Pisacane Raffaele</t>
        </is>
      </c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>
        <v>123</v>
      </c>
      <c r="B65" s="112" t="inlineStr">
        <is>
          <t>Pregis</t>
        </is>
      </c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>
        <v>1714</v>
      </c>
      <c r="B66" s="112" t="inlineStr">
        <is>
          <t>Prodotti tipici di CarloTagliafierro</t>
        </is>
      </c>
      <c r="C66" s="45" t="n"/>
      <c r="D66" s="59" t="n"/>
      <c r="E66" s="47" t="n"/>
      <c r="F66" s="47" t="n"/>
      <c r="G66" s="47" t="n">
        <v>198.6</v>
      </c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>
        <v>1565</v>
      </c>
      <c r="B67" s="112" t="inlineStr">
        <is>
          <t>Pepe Mastro dolciario</t>
        </is>
      </c>
      <c r="C67" s="45">
        <f>SUM(D67:L67)</f>
        <v/>
      </c>
      <c r="D67" s="59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>
        <v>1156</v>
      </c>
      <c r="B68" s="112" t="inlineStr">
        <is>
          <t>Prisa</t>
        </is>
      </c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>
        <v>1543</v>
      </c>
      <c r="B69" s="112" t="inlineStr">
        <is>
          <t>Reidos srl</t>
        </is>
      </c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32" t="n">
        <v>1230</v>
      </c>
      <c r="B70" s="112" t="inlineStr">
        <is>
          <t>Salzano Tiziano</t>
        </is>
      </c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32" t="n">
        <v>83</v>
      </c>
      <c r="B71" s="112" t="inlineStr">
        <is>
          <t>Santelia Antonio</t>
        </is>
      </c>
      <c r="C71" s="45">
        <f>SUM(D71:L71)</f>
        <v/>
      </c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32" t="n">
        <v>275</v>
      </c>
      <c r="B72" s="112" t="inlineStr">
        <is>
          <t>Serverplan srl</t>
        </is>
      </c>
      <c r="C72" s="45">
        <f>SUM(D72:L72)</f>
        <v/>
      </c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32" t="n">
        <v>132</v>
      </c>
      <c r="B73" s="112" t="inlineStr">
        <is>
          <t>Studio quattro</t>
        </is>
      </c>
      <c r="C73" s="45">
        <f>SUM(D73:L73)</f>
        <v/>
      </c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32" t="n">
        <v>126</v>
      </c>
      <c r="B74" s="122" t="inlineStr">
        <is>
          <t>Tur.Com</t>
        </is>
      </c>
      <c r="C74" s="45">
        <f>SUM(D74:L74)</f>
        <v/>
      </c>
      <c r="D74" s="47" t="n"/>
      <c r="E74" s="47" t="n"/>
      <c r="F74" s="47" t="n"/>
      <c r="G74" s="47" t="n">
        <v>633.86</v>
      </c>
      <c r="H74" s="47" t="n">
        <v>408.36</v>
      </c>
      <c r="I74" s="47" t="n">
        <v>139.83</v>
      </c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32" t="n">
        <v>1145</v>
      </c>
      <c r="B75" s="60" t="inlineStr">
        <is>
          <t>Valgarda Srl</t>
        </is>
      </c>
      <c r="C75" s="45">
        <f>SUM(D75:L75)</f>
        <v/>
      </c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32" t="n">
        <v>71</v>
      </c>
      <c r="B76" s="60" t="inlineStr">
        <is>
          <t>Vicart</t>
        </is>
      </c>
      <c r="C76" s="45">
        <f>SUM(D76:L76)</f>
        <v/>
      </c>
      <c r="D76" s="47" t="n"/>
      <c r="E76" s="47" t="n"/>
      <c r="F76" s="47" t="n"/>
      <c r="G76" s="47" t="n">
        <v>1686.68</v>
      </c>
      <c r="H76" s="47" t="n">
        <v>3173.94</v>
      </c>
      <c r="I76" s="47" t="n">
        <v>3681.86</v>
      </c>
      <c r="J76" s="47" t="n">
        <v>6160.4</v>
      </c>
      <c r="K76" s="47" t="n"/>
      <c r="L76" s="47" t="n"/>
      <c r="M76" s="47" t="n"/>
      <c r="N76" s="47" t="n"/>
      <c r="O76" s="47" t="n"/>
      <c r="P76" s="47" t="n"/>
      <c r="Q76" s="47" t="n"/>
      <c r="R76" s="47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32" t="n">
        <v>1306</v>
      </c>
      <c r="B77" s="60" t="inlineStr">
        <is>
          <t>Vitagliano</t>
        </is>
      </c>
      <c r="C77" s="45">
        <f>SUM(D77:L77)</f>
        <v/>
      </c>
      <c r="D77" s="47" t="n"/>
      <c r="E77" s="47" t="n"/>
      <c r="F77" s="47" t="n"/>
      <c r="G77" s="47" t="n">
        <v>1218.1</v>
      </c>
      <c r="H77" s="47" t="n">
        <v>1458.6</v>
      </c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32" t="n">
        <v>1222</v>
      </c>
      <c r="B78" s="60" t="inlineStr">
        <is>
          <t>Pietra di luna</t>
        </is>
      </c>
      <c r="C78" s="45">
        <f>SUM(D78:L78)</f>
        <v/>
      </c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32" t="n">
        <v>6</v>
      </c>
      <c r="B79" s="60" t="inlineStr">
        <is>
          <t>Bianco Bufala</t>
        </is>
      </c>
      <c r="C79" s="45">
        <f>SUM(D79:L79)</f>
        <v/>
      </c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32" t="n">
        <v>612</v>
      </c>
      <c r="B80" s="60" t="inlineStr">
        <is>
          <t>Croce Rossa Italiana (trasporto sujith)</t>
        </is>
      </c>
      <c r="C80" s="45">
        <f>SUM(D80:L80)</f>
        <v/>
      </c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32" t="n">
        <v>1190</v>
      </c>
      <c r="B81" s="60" t="inlineStr">
        <is>
          <t>Costieraagrumi</t>
        </is>
      </c>
      <c r="C81" s="45">
        <f>SUM(D81:L81)</f>
        <v/>
      </c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32" t="n">
        <v>68</v>
      </c>
      <c r="B82" s="60" t="inlineStr">
        <is>
          <t>Finsal</t>
        </is>
      </c>
      <c r="C82" s="45">
        <f>SUM(D82:L82)</f>
        <v/>
      </c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32" t="n">
        <v>1144</v>
      </c>
      <c r="B83" s="60" t="inlineStr">
        <is>
          <t>Gambardella</t>
        </is>
      </c>
      <c r="C83" s="45">
        <f>SUM(D83:L83)</f>
        <v/>
      </c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32" t="n">
        <v>1515</v>
      </c>
      <c r="B84" s="60" t="inlineStr">
        <is>
          <t>Mammato Anna</t>
        </is>
      </c>
      <c r="C84" s="45">
        <f>SUM(D84:L84)</f>
        <v/>
      </c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32" t="n">
        <v>121</v>
      </c>
      <c r="B85" s="60" t="inlineStr">
        <is>
          <t>Fioraio Santelia</t>
        </is>
      </c>
      <c r="C85" s="45">
        <f>SUM(D85:L85)</f>
        <v/>
      </c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32" t="n">
        <v>1269</v>
      </c>
      <c r="B86" s="60" t="inlineStr">
        <is>
          <t>Arch. Marigliano Savio</t>
        </is>
      </c>
      <c r="C86" s="45">
        <f>SUM(D86:L86)</f>
        <v/>
      </c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32" t="n">
        <v>1279</v>
      </c>
      <c r="B87" s="60" t="inlineStr">
        <is>
          <t>Mint Architettura</t>
        </is>
      </c>
      <c r="C87" s="45">
        <f>SUM(D87:L87)</f>
        <v/>
      </c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32" t="n">
        <v>1058</v>
      </c>
      <c r="B88" s="60" t="inlineStr">
        <is>
          <t>Musica totale</t>
        </is>
      </c>
      <c r="C88" s="45">
        <f>SUM(D88:L88)</f>
        <v/>
      </c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32" t="n">
        <v>1438</v>
      </c>
      <c r="B89" s="60" t="inlineStr">
        <is>
          <t>Romano Ciro</t>
        </is>
      </c>
      <c r="C89" s="45">
        <f>SUM(D89:L89)</f>
        <v/>
      </c>
      <c r="D89" s="47" t="n"/>
      <c r="E89" s="47" t="n"/>
      <c r="F89" s="47" t="n"/>
      <c r="G89" s="47" t="n">
        <v>122</v>
      </c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32" t="n">
        <v>138</v>
      </c>
      <c r="B90" s="60" t="inlineStr">
        <is>
          <t>Sal de Riso</t>
        </is>
      </c>
      <c r="C90" s="45">
        <f>SUM(D90:L90)</f>
        <v/>
      </c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32" t="n">
        <v>82</v>
      </c>
      <c r="B91" s="60" t="inlineStr">
        <is>
          <t>Samar</t>
        </is>
      </c>
      <c r="C91" s="45">
        <f>SUM(D91:L91)</f>
        <v/>
      </c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32" t="n">
        <v>10</v>
      </c>
      <c r="B92" s="60" t="inlineStr">
        <is>
          <t>Sistemi ESolver</t>
        </is>
      </c>
      <c r="C92" s="45">
        <f>SUM(D92:L92)</f>
        <v/>
      </c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32" t="n">
        <v>1050</v>
      </c>
      <c r="B93" s="60" t="inlineStr">
        <is>
          <t>Tappezzeria Cent'anni</t>
        </is>
      </c>
      <c r="C93" s="45">
        <f>SUM(D93:L93)</f>
        <v/>
      </c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32" t="n">
        <v>745</v>
      </c>
      <c r="B94" s="60" t="inlineStr">
        <is>
          <t>AFFINITO SRL</t>
        </is>
      </c>
      <c r="C94" s="45">
        <f>SUM(D94:L94)</f>
        <v/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32" t="n">
        <v>985</v>
      </c>
      <c r="B95" s="60" t="inlineStr">
        <is>
          <t>ALBERGO SANTA CHIARA</t>
        </is>
      </c>
      <c r="C95" s="45">
        <f>SUM(D95:L95)</f>
        <v/>
      </c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32" t="n">
        <v>19</v>
      </c>
      <c r="B96" s="60" t="inlineStr">
        <is>
          <t>AMAZON EU S.A R.L.</t>
        </is>
      </c>
      <c r="C96" s="45">
        <f>SUM(D96:L96)</f>
        <v/>
      </c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32" t="n">
        <v>498</v>
      </c>
      <c r="B97" s="112" t="inlineStr">
        <is>
          <t>AP COMMERCIALE S.R.L.</t>
        </is>
      </c>
      <c r="C97" s="45">
        <f>SUM(D97:L97)</f>
        <v/>
      </c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32" t="n">
        <v>14</v>
      </c>
      <c r="B98" s="112" t="inlineStr">
        <is>
          <t>C&amp;C S.p.A.</t>
        </is>
      </c>
      <c r="C98" s="45">
        <f>SUM(D98:L98)</f>
        <v/>
      </c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32" t="n">
        <v>1595</v>
      </c>
      <c r="B99" s="112" t="inlineStr">
        <is>
          <t>Dr. Vranjes Firenze S.p.A.</t>
        </is>
      </c>
      <c r="C99" s="45">
        <f>SUM(D99:L99)</f>
        <v/>
      </c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32" t="n">
        <v>1597</v>
      </c>
      <c r="B100" s="112" t="inlineStr">
        <is>
          <t>EXORH DI CHIESA PAOLA</t>
        </is>
      </c>
      <c r="C100" s="45">
        <f>SUM(D100:L100)</f>
        <v/>
      </c>
      <c r="D100" s="47" t="n"/>
      <c r="E100" s="47" t="n"/>
      <c r="F100" s="47" t="n"/>
      <c r="G100" s="47" t="n">
        <v>148</v>
      </c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32" t="n">
        <v>1168</v>
      </c>
      <c r="B101" s="112" t="inlineStr">
        <is>
          <t>Gest. D.M.F. Srl</t>
        </is>
      </c>
      <c r="C101" s="45">
        <f>SUM(D101:L101)</f>
        <v/>
      </c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32" t="n">
        <v>1557</v>
      </c>
      <c r="B102" s="112" t="inlineStr">
        <is>
          <t>HAPPY CASA STORE S.R.L.</t>
        </is>
      </c>
      <c r="C102" s="45">
        <f>SUM(D102:L102)</f>
        <v/>
      </c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32" t="n">
        <v>1035</v>
      </c>
      <c r="B103" s="112" t="inlineStr">
        <is>
          <t>IDRO-TOP S.R.L.</t>
        </is>
      </c>
      <c r="C103" s="45">
        <f>SUM(D103:L103)</f>
        <v/>
      </c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32" t="n">
        <v>1598</v>
      </c>
      <c r="B104" s="112" t="inlineStr">
        <is>
          <t>KING CATERING S.R.L.</t>
        </is>
      </c>
      <c r="C104" s="45">
        <f>SUM(D104:L104)</f>
        <v/>
      </c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32" t="n">
        <v>1233</v>
      </c>
      <c r="B105" s="112" t="inlineStr">
        <is>
          <t>LE SETTE SORELLE SOCIETA' A</t>
        </is>
      </c>
      <c r="C105" s="45">
        <f>SUM(D105:L105)</f>
        <v/>
      </c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" customHeight="1" s="160">
      <c r="A106" s="32" t="n">
        <v>1008</v>
      </c>
      <c r="B106" s="112" t="inlineStr">
        <is>
          <t>MIELE GIUSEPPE E FIGLI SPA</t>
        </is>
      </c>
      <c r="C106" s="45">
        <f>SUM(D106:L106)</f>
        <v/>
      </c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32" t="n">
        <v>1627</v>
      </c>
      <c r="B107" s="112" t="inlineStr">
        <is>
          <t>PEPPINO RISTORAZIONE S.R.L.</t>
        </is>
      </c>
      <c r="C107" s="45">
        <f>SUM(D107:L107)</f>
        <v/>
      </c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32" t="n">
        <v>1603</v>
      </c>
      <c r="B108" s="112" t="inlineStr">
        <is>
          <t>RISALITI SRL</t>
        </is>
      </c>
      <c r="C108" s="45">
        <f>SUM(D108:L108)</f>
        <v/>
      </c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32" t="n">
        <v>1602</v>
      </c>
      <c r="B109" s="112" t="inlineStr">
        <is>
          <t>SOCIETA' INGROSSO TELEVISORI ELETTRODOMESTICI AFFINI S.R.L.</t>
        </is>
      </c>
      <c r="C109" s="45">
        <f>SUM(D109:L109)</f>
        <v/>
      </c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32" t="n">
        <v>1699</v>
      </c>
      <c r="B110" s="112" t="inlineStr">
        <is>
          <t>ACQUAVERDE SRL</t>
        </is>
      </c>
      <c r="C110" s="45">
        <f>SUM(D110:L110)</f>
        <v/>
      </c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32" t="n">
        <v>142</v>
      </c>
      <c r="B111" s="112" t="inlineStr">
        <is>
          <t>GENERAL BEVERAGE S.R.L.</t>
        </is>
      </c>
      <c r="C111" s="45">
        <f>SUM(D111:L111)</f>
        <v/>
      </c>
      <c r="D111" s="47" t="n"/>
      <c r="E111" s="47" t="n"/>
      <c r="F111" s="47" t="n"/>
      <c r="G111" s="47" t="n"/>
      <c r="H111" s="47" t="n">
        <v>165</v>
      </c>
      <c r="I111" s="47" t="n">
        <v>161.37</v>
      </c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32" t="n">
        <v>1697</v>
      </c>
      <c r="B112" s="112" t="inlineStr">
        <is>
          <t>MARR SPA</t>
        </is>
      </c>
      <c r="C112" s="45">
        <f>SUM(D112:L112)</f>
        <v/>
      </c>
      <c r="D112" s="47" t="n"/>
      <c r="E112" s="47" t="n"/>
      <c r="F112" s="47" t="n"/>
      <c r="G112" s="47" t="n">
        <v>3194.05</v>
      </c>
      <c r="H112" s="47" t="n">
        <v>3814.95</v>
      </c>
      <c r="I112" s="47" t="n">
        <v>822.0700000000001</v>
      </c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32" t="n">
        <v>212</v>
      </c>
      <c r="B113" s="112" t="inlineStr">
        <is>
          <t>Casalinghi Sicignano</t>
        </is>
      </c>
      <c r="C113" s="45">
        <f>SUM(D113:L113)</f>
        <v/>
      </c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32" t="n">
        <v>499</v>
      </c>
      <c r="B114" s="112" t="inlineStr">
        <is>
          <t>Foraggio Srl</t>
        </is>
      </c>
      <c r="C114" s="45">
        <f>SUM(D114:L114)</f>
        <v/>
      </c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32" t="n">
        <v>1147</v>
      </c>
      <c r="B115" s="112" t="inlineStr">
        <is>
          <t>Minieri Mariano</t>
        </is>
      </c>
      <c r="C115" s="45">
        <f>SUM(D115:L115)</f>
        <v/>
      </c>
      <c r="D115" s="47" t="n"/>
      <c r="E115" s="47" t="n"/>
      <c r="F115" s="47" t="n"/>
      <c r="G115" s="47" t="n">
        <v>90.16</v>
      </c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32" t="n">
        <v>1764</v>
      </c>
      <c r="B116" s="112" t="inlineStr">
        <is>
          <t>Oip Srl</t>
        </is>
      </c>
      <c r="C116" s="45">
        <f>SUM(D116:L116)</f>
        <v/>
      </c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32" t="n">
        <v>1759</v>
      </c>
      <c r="B117" s="112" t="inlineStr">
        <is>
          <t>Pirotecnica Platinum S.R.L.S</t>
        </is>
      </c>
      <c r="C117" s="45">
        <f>SUM(D117:L117)</f>
        <v/>
      </c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32" t="n">
        <v>1762</v>
      </c>
      <c r="B118" s="112" t="inlineStr">
        <is>
          <t>Sorrentino Giovanni S.N.C. Di Sorrentino Pasquale &amp; C.</t>
        </is>
      </c>
      <c r="C118" s="45">
        <f>SUM(D118:L118)</f>
        <v/>
      </c>
      <c r="D118" s="47" t="n"/>
      <c r="E118" s="47" t="n"/>
      <c r="F118" s="47" t="n"/>
      <c r="G118" s="47" t="n">
        <v>40.9</v>
      </c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32" t="n">
        <v>715</v>
      </c>
      <c r="B119" s="109" t="inlineStr">
        <is>
          <t>Zurli Maurizio</t>
        </is>
      </c>
      <c r="C119" s="45">
        <f>SUM(D119:L119)</f>
        <v/>
      </c>
      <c r="D119" s="109" t="n"/>
      <c r="E119" s="109" t="n"/>
      <c r="F119" s="109" t="n"/>
      <c r="G119" s="109" t="n">
        <v>196.93</v>
      </c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32" t="n">
        <v>1222</v>
      </c>
      <c r="B120" s="109" t="inlineStr">
        <is>
          <t>Pietra Di Luna</t>
        </is>
      </c>
      <c r="C120" s="45">
        <f>SUM(D120:L120)</f>
        <v/>
      </c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>
        <v>128</v>
      </c>
      <c r="B121" s="109" t="inlineStr">
        <is>
          <t>Tecno Piscine</t>
        </is>
      </c>
      <c r="C121" s="45">
        <f>SUM(D121:L121)</f>
        <v/>
      </c>
      <c r="D121" s="109" t="n"/>
      <c r="E121" s="109" t="n"/>
      <c r="F121" s="109" t="n"/>
      <c r="G121" s="109" t="n">
        <v>669.78</v>
      </c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45">
        <f>SUM(D122:L122)</f>
        <v/>
      </c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45">
        <f>SUM(D123:L123)</f>
        <v/>
      </c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109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109" t="n"/>
      <c r="C222" s="5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109" t="n"/>
      <c r="C223" s="5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109" t="n"/>
      <c r="C224" s="5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109" t="n"/>
      <c r="C225" s="5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109" t="n"/>
      <c r="C226" s="5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109" t="n"/>
      <c r="C227" s="5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109" t="n"/>
      <c r="C228" s="5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109" t="n"/>
      <c r="E253" s="109" t="n"/>
      <c r="F253" s="109" t="n"/>
      <c r="G253" s="109" t="n"/>
      <c r="H253" s="109" t="n"/>
      <c r="I253" s="109" t="n"/>
      <c r="J253" s="109" t="n"/>
      <c r="K253" s="109" t="n"/>
      <c r="L253" s="109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109" t="n"/>
      <c r="E254" s="109" t="n"/>
      <c r="F254" s="109" t="n"/>
      <c r="G254" s="109" t="n"/>
      <c r="H254" s="109" t="n"/>
      <c r="I254" s="109" t="n"/>
      <c r="J254" s="109" t="n"/>
      <c r="K254" s="109" t="n"/>
      <c r="L254" s="109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109" t="n"/>
      <c r="E255" s="109" t="n"/>
      <c r="F255" s="109" t="n"/>
      <c r="G255" s="109" t="n"/>
      <c r="H255" s="109" t="n"/>
      <c r="I255" s="109" t="n"/>
      <c r="J255" s="109" t="n"/>
      <c r="K255" s="109" t="n"/>
      <c r="L255" s="109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109" t="n"/>
      <c r="E256" s="109" t="n"/>
      <c r="F256" s="109" t="n"/>
      <c r="G256" s="109" t="n"/>
      <c r="H256" s="109" t="n"/>
      <c r="I256" s="109" t="n"/>
      <c r="J256" s="109" t="n"/>
      <c r="K256" s="109" t="n"/>
      <c r="L256" s="109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109" t="n"/>
      <c r="E257" s="109" t="n"/>
      <c r="F257" s="109" t="n"/>
      <c r="G257" s="109" t="n"/>
      <c r="H257" s="109" t="n"/>
      <c r="I257" s="109" t="n"/>
      <c r="J257" s="109" t="n"/>
      <c r="K257" s="109" t="n"/>
      <c r="L257" s="109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109" t="n"/>
      <c r="E258" s="109" t="n"/>
      <c r="F258" s="109" t="n"/>
      <c r="G258" s="109" t="n"/>
      <c r="H258" s="109" t="n"/>
      <c r="I258" s="109" t="n"/>
      <c r="J258" s="109" t="n"/>
      <c r="K258" s="109" t="n"/>
      <c r="L258" s="109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109" t="n"/>
      <c r="E259" s="109" t="n"/>
      <c r="F259" s="109" t="n"/>
      <c r="G259" s="109" t="n"/>
      <c r="H259" s="109" t="n"/>
      <c r="I259" s="109" t="n"/>
      <c r="J259" s="109" t="n"/>
      <c r="K259" s="109" t="n"/>
      <c r="L259" s="109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109" t="n"/>
      <c r="E260" s="109" t="n"/>
      <c r="F260" s="109" t="n"/>
      <c r="G260" s="109" t="n"/>
      <c r="H260" s="109" t="n"/>
      <c r="I260" s="109" t="n"/>
      <c r="J260" s="109" t="n"/>
      <c r="K260" s="109" t="n"/>
      <c r="L260" s="109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109" t="n"/>
      <c r="E261" s="109" t="n"/>
      <c r="F261" s="109" t="n"/>
      <c r="G261" s="109" t="n"/>
      <c r="H261" s="109" t="n"/>
      <c r="I261" s="109" t="n"/>
      <c r="J261" s="109" t="n"/>
      <c r="K261" s="109" t="n"/>
      <c r="L261" s="109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109" t="n"/>
      <c r="E262" s="109" t="n"/>
      <c r="F262" s="109" t="n"/>
      <c r="G262" s="109" t="n"/>
      <c r="H262" s="109" t="n"/>
      <c r="I262" s="109" t="n"/>
      <c r="J262" s="109" t="n"/>
      <c r="K262" s="109" t="n"/>
      <c r="L262" s="109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109" t="n"/>
      <c r="E263" s="109" t="n"/>
      <c r="F263" s="109" t="n"/>
      <c r="G263" s="109" t="n"/>
      <c r="H263" s="109" t="n"/>
      <c r="I263" s="109" t="n"/>
      <c r="J263" s="109" t="n"/>
      <c r="K263" s="109" t="n"/>
      <c r="L263" s="109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109" t="n"/>
      <c r="E264" s="109" t="n"/>
      <c r="F264" s="109" t="n"/>
      <c r="G264" s="109" t="n"/>
      <c r="H264" s="109" t="n"/>
      <c r="I264" s="109" t="n"/>
      <c r="J264" s="109" t="n"/>
      <c r="K264" s="109" t="n"/>
      <c r="L264" s="109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109" t="n"/>
      <c r="E265" s="109" t="n"/>
      <c r="F265" s="109" t="n"/>
      <c r="G265" s="109" t="n"/>
      <c r="H265" s="109" t="n"/>
      <c r="I265" s="109" t="n"/>
      <c r="J265" s="109" t="n"/>
      <c r="K265" s="109" t="n"/>
      <c r="L265" s="109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109" t="n"/>
      <c r="E266" s="109" t="n"/>
      <c r="F266" s="109" t="n"/>
      <c r="G266" s="109" t="n"/>
      <c r="H266" s="109" t="n"/>
      <c r="I266" s="109" t="n"/>
      <c r="J266" s="109" t="n"/>
      <c r="K266" s="109" t="n"/>
      <c r="L266" s="109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109" t="n"/>
      <c r="E267" s="109" t="n"/>
      <c r="F267" s="109" t="n"/>
      <c r="G267" s="109" t="n"/>
      <c r="H267" s="109" t="n"/>
      <c r="I267" s="109" t="n"/>
      <c r="J267" s="109" t="n"/>
      <c r="K267" s="109" t="n"/>
      <c r="L267" s="109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109" t="n"/>
      <c r="E268" s="109" t="n"/>
      <c r="F268" s="109" t="n"/>
      <c r="G268" s="109" t="n"/>
      <c r="H268" s="109" t="n"/>
      <c r="I268" s="109" t="n"/>
      <c r="J268" s="109" t="n"/>
      <c r="K268" s="109" t="n"/>
      <c r="L268" s="109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109" t="n"/>
      <c r="E269" s="109" t="n"/>
      <c r="F269" s="109" t="n"/>
      <c r="G269" s="109" t="n"/>
      <c r="H269" s="109" t="n"/>
      <c r="I269" s="109" t="n"/>
      <c r="J269" s="109" t="n"/>
      <c r="K269" s="109" t="n"/>
      <c r="L269" s="109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>
      <c r="A270" s="5" t="n"/>
      <c r="B270" s="5" t="n"/>
      <c r="C270" s="5" t="n"/>
      <c r="D270" s="109" t="n"/>
      <c r="E270" s="109" t="n"/>
      <c r="F270" s="109" t="n"/>
      <c r="G270" s="109" t="n"/>
      <c r="H270" s="109" t="n"/>
      <c r="I270" s="109" t="n"/>
      <c r="J270" s="109" t="n"/>
      <c r="K270" s="109" t="n"/>
      <c r="L270" s="109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60">
      <c r="A271" s="5" t="n"/>
      <c r="B271" s="5" t="n"/>
      <c r="C271" s="5" t="n"/>
      <c r="D271" s="109" t="n"/>
      <c r="E271" s="109" t="n"/>
      <c r="F271" s="109" t="n"/>
      <c r="G271" s="109" t="n"/>
      <c r="H271" s="109" t="n"/>
      <c r="I271" s="109" t="n"/>
      <c r="J271" s="109" t="n"/>
      <c r="K271" s="109" t="n"/>
      <c r="L271" s="109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6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6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6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6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6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6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6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6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6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6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6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6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6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6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6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6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6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6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6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6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6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6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6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6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6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6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6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6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6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6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6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6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6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6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6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6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6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6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6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6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6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6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6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6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6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6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6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6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6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6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6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6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9" sqref="L19"/>
    </sheetView>
  </sheetViews>
  <sheetFormatPr baseColWidth="10" defaultColWidth="11.1640625" defaultRowHeight="15" customHeight="1"/>
  <cols>
    <col width="8.6640625" customWidth="1" style="160" min="1" max="1"/>
    <col width="34" customWidth="1" style="160" min="2" max="2"/>
    <col width="12.6640625" customWidth="1" style="160" min="3" max="3"/>
    <col hidden="1" width="7.5" customWidth="1" style="160" min="4" max="4"/>
    <col hidden="1" width="8.6640625" customWidth="1" style="160" min="5" max="5"/>
    <col hidden="1" width="12.6640625" customWidth="1" style="160" min="6" max="6"/>
    <col width="11.6640625" customWidth="1" style="160" min="7" max="8"/>
    <col width="12.6640625" customWidth="1" style="160" min="9" max="9"/>
    <col width="11.6640625" customWidth="1" style="160" min="10" max="11"/>
    <col width="11" customWidth="1" style="160" min="12" max="12"/>
    <col width="13.83203125" customWidth="1" style="160" min="13" max="13"/>
    <col width="10.1640625" customWidth="1" style="160" min="14" max="16"/>
    <col width="11.6640625" bestFit="1" customWidth="1" style="160" min="17" max="17"/>
    <col width="12.6640625" bestFit="1" customWidth="1" style="160" min="18" max="18"/>
    <col width="10.16406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Tasse e Imposte</t>
        </is>
      </c>
      <c r="C3" s="19">
        <f>SUM(D3:L3)</f>
        <v/>
      </c>
      <c r="D3" s="24">
        <f>SUM(D4:D136)</f>
        <v/>
      </c>
      <c r="E3" s="24">
        <f>SUM(E4:E136)</f>
        <v/>
      </c>
      <c r="F3" s="24">
        <f>SUM(F4:F136)</f>
        <v/>
      </c>
      <c r="G3" s="24">
        <f>SUM(G4:G136)</f>
        <v/>
      </c>
      <c r="H3" s="24">
        <f>SUM(H4:H136)</f>
        <v/>
      </c>
      <c r="I3" s="24">
        <f>SUM(I4:I136)</f>
        <v/>
      </c>
      <c r="J3" s="24">
        <f>SUM(J4:J136)</f>
        <v/>
      </c>
      <c r="K3" s="24">
        <f>SUM(K4:K136)</f>
        <v/>
      </c>
      <c r="L3" s="24">
        <f>SUM(L4:L136)</f>
        <v/>
      </c>
      <c r="M3" s="24">
        <f>SUM(M4:M136)</f>
        <v/>
      </c>
      <c r="N3" s="24">
        <f>SUM(N4:N136)</f>
        <v/>
      </c>
      <c r="O3" s="24">
        <f>SUM(O4:O136)</f>
        <v/>
      </c>
      <c r="P3" s="24">
        <f>SUM(P4:P136)</f>
        <v/>
      </c>
      <c r="Q3" s="24">
        <f>SUM(Q4:Q136)</f>
        <v/>
      </c>
      <c r="R3" s="24">
        <f>SUM(R4:R136)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710104</v>
      </c>
      <c r="B4" s="33" t="inlineStr">
        <is>
          <t>IMU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>
        <v>5325</v>
      </c>
      <c r="M4" s="35" t="n"/>
      <c r="N4" s="35" t="n"/>
      <c r="O4" s="35" t="n"/>
      <c r="P4" s="35" t="n"/>
      <c r="Q4" s="35" t="n"/>
      <c r="R4" s="35" t="n">
        <v>5325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630511</v>
      </c>
      <c r="B5" s="42" t="inlineStr">
        <is>
          <t>IMPOSTE</t>
        </is>
      </c>
      <c r="C5" s="45">
        <f>SUM(D5:L5)</f>
        <v/>
      </c>
      <c r="D5" s="47" t="n"/>
      <c r="E5" s="47" t="n"/>
      <c r="F5" s="47" t="n"/>
      <c r="G5" s="47" t="n">
        <v>24151.2</v>
      </c>
      <c r="H5" s="47" t="n">
        <v>24221.24</v>
      </c>
      <c r="I5" s="47" t="n">
        <v>24300.94</v>
      </c>
      <c r="J5" s="47" t="n">
        <v>24380.64</v>
      </c>
      <c r="K5" s="47">
        <f>24460.34+46000</f>
        <v/>
      </c>
      <c r="L5" s="47" t="n"/>
      <c r="M5" s="47" t="n"/>
      <c r="N5" s="47" t="n"/>
      <c r="O5" s="47" t="n"/>
      <c r="P5" s="47" t="n"/>
      <c r="Q5" s="47" t="n"/>
      <c r="R5" s="47" t="n">
        <v>120000</v>
      </c>
      <c r="S5" s="154" t="inlineStr">
        <is>
          <t>NOVEMBRE I ACCONTO E II ACCONTO TOTALI</t>
        </is>
      </c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630519</v>
      </c>
      <c r="B6" s="42" t="inlineStr">
        <is>
          <t xml:space="preserve">TARI HOTEL </t>
        </is>
      </c>
      <c r="C6" s="45">
        <f>SUM(D6:L6)</f>
        <v/>
      </c>
      <c r="D6" s="47" t="n"/>
      <c r="E6" s="47" t="n"/>
      <c r="F6" s="47" t="n"/>
      <c r="G6" s="47" t="n">
        <v>0</v>
      </c>
      <c r="H6" s="47" t="n"/>
      <c r="I6" s="47" t="n">
        <v>85000</v>
      </c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350101</v>
      </c>
      <c r="B7" s="42" t="inlineStr">
        <is>
          <t>IVA</t>
        </is>
      </c>
      <c r="C7" s="45">
        <f>SUM(D7:L7)</f>
        <v/>
      </c>
      <c r="D7" s="47" t="n"/>
      <c r="E7" s="47" t="n"/>
      <c r="F7" s="47" t="n"/>
      <c r="G7" s="47" t="n">
        <v>50000</v>
      </c>
      <c r="H7" s="47" t="n"/>
      <c r="I7" s="47" t="n"/>
      <c r="J7" s="47" t="n">
        <v>10000</v>
      </c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350305</v>
      </c>
      <c r="B8" s="42" t="inlineStr">
        <is>
          <t>RITENUTE PROFESSIONISTI (1040)</t>
        </is>
      </c>
      <c r="C8" s="45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20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390590</v>
      </c>
      <c r="B9" s="42" t="inlineStr">
        <is>
          <t>IMPOSTA DI SOGGIORNO HP</t>
        </is>
      </c>
      <c r="C9" s="45">
        <f>SUM(D9:L9)</f>
        <v/>
      </c>
      <c r="D9" s="47" t="n"/>
      <c r="E9" s="47" t="n"/>
      <c r="F9" s="47" t="n"/>
      <c r="G9" s="47" t="n">
        <v>17760</v>
      </c>
      <c r="H9" s="47" t="n">
        <v>17388</v>
      </c>
      <c r="I9" s="47" t="n">
        <v>8380</v>
      </c>
      <c r="J9" s="47" t="n">
        <v>17316</v>
      </c>
      <c r="K9" s="47" t="n">
        <v>9916</v>
      </c>
      <c r="L9" s="47" t="n">
        <v>8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5500</v>
      </c>
      <c r="R9" s="47" t="n">
        <v>15208</v>
      </c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42" t="inlineStr">
        <is>
          <t>IMPOSTA DI SOGGIORNO AR</t>
        </is>
      </c>
      <c r="C10" s="45">
        <f>SUM(D10:L10)</f>
        <v/>
      </c>
      <c r="D10" s="47" t="n"/>
      <c r="E10" s="47" t="n"/>
      <c r="F10" s="47" t="n"/>
      <c r="G10" s="47" t="n">
        <v>1834</v>
      </c>
      <c r="H10" s="47" t="n">
        <v>2446</v>
      </c>
      <c r="I10" s="47" t="n">
        <v>1146</v>
      </c>
      <c r="J10" s="47" t="n">
        <v>2030</v>
      </c>
      <c r="K10" s="47" t="n">
        <v>1380</v>
      </c>
      <c r="L10" s="47" t="n">
        <v>12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1892</v>
      </c>
      <c r="R10" s="47" t="n">
        <v>1834</v>
      </c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390593</v>
      </c>
      <c r="B11" s="42" t="inlineStr">
        <is>
          <t>IMPOSTA DI SOGGIORNO CVM</t>
        </is>
      </c>
      <c r="C11" s="45">
        <f>SUM(D11:L11)</f>
        <v/>
      </c>
      <c r="D11" s="47" t="n"/>
      <c r="E11" s="47" t="n"/>
      <c r="F11" s="47" t="n"/>
      <c r="G11" s="47" t="n">
        <v>934</v>
      </c>
      <c r="H11" s="47" t="n">
        <v>1100</v>
      </c>
      <c r="I11" s="47" t="n">
        <v>1800</v>
      </c>
      <c r="J11" s="47" t="n">
        <v>1200</v>
      </c>
      <c r="K11" s="47" t="n">
        <v>750</v>
      </c>
      <c r="L11" s="47" t="n">
        <v>20</v>
      </c>
      <c r="M11" s="47" t="n">
        <v>120</v>
      </c>
      <c r="N11" s="47" t="n">
        <v>160</v>
      </c>
      <c r="O11" s="47" t="n">
        <v>100</v>
      </c>
      <c r="P11" s="47" t="n">
        <v>100</v>
      </c>
      <c r="Q11" s="47" t="n">
        <v>586</v>
      </c>
      <c r="R11" s="47" t="n">
        <v>992</v>
      </c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42" t="inlineStr">
        <is>
          <t>IMPOSTA DI SOGGIORNO APT</t>
        </is>
      </c>
      <c r="C12" s="45">
        <f>SUM(D12:L12)</f>
        <v/>
      </c>
      <c r="D12" s="47" t="n"/>
      <c r="E12" s="47" t="n"/>
      <c r="F12" s="47" t="n"/>
      <c r="G12" s="47" t="n">
        <v>222</v>
      </c>
      <c r="H12" s="47" t="n">
        <v>350</v>
      </c>
      <c r="I12" s="47" t="n">
        <v>200</v>
      </c>
      <c r="J12" s="47" t="n">
        <v>150</v>
      </c>
      <c r="K12" s="47" t="n">
        <v>0</v>
      </c>
      <c r="L12" s="47" t="n">
        <v>0</v>
      </c>
      <c r="M12" s="47" t="n">
        <v>0</v>
      </c>
      <c r="N12" s="47" t="n">
        <v>0</v>
      </c>
      <c r="O12" s="47" t="n">
        <v>0</v>
      </c>
      <c r="P12" s="47" t="n">
        <v>0</v>
      </c>
      <c r="Q12" s="47" t="n">
        <v>100</v>
      </c>
      <c r="R12" s="47" t="n">
        <v>150</v>
      </c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162" t="n">
        <v>630519</v>
      </c>
      <c r="B13" s="60" t="inlineStr">
        <is>
          <t>TARI RESIDENCE</t>
        </is>
      </c>
      <c r="C13" s="45">
        <f>SUM(D13:L13)</f>
        <v/>
      </c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  <c r="R13" s="119" t="n"/>
      <c r="S13" s="120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B14" s="60" t="inlineStr">
        <is>
          <t>TARI CVM</t>
        </is>
      </c>
      <c r="C14" s="45">
        <f>SUM(D14:L14)</f>
        <v/>
      </c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  <c r="R14" s="119" t="n"/>
      <c r="S14" s="120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B15" s="60" t="inlineStr">
        <is>
          <t>IRES/IRAP</t>
        </is>
      </c>
      <c r="C15" s="45">
        <f>SUM(D15:L15)</f>
        <v/>
      </c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  <c r="R15" s="119" t="n"/>
      <c r="S15" s="120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/>
      <c r="B69" s="60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32" t="n"/>
      <c r="B70" s="112" t="n"/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109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R6" sqref="R6"/>
    </sheetView>
  </sheetViews>
  <sheetFormatPr baseColWidth="10" defaultColWidth="11.1640625" defaultRowHeight="15" customHeight="1"/>
  <cols>
    <col width="8.83203125" customWidth="1" style="160" min="1" max="1"/>
    <col width="22.6640625" customWidth="1" style="160" min="2" max="2"/>
    <col width="12.6640625" customWidth="1" style="160" min="3" max="3"/>
    <col width="7.5" bestFit="1" customWidth="1" style="160" min="4" max="4"/>
    <col width="8.6640625" bestFit="1" customWidth="1" style="160" min="5" max="5"/>
    <col width="11.6640625" bestFit="1" customWidth="1" style="160" min="6" max="6"/>
    <col width="11.6640625" customWidth="1" style="160" min="7" max="8"/>
    <col width="12.6640625" bestFit="1" customWidth="1" style="160" min="9" max="9"/>
    <col width="11.6640625" customWidth="1" style="160" min="10" max="10"/>
    <col width="11.6640625" bestFit="1" customWidth="1" style="160" min="11" max="11"/>
    <col width="11" customWidth="1" style="160" min="12" max="12"/>
    <col width="9.5" bestFit="1" customWidth="1" style="160" min="13" max="13"/>
    <col width="10.5" bestFit="1" customWidth="1" style="160" min="14" max="14"/>
    <col width="9.1640625" bestFit="1" customWidth="1" style="160" min="15" max="16"/>
    <col width="16.1640625" customWidth="1" style="160" min="17" max="17"/>
    <col width="14.5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Commisisoni Portali</t>
        </is>
      </c>
      <c r="C3" s="19">
        <f>SUM(D3:L3)</f>
        <v/>
      </c>
      <c r="D3" s="24">
        <f>SUM(D4:D130)</f>
        <v/>
      </c>
      <c r="E3" s="24">
        <f>SUM(E4:E130)</f>
        <v/>
      </c>
      <c r="F3" s="24">
        <f>SUM(F4:F130)</f>
        <v/>
      </c>
      <c r="G3" s="24">
        <f>SUM(G4:G130)</f>
        <v/>
      </c>
      <c r="H3" s="24">
        <f>SUM(H4:H130)</f>
        <v/>
      </c>
      <c r="I3" s="24">
        <f>SUM(I4:I130)</f>
        <v/>
      </c>
      <c r="J3" s="24">
        <f>SUM(J4:J130)</f>
        <v/>
      </c>
      <c r="K3" s="24">
        <f>SUM(K4:K130)</f>
        <v/>
      </c>
      <c r="L3" s="24">
        <f>SUM(L4:L130)</f>
        <v/>
      </c>
      <c r="M3" s="24">
        <f>SUM(M4:M130)</f>
        <v/>
      </c>
      <c r="N3" s="24">
        <f>SUM(N4:N130)</f>
        <v/>
      </c>
      <c r="O3" s="24">
        <f>SUM(O4:O130)</f>
        <v/>
      </c>
      <c r="P3" s="24">
        <f>SUM(P4:P130)</f>
        <v/>
      </c>
      <c r="Q3" s="24">
        <f>SUM(Q4:Q130)</f>
        <v/>
      </c>
      <c r="R3" s="24">
        <f>SUM(R4:R130)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57010192</v>
      </c>
      <c r="B4" s="33" t="inlineStr">
        <is>
          <t xml:space="preserve">Commissioni Booking </t>
        </is>
      </c>
      <c r="C4" s="34">
        <f>SUM(D4:L4)</f>
        <v/>
      </c>
      <c r="D4" s="35" t="n"/>
      <c r="E4" s="47" t="n"/>
      <c r="F4" s="35" t="n"/>
      <c r="G4" s="35" t="n">
        <v>37280</v>
      </c>
      <c r="H4" s="35" t="n">
        <v>45420</v>
      </c>
      <c r="I4" s="35" t="n">
        <v>43000</v>
      </c>
      <c r="J4" s="35" t="n">
        <v>27200</v>
      </c>
      <c r="K4" s="121" t="n">
        <v>15000</v>
      </c>
      <c r="L4" s="35" t="n">
        <v>700</v>
      </c>
      <c r="M4" s="35" t="n">
        <v>0</v>
      </c>
      <c r="N4" s="35" t="n">
        <v>0</v>
      </c>
      <c r="O4" s="35" t="n">
        <v>50</v>
      </c>
      <c r="P4" s="35" t="n">
        <v>520</v>
      </c>
      <c r="Q4" s="35" t="n">
        <v>7000</v>
      </c>
      <c r="R4" s="35" t="n">
        <v>19000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57010192</v>
      </c>
      <c r="B5" s="42" t="inlineStr">
        <is>
          <t xml:space="preserve">Commissioni Expedia </t>
        </is>
      </c>
      <c r="C5" s="45">
        <f>SUM(D5:L5)</f>
        <v/>
      </c>
      <c r="D5" s="47" t="n"/>
      <c r="E5" s="47" t="n"/>
      <c r="F5" s="47" t="n"/>
      <c r="G5" s="47" t="n">
        <v>6617</v>
      </c>
      <c r="H5" s="47" t="n">
        <v>6300</v>
      </c>
      <c r="I5" s="47" t="n">
        <v>5500</v>
      </c>
      <c r="J5" s="47" t="n">
        <v>6000</v>
      </c>
      <c r="K5" s="47" t="n">
        <v>0</v>
      </c>
      <c r="L5" s="47" t="n">
        <v>7500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2132</v>
      </c>
      <c r="R5" s="47" t="n">
        <v>5000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414</v>
      </c>
      <c r="B6" s="42" t="inlineStr">
        <is>
          <t>NEXI PAYMENTS S.p.A.</t>
        </is>
      </c>
      <c r="C6" s="45">
        <f>SUM(D6:L6)</f>
        <v/>
      </c>
      <c r="D6" s="119" t="n"/>
      <c r="E6" s="47" t="n"/>
      <c r="F6" s="47" t="n"/>
      <c r="G6" s="47" t="n">
        <v>10389</v>
      </c>
      <c r="H6" s="47" t="n">
        <v>11000</v>
      </c>
      <c r="I6" s="47" t="n">
        <v>11100</v>
      </c>
      <c r="J6" s="119" t="n">
        <v>10500</v>
      </c>
      <c r="K6" s="119" t="n">
        <v>3500</v>
      </c>
      <c r="L6" s="119" t="n">
        <v>50</v>
      </c>
      <c r="M6" s="119" t="n">
        <v>150</v>
      </c>
      <c r="N6" s="119" t="n">
        <v>90</v>
      </c>
      <c r="O6" s="119" t="n">
        <v>160</v>
      </c>
      <c r="P6" s="119" t="n">
        <v>450</v>
      </c>
      <c r="Q6" s="119" t="n">
        <v>5300</v>
      </c>
      <c r="R6" s="119" t="n">
        <v>11500</v>
      </c>
      <c r="S6" s="120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/>
      <c r="B7" s="42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112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5" t="n"/>
      <c r="B65" s="109" t="n"/>
      <c r="C65" s="5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L65" s="109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5" t="n"/>
      <c r="B66" s="109" t="n"/>
      <c r="C66" s="5" t="n"/>
      <c r="D66" s="109" t="n"/>
      <c r="E66" s="109" t="n"/>
      <c r="F66" s="109" t="n"/>
      <c r="G66" s="109" t="n"/>
      <c r="H66" s="109" t="n"/>
      <c r="I66" s="109" t="n"/>
      <c r="J66" s="109" t="n"/>
      <c r="K66" s="109" t="n"/>
      <c r="L66" s="109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109" t="n"/>
      <c r="C67" s="5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L67" s="109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5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R7" sqref="R7"/>
    </sheetView>
  </sheetViews>
  <sheetFormatPr baseColWidth="10" defaultColWidth="11.1640625" defaultRowHeight="15" customHeight="1"/>
  <cols>
    <col width="8.6640625" bestFit="1" customWidth="1" style="160" min="1" max="1"/>
    <col width="22.83203125" customWidth="1" style="160" min="2" max="2"/>
    <col width="12.6640625" bestFit="1" customWidth="1" style="160" min="3" max="3"/>
    <col width="7.5" bestFit="1" customWidth="1" style="160" min="4" max="4"/>
    <col width="8.6640625" bestFit="1" customWidth="1" style="160" min="5" max="5"/>
    <col width="8.6640625" customWidth="1" style="160" min="6" max="6"/>
    <col width="11.6640625" customWidth="1" style="160" min="7" max="8"/>
    <col width="12.6640625" bestFit="1" customWidth="1" style="160" min="9" max="9"/>
    <col width="11.6640625" customWidth="1" style="160" min="10" max="10"/>
    <col width="11.6640625" bestFit="1" customWidth="1" style="160" min="11" max="11"/>
    <col width="12.6640625" customWidth="1" style="160" min="12" max="12"/>
    <col width="11.6640625" bestFit="1" customWidth="1" style="160" min="13" max="17"/>
    <col width="12.6640625" bestFit="1" customWidth="1" style="160" min="18" max="18"/>
    <col width="11.1640625" customWidth="1" style="160" min="19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5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Mutui e Finanaziamenti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310394</v>
      </c>
      <c r="B4" s="33" t="inlineStr">
        <is>
          <t xml:space="preserve">Mutuo MPS 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>
        <v>166176</v>
      </c>
      <c r="M4" s="35" t="n"/>
      <c r="N4" s="35" t="n"/>
      <c r="O4" s="35" t="n"/>
      <c r="P4" s="35" t="n"/>
      <c r="Q4" s="35" t="n"/>
      <c r="R4" s="35" t="n">
        <v>166176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310392</v>
      </c>
      <c r="B5" s="42" t="inlineStr">
        <is>
          <t>EX Muto Intesa (mps)</t>
        </is>
      </c>
      <c r="C5" s="45">
        <f>SUM(D5:L5)</f>
        <v/>
      </c>
      <c r="D5" s="47" t="n"/>
      <c r="E5" s="47" t="n"/>
      <c r="F5" s="47" t="n"/>
      <c r="G5" s="47" t="n">
        <v>12265.38</v>
      </c>
      <c r="H5" s="47" t="n">
        <v>12264.67</v>
      </c>
      <c r="I5" s="47" t="n">
        <v>12233.4</v>
      </c>
      <c r="J5" s="47" t="n">
        <v>12263.24</v>
      </c>
      <c r="K5" s="47" t="n">
        <v>12234.42</v>
      </c>
      <c r="L5" s="47" t="n">
        <v>12261.8</v>
      </c>
      <c r="M5" s="47" t="n">
        <v>12261.08</v>
      </c>
      <c r="N5" s="47" t="n">
        <v>12187.2</v>
      </c>
      <c r="O5" s="47" t="n">
        <v>12259.62</v>
      </c>
      <c r="P5" s="47" t="n">
        <v>12237.01</v>
      </c>
      <c r="Q5" s="47" t="n">
        <v>12258.17</v>
      </c>
      <c r="R5" s="47" t="n">
        <v>12238.05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310305</v>
      </c>
      <c r="B6" s="42" t="inlineStr">
        <is>
          <t>Finanziamento MPS 75k</t>
        </is>
      </c>
      <c r="C6" s="45">
        <f>SUM(D6:L6)</f>
        <v/>
      </c>
      <c r="D6" s="47" t="n"/>
      <c r="E6" s="47" t="n"/>
      <c r="F6" s="47" t="n"/>
      <c r="G6" s="47" t="n">
        <v>1393.92</v>
      </c>
      <c r="H6" s="47" t="n">
        <v>1393.92</v>
      </c>
      <c r="I6" s="47" t="n">
        <v>1393.92</v>
      </c>
      <c r="J6" s="47" t="n">
        <v>1393.92</v>
      </c>
      <c r="K6" s="47" t="n">
        <v>1393.92</v>
      </c>
      <c r="L6" s="47" t="n">
        <v>1393.92</v>
      </c>
      <c r="M6" s="47" t="n">
        <v>1393.92</v>
      </c>
      <c r="N6" s="47" t="n">
        <v>1393.92</v>
      </c>
      <c r="O6" s="47" t="n">
        <v>1393.92</v>
      </c>
      <c r="P6" s="47" t="n">
        <v>1393.92</v>
      </c>
      <c r="Q6" s="47" t="n">
        <v>1393.92</v>
      </c>
      <c r="R6" s="47" t="n">
        <v>1393.92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/>
      <c r="B7" s="60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60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G13" sqref="G13"/>
    </sheetView>
  </sheetViews>
  <sheetFormatPr baseColWidth="10" defaultColWidth="11.1640625" defaultRowHeight="15" customHeight="1"/>
  <cols>
    <col width="8.83203125" customWidth="1" style="160" min="1" max="1"/>
    <col width="41.1640625" bestFit="1" customWidth="1" style="160" min="2" max="2"/>
    <col width="11.6640625" customWidth="1" style="160" min="3" max="3"/>
    <col width="7.5" bestFit="1" customWidth="1" style="160" min="4" max="4"/>
    <col width="8.6640625" bestFit="1" customWidth="1" style="160" min="5" max="5"/>
    <col width="8.6640625" customWidth="1" style="160" min="6" max="6"/>
    <col width="11.6640625" customWidth="1" style="160" min="7" max="7"/>
    <col width="10.6640625" customWidth="1" style="160" min="8" max="8"/>
    <col width="12.6640625" bestFit="1" customWidth="1" style="160" min="9" max="9"/>
    <col width="10.6640625" bestFit="1" customWidth="1" style="160" min="10" max="10"/>
    <col width="11.6640625" bestFit="1" customWidth="1" style="160" min="11" max="11"/>
    <col width="11" customWidth="1" style="160" min="12" max="12"/>
    <col width="10.6640625" bestFit="1" customWidth="1" style="160" min="13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Consulenze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61010191</v>
      </c>
      <c r="B4" s="33" t="inlineStr">
        <is>
          <t>Consulenza del lavoro</t>
        </is>
      </c>
      <c r="C4" s="34">
        <f>SUM(D4:L4)</f>
        <v/>
      </c>
      <c r="D4" s="35" t="n"/>
      <c r="E4" s="35" t="n"/>
      <c r="F4" s="35" t="n"/>
      <c r="G4" s="35" t="n">
        <v>2292.04</v>
      </c>
      <c r="H4" s="35" t="n"/>
      <c r="I4" s="35" t="n">
        <v>3700</v>
      </c>
      <c r="J4" s="35" t="n"/>
      <c r="K4" s="35" t="n">
        <v>0</v>
      </c>
      <c r="L4" s="35" t="n"/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610101</v>
      </c>
      <c r="B5" s="42" t="inlineStr">
        <is>
          <t>Consulenza fiscale</t>
        </is>
      </c>
      <c r="C5" s="45">
        <f>SUM(D5:L5)</f>
        <v/>
      </c>
      <c r="D5" s="35" t="n"/>
      <c r="E5" s="35" t="n"/>
      <c r="F5" s="35" t="n"/>
      <c r="G5" s="35" t="n">
        <v>5193.6</v>
      </c>
      <c r="H5" s="35" t="n"/>
      <c r="I5" s="47" t="n">
        <v>5500</v>
      </c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610105</v>
      </c>
      <c r="B6" s="42" t="inlineStr">
        <is>
          <t>Consulenza legale</t>
        </is>
      </c>
      <c r="C6" s="45">
        <f>SUM(D6:L6)</f>
        <v/>
      </c>
      <c r="D6" s="35" t="n"/>
      <c r="E6" s="35" t="n"/>
      <c r="F6" s="35" t="n"/>
      <c r="G6" s="35" t="n">
        <v>0</v>
      </c>
      <c r="H6" s="35" t="n">
        <v>0</v>
      </c>
      <c r="I6" s="47" t="n">
        <v>15000</v>
      </c>
      <c r="J6" s="59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610107</v>
      </c>
      <c r="B7" s="42" t="inlineStr">
        <is>
          <t>Consulenza notarile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1549</v>
      </c>
      <c r="B8" s="42" t="inlineStr">
        <is>
          <t>Team Work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630515</v>
      </c>
      <c r="B9" s="42" t="inlineStr">
        <is>
          <t>Polizza Generali</t>
        </is>
      </c>
      <c r="C9" s="45">
        <f>SUM(D9:L9)</f>
        <v/>
      </c>
      <c r="D9" s="47" t="n"/>
      <c r="E9" s="47" t="n"/>
      <c r="F9" s="47" t="n"/>
      <c r="G9" s="47" t="n">
        <v>9000</v>
      </c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42" t="inlineStr">
        <is>
          <t>Hospitality Project</t>
        </is>
      </c>
      <c r="C10" s="45">
        <f>SUM(D10:L10)</f>
        <v/>
      </c>
      <c r="D10" s="47" t="n"/>
      <c r="E10" s="47" t="n"/>
      <c r="F10" s="47" t="n"/>
      <c r="G10" s="47" t="n">
        <v>3416</v>
      </c>
      <c r="H10" s="47" t="n">
        <v>3416</v>
      </c>
      <c r="I10" s="47" t="n">
        <v>3416</v>
      </c>
      <c r="J10" s="47" t="n">
        <v>3416</v>
      </c>
      <c r="K10" s="47" t="n">
        <v>3416</v>
      </c>
      <c r="L10" s="47" t="n">
        <v>3416</v>
      </c>
      <c r="M10" s="47" t="n">
        <v>3416</v>
      </c>
      <c r="N10" s="47" t="n">
        <v>3416</v>
      </c>
      <c r="O10" s="47" t="n">
        <v>3416</v>
      </c>
      <c r="P10" s="47" t="n">
        <v>3416</v>
      </c>
      <c r="Q10" s="47" t="n">
        <v>3416</v>
      </c>
      <c r="R10" s="47" t="n">
        <v>3416</v>
      </c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42" t="n"/>
      <c r="C11" s="45">
        <f>SUM(D11:L11)</f>
        <v/>
      </c>
      <c r="D11" s="59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369</v>
      </c>
      <c r="B12" s="60" t="inlineStr">
        <is>
          <t>Creative Idea S.N.C. Di De Martino Diodato &amp; C.</t>
        </is>
      </c>
      <c r="C12" s="45">
        <f>SUM(D12:L12)</f>
        <v/>
      </c>
      <c r="D12" s="47" t="n"/>
      <c r="E12" s="47" t="n"/>
      <c r="F12" s="47" t="n"/>
      <c r="G12" s="47" t="n">
        <v>3111</v>
      </c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132</v>
      </c>
      <c r="B13" s="60" t="inlineStr">
        <is>
          <t>STUDIO QUATTRO S.R.L.</t>
        </is>
      </c>
      <c r="C13" s="45">
        <f>SUM(D13:L13)</f>
        <v/>
      </c>
      <c r="D13" s="47" t="n"/>
      <c r="E13" s="47" t="n"/>
      <c r="F13" s="47" t="n"/>
      <c r="G13" s="47" t="n">
        <v>1742.16</v>
      </c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R5" sqref="R5:R7"/>
    </sheetView>
  </sheetViews>
  <sheetFormatPr baseColWidth="10" defaultColWidth="11.1640625" defaultRowHeight="15" customHeight="1"/>
  <cols>
    <col width="8.6640625" customWidth="1" style="160" min="1" max="1"/>
    <col width="23" customWidth="1" style="160" min="2" max="2"/>
    <col width="14.6640625" bestFit="1" customWidth="1" style="160" min="3" max="3"/>
    <col width="7.5" customWidth="1" style="160" min="4" max="4"/>
    <col width="8.6640625" customWidth="1" style="160" min="5" max="5"/>
    <col width="12.6640625" customWidth="1" style="160" min="6" max="11"/>
    <col width="13.1640625" bestFit="1" customWidth="1" style="160" min="12" max="12"/>
    <col width="8.33203125" customWidth="1" style="160" min="13" max="17"/>
    <col width="12.6640625" bestFit="1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Gofimento Beni di Terzi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651101</v>
      </c>
      <c r="B5" s="33" t="inlineStr">
        <is>
          <t>Fitto Ramo d' Azienda</t>
        </is>
      </c>
      <c r="C5" s="34">
        <f>SUM(D5:L5)</f>
        <v/>
      </c>
      <c r="D5" s="35" t="n"/>
      <c r="E5" s="35" t="n"/>
      <c r="F5" s="35" t="n"/>
      <c r="G5" s="35" t="n">
        <v>244000</v>
      </c>
      <c r="H5" s="35" t="n">
        <v>0</v>
      </c>
      <c r="I5" s="35" t="n"/>
      <c r="J5" s="35" t="n">
        <v>244000</v>
      </c>
      <c r="K5" s="35" t="n"/>
      <c r="L5" s="35" t="n">
        <v>730918</v>
      </c>
      <c r="M5" s="35" t="n"/>
      <c r="N5" s="35" t="n"/>
      <c r="O5" s="35" t="n"/>
      <c r="P5" s="35" t="n"/>
      <c r="Q5" s="35" t="n"/>
      <c r="R5" s="35" t="n">
        <v>244000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651101</v>
      </c>
      <c r="B6" s="42" t="inlineStr">
        <is>
          <t>Fitto AR</t>
        </is>
      </c>
      <c r="C6" s="45">
        <f>SUM(D6:L6)</f>
        <v/>
      </c>
      <c r="D6" s="47" t="n"/>
      <c r="E6" s="47" t="n"/>
      <c r="F6" s="47" t="n"/>
      <c r="G6" s="47" t="n">
        <v>60000</v>
      </c>
      <c r="H6" s="47" t="n">
        <v>60000</v>
      </c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>
        <v>120000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651101</v>
      </c>
      <c r="B7" s="42" t="inlineStr">
        <is>
          <t>Fitto CVM</t>
        </is>
      </c>
      <c r="C7" s="45">
        <f>SUM(D7:L7)</f>
        <v/>
      </c>
      <c r="D7" s="47" t="n"/>
      <c r="E7" s="47" t="n"/>
      <c r="F7" s="47" t="n"/>
      <c r="G7" s="47" t="n">
        <v>100000</v>
      </c>
      <c r="H7" s="47" t="n"/>
      <c r="I7" s="47" t="n"/>
      <c r="J7" s="47" t="n"/>
      <c r="K7" s="47" t="n">
        <v>50000</v>
      </c>
      <c r="L7" s="47" t="n"/>
      <c r="M7" s="47" t="n"/>
      <c r="N7" s="47" t="n"/>
      <c r="O7" s="47" t="n"/>
      <c r="P7" s="47" t="n"/>
      <c r="Q7" s="47" t="n"/>
      <c r="R7" s="47" t="n">
        <v>15000</v>
      </c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/>
      <c r="B69" s="112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topLeftCell="C1" workbookViewId="0">
      <selection activeCell="P21" sqref="P21"/>
    </sheetView>
  </sheetViews>
  <sheetFormatPr baseColWidth="10" defaultColWidth="11.1640625" defaultRowHeight="15" customHeight="1"/>
  <cols>
    <col width="8.6640625" customWidth="1" style="160" min="1" max="1"/>
    <col width="73" customWidth="1" style="160" min="2" max="2"/>
    <col width="11.6640625" customWidth="1" style="160" min="3" max="3"/>
    <col hidden="1" width="7.5" customWidth="1" style="160" min="4" max="4"/>
    <col width="8.6640625" customWidth="1" style="160" min="5" max="6"/>
    <col width="11.6640625" customWidth="1" style="160" min="7" max="7"/>
    <col width="10.6640625" customWidth="1" style="160" min="8" max="8"/>
    <col width="12.6640625" customWidth="1" style="160" min="9" max="9"/>
    <col width="11" bestFit="1" customWidth="1" style="160" min="10" max="10"/>
    <col width="11.6640625" customWidth="1" style="160" min="11" max="12"/>
    <col width="9.83203125" bestFit="1" customWidth="1" style="160" min="13" max="13"/>
    <col width="10.83203125" bestFit="1" customWidth="1" style="160" min="14" max="14"/>
    <col width="9.5" bestFit="1" customWidth="1" style="160" min="15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Canoni e servizi</t>
        </is>
      </c>
      <c r="C4" s="19">
        <f>SUM(D4:L4)</f>
        <v/>
      </c>
      <c r="D4" s="29">
        <f>SUM(D5:D131)</f>
        <v/>
      </c>
      <c r="E4" s="29">
        <f>SUM(E5:E131)</f>
        <v/>
      </c>
      <c r="F4" s="29">
        <f>SUM(F5:F131)</f>
        <v/>
      </c>
      <c r="G4" s="29">
        <f>SUM(G5:G131)</f>
        <v/>
      </c>
      <c r="H4" s="29">
        <f>SUM(H5:H131)</f>
        <v/>
      </c>
      <c r="I4" s="29">
        <f>SUM(I5:I131)</f>
        <v/>
      </c>
      <c r="J4" s="29">
        <f>SUM(J5:J131)</f>
        <v/>
      </c>
      <c r="K4" s="29">
        <f>SUM(K5:K131)</f>
        <v/>
      </c>
      <c r="L4" s="29">
        <f>SUM(L5:L131)</f>
        <v/>
      </c>
      <c r="M4" s="29">
        <f>SUM(M5:M131)</f>
        <v/>
      </c>
      <c r="N4" s="29">
        <f>SUM(N5:N131)</f>
        <v/>
      </c>
      <c r="O4" s="29">
        <f>SUM(O5:O131)</f>
        <v/>
      </c>
      <c r="P4" s="29">
        <f>SUM(P5:P131)</f>
        <v/>
      </c>
      <c r="Q4" s="29">
        <f>SUM(Q5:Q131)</f>
        <v/>
      </c>
      <c r="R4" s="29">
        <f>SUM(R5:R131)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12</v>
      </c>
      <c r="B5" s="33" t="inlineStr">
        <is>
          <t>Proxima Service</t>
        </is>
      </c>
      <c r="C5" s="34">
        <f>SUM(D5:L5)</f>
        <v/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948</v>
      </c>
      <c r="B6" s="42" t="inlineStr">
        <is>
          <t>Hoxell</t>
        </is>
      </c>
      <c r="C6" s="45">
        <f>SUM(D6:L6)</f>
        <v/>
      </c>
      <c r="D6" s="59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10</v>
      </c>
      <c r="B7" s="42" t="inlineStr">
        <is>
          <t>Sistemi (E_solver)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inlineStr">
        <is>
          <t xml:space="preserve">Zucchetti </t>
        </is>
      </c>
      <c r="C8" s="45">
        <f>SUM(D8:L8)</f>
        <v/>
      </c>
      <c r="D8" s="47" t="n"/>
      <c r="E8" s="47" t="n"/>
      <c r="F8" s="47" t="n"/>
      <c r="G8" s="47" t="n">
        <v>152.5</v>
      </c>
      <c r="H8" s="47" t="n"/>
      <c r="I8" s="47" t="n"/>
      <c r="J8" s="47" t="n"/>
      <c r="K8" s="47" t="n"/>
      <c r="L8" s="47" t="n">
        <v>16600</v>
      </c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1270</v>
      </c>
      <c r="B9" s="42" t="inlineStr">
        <is>
          <t>BESTRANK SOCIETA' A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81</v>
      </c>
      <c r="B10" s="42" t="inlineStr">
        <is>
          <t>PLAN ITALIA S.R.L.</t>
        </is>
      </c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42" t="inlineStr">
        <is>
          <t>Altamira</t>
        </is>
      </c>
      <c r="C11" s="45">
        <f>SUM(D11:L11)</f>
        <v/>
      </c>
      <c r="D11" s="47" t="n"/>
      <c r="E11" s="47" t="n"/>
      <c r="F11" s="47" t="n"/>
      <c r="G11" s="47">
        <f>310*1.22</f>
        <v/>
      </c>
      <c r="H11" s="47">
        <f>310*1.22</f>
        <v/>
      </c>
      <c r="I11" s="47">
        <f>310*1.22</f>
        <v/>
      </c>
      <c r="J11" s="47">
        <f>310*1.22</f>
        <v/>
      </c>
      <c r="K11" s="47">
        <f>310*1.22</f>
        <v/>
      </c>
      <c r="L11" s="47">
        <f>310*1.22</f>
        <v/>
      </c>
      <c r="M11" s="47">
        <f>310*1.22</f>
        <v/>
      </c>
      <c r="N11" s="47">
        <f>310*1.22</f>
        <v/>
      </c>
      <c r="O11" s="47">
        <f>310*1.22</f>
        <v/>
      </c>
      <c r="P11" s="47">
        <f>310*1.22</f>
        <v/>
      </c>
      <c r="Q11" s="47">
        <f>310*1.22</f>
        <v/>
      </c>
      <c r="R11" s="47">
        <f>310*1.22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750195</v>
      </c>
      <c r="B12" s="42" t="inlineStr">
        <is>
          <t>Commissioni Transato Pos</t>
        </is>
      </c>
      <c r="C12" s="45">
        <f>SUM(D12:L12)</f>
        <v/>
      </c>
      <c r="D12" s="47" t="n"/>
      <c r="E12" s="47" t="n"/>
      <c r="F12" s="47" t="n"/>
      <c r="G12" s="47" t="n">
        <v>7362.04</v>
      </c>
      <c r="H12" s="47" t="n">
        <v>813.88</v>
      </c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76</v>
      </c>
      <c r="B13" s="42" t="inlineStr">
        <is>
          <t>Soft tecnology</t>
        </is>
      </c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750107</v>
      </c>
      <c r="B14" s="42" t="inlineStr">
        <is>
          <t>Commissioni e spese Bancarie Varie(Imposta di bollo/tenuta conto/bonifici/etc )</t>
        </is>
      </c>
      <c r="C14" s="45">
        <f>SUM(D14:L14)</f>
        <v/>
      </c>
      <c r="D14" s="47" t="n"/>
      <c r="E14" s="47" t="n"/>
      <c r="F14" s="47" t="n"/>
      <c r="G14" s="47" t="n"/>
      <c r="H14" s="47" t="n">
        <v>2000</v>
      </c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1076</v>
      </c>
      <c r="B15" s="124" t="inlineStr">
        <is>
          <t>Noleggio Tesla</t>
        </is>
      </c>
      <c r="C15" s="45">
        <f>SUM(D15:L15)</f>
        <v/>
      </c>
      <c r="D15" s="47" t="n"/>
      <c r="E15" s="47" t="n"/>
      <c r="F15" s="47" t="n"/>
      <c r="G15" s="47" t="n">
        <v>1030.64</v>
      </c>
      <c r="H15" s="47" t="n">
        <v>1030.64</v>
      </c>
      <c r="I15" s="47" t="n">
        <v>1030.64</v>
      </c>
      <c r="J15" s="47" t="n">
        <v>1030.64</v>
      </c>
      <c r="K15" s="47" t="n">
        <v>1030.64</v>
      </c>
      <c r="L15" s="47" t="n">
        <v>1030.64</v>
      </c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1276</v>
      </c>
      <c r="B16" s="124" t="inlineStr">
        <is>
          <t>Alba Leasing S.P.A.</t>
        </is>
      </c>
      <c r="C16" s="45">
        <f>SUM(D16:L16)</f>
        <v/>
      </c>
      <c r="D16" s="47" t="n"/>
      <c r="E16" s="47" t="n"/>
      <c r="F16" s="47" t="n"/>
      <c r="G16" s="47" t="n">
        <v>423.39</v>
      </c>
      <c r="H16" s="47" t="n"/>
      <c r="I16" s="47" t="n">
        <v>423.39</v>
      </c>
      <c r="J16" s="47" t="n"/>
      <c r="K16" s="47" t="n">
        <v>423.39</v>
      </c>
      <c r="L16" s="47" t="n"/>
      <c r="M16" s="47" t="n">
        <v>423.39</v>
      </c>
      <c r="N16" s="47" t="n"/>
      <c r="O16" s="47" t="n">
        <v>423.39</v>
      </c>
      <c r="P16" s="47" t="n"/>
      <c r="Q16" s="47" t="n">
        <v>423.39</v>
      </c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137</v>
      </c>
      <c r="B17" s="60" t="inlineStr">
        <is>
          <t>Primavera Servizi Srl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630515</v>
      </c>
      <c r="B18" s="124" t="inlineStr">
        <is>
          <t>Polizza Generali</t>
        </is>
      </c>
      <c r="C18" s="45">
        <f>SUM(D18:L18)</f>
        <v/>
      </c>
      <c r="D18" s="47" t="n"/>
      <c r="E18" s="47" t="n"/>
      <c r="F18" s="47" t="n"/>
      <c r="G18" s="47" t="n">
        <v>9000</v>
      </c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52</v>
      </c>
      <c r="B19" s="60" t="inlineStr">
        <is>
          <t>L'Europea derattizzazione</t>
        </is>
      </c>
      <c r="C19" s="45">
        <f>SUM(D19:L19)</f>
        <v/>
      </c>
      <c r="D19" s="47" t="n"/>
      <c r="E19" s="47" t="n"/>
      <c r="F19" s="47" t="n"/>
      <c r="G19" s="47" t="n"/>
      <c r="H19" s="47" t="n">
        <v>915</v>
      </c>
      <c r="I19" s="47" t="n"/>
      <c r="J19" s="47" t="n">
        <v>610</v>
      </c>
      <c r="K19" s="47" t="n"/>
      <c r="L19" s="47" t="n">
        <v>305</v>
      </c>
      <c r="M19" s="47" t="n"/>
      <c r="N19" s="47" t="n">
        <v>305</v>
      </c>
      <c r="O19" s="47" t="n"/>
      <c r="P19" s="47" t="n">
        <v>610</v>
      </c>
      <c r="Q19" s="47" t="n"/>
      <c r="R19" s="47" t="n">
        <v>610</v>
      </c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654</v>
      </c>
      <c r="B20" s="60" t="inlineStr">
        <is>
          <t>GOOGLE CLOUD ITALY S.R.L.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1222</v>
      </c>
      <c r="B21" s="60" t="inlineStr">
        <is>
          <t>Pietra Di Luna Hotel - S.R.L.</t>
        </is>
      </c>
      <c r="C21" s="45">
        <f>SUM(D21:L21)</f>
        <v/>
      </c>
      <c r="D21" s="47" t="n"/>
      <c r="E21" s="47" t="n"/>
      <c r="F21" s="47" t="n"/>
      <c r="G21" s="47" t="n">
        <v>921.1</v>
      </c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1010</v>
      </c>
      <c r="B22" s="60" t="inlineStr">
        <is>
          <t>VALLOUFFICIO SOLUZIONI di Zavaglia Nicola &amp; C. S.A.S.</t>
        </is>
      </c>
      <c r="C22" s="45">
        <f>SUM(D22:L22)</f>
        <v/>
      </c>
      <c r="D22" s="47" t="n"/>
      <c r="E22" s="47" t="n"/>
      <c r="F22" s="47" t="n"/>
      <c r="G22" s="47" t="n">
        <v>366</v>
      </c>
      <c r="H22" s="47" t="n">
        <v>95.12</v>
      </c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112" t="n"/>
      <c r="C66" s="45">
        <f>SUM(D66:L66)</f>
        <v/>
      </c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109" t="n"/>
      <c r="C67" s="5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L67" s="109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topLeftCell="A3" workbookViewId="0">
      <selection activeCell="K16" sqref="K16"/>
    </sheetView>
  </sheetViews>
  <sheetFormatPr baseColWidth="10" defaultColWidth="11.1640625" defaultRowHeight="15" customHeight="1"/>
  <cols>
    <col width="8.6640625" customWidth="1" style="160" min="1" max="1"/>
    <col width="53" customWidth="1" style="160" min="2" max="2"/>
    <col width="11.6640625" customWidth="1" style="160" min="3" max="3"/>
    <col width="7.5" customWidth="1" style="160" min="4" max="4"/>
    <col width="8.6640625" customWidth="1" style="160" min="5" max="5"/>
    <col width="11.6640625" customWidth="1" style="160" min="6" max="7"/>
    <col width="12" bestFit="1" customWidth="1" style="160" min="8" max="8"/>
    <col width="12.6640625" customWidth="1" style="160" min="9" max="9"/>
    <col width="11" bestFit="1" customWidth="1" style="160" min="10" max="10"/>
    <col width="11.6640625" customWidth="1" style="160" min="11" max="11"/>
    <col width="11" customWidth="1" style="160" min="12" max="12"/>
    <col width="8.33203125" customWidth="1" style="160" min="13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63" t="n">
        <v>2027</v>
      </c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Variee ed Eventuali</t>
        </is>
      </c>
      <c r="C3" s="19">
        <f>SUM(D3:L3)</f>
        <v/>
      </c>
      <c r="D3" s="24">
        <f>SUM(D4:D133)</f>
        <v/>
      </c>
      <c r="E3" s="24">
        <f>SUM(E4:E133)</f>
        <v/>
      </c>
      <c r="F3" s="24">
        <f>SUM(F4:F133)</f>
        <v/>
      </c>
      <c r="G3" s="24">
        <f>SUM(G4:G133)</f>
        <v/>
      </c>
      <c r="H3" s="24">
        <f>SUM(H4:H133)</f>
        <v/>
      </c>
      <c r="I3" s="24">
        <f>SUM(I4:I133)</f>
        <v/>
      </c>
      <c r="J3" s="24">
        <f>SUM(J4:J133)</f>
        <v/>
      </c>
      <c r="K3" s="24">
        <f>SUM(K4:K133)</f>
        <v/>
      </c>
      <c r="L3" s="24">
        <f>SUM(L4:L133)</f>
        <v/>
      </c>
      <c r="M3" s="24">
        <f>SUM(M4:M133)</f>
        <v/>
      </c>
      <c r="N3" s="24">
        <f>SUM(N4:N133)</f>
        <v/>
      </c>
      <c r="O3" s="24">
        <f>SUM(O4:O133)</f>
        <v/>
      </c>
      <c r="P3" s="24">
        <f>SUM(P4:P133)</f>
        <v/>
      </c>
      <c r="Q3" s="24">
        <f>SUM(Q4:Q133)</f>
        <v/>
      </c>
      <c r="R3" s="24">
        <f>SUM(R4:R133)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5.75" customHeight="1" s="160" thickTop="1">
      <c r="A4" s="32" t="n">
        <v>650107</v>
      </c>
      <c r="B4" s="125" t="inlineStr">
        <is>
          <t>Spese Condominiali</t>
        </is>
      </c>
      <c r="C4" s="45">
        <f>SUM(D4:L4)</f>
        <v/>
      </c>
      <c r="D4" s="47" t="n"/>
      <c r="E4" s="47" t="n"/>
      <c r="F4" s="47" t="n"/>
      <c r="G4" s="47" t="n"/>
      <c r="H4" s="47" t="n">
        <v>13534.88</v>
      </c>
      <c r="I4" s="47" t="n">
        <v>6767.44</v>
      </c>
      <c r="J4" s="47" t="n">
        <v>6767.44</v>
      </c>
      <c r="K4" s="47" t="n">
        <v>6767.44</v>
      </c>
      <c r="L4" s="47" t="n">
        <v>6767.44</v>
      </c>
      <c r="M4" s="47" t="n"/>
      <c r="N4" s="47" t="n"/>
      <c r="O4" s="47" t="n"/>
      <c r="P4" s="47" t="n"/>
      <c r="Q4" s="47" t="n"/>
      <c r="R4" s="47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1080</v>
      </c>
      <c r="B5" s="60" t="inlineStr">
        <is>
          <t>AUTOSTRADE PER L'ITALIA S.P.A.</t>
        </is>
      </c>
      <c r="C5" s="45">
        <f>SUM(D5:L5)</f>
        <v/>
      </c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795</v>
      </c>
      <c r="B6" s="60" t="inlineStr">
        <is>
          <t>DEL RISPARMIO</t>
        </is>
      </c>
      <c r="C6" s="45">
        <f>SUM(D6:L6)</f>
        <v/>
      </c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1625</v>
      </c>
      <c r="B7" s="60" t="inlineStr">
        <is>
          <t>EDILIZIA ED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127</v>
      </c>
      <c r="B8" s="60" t="inlineStr">
        <is>
          <t>FEIO S.R.L.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647</v>
      </c>
      <c r="B9" s="60" t="inlineStr">
        <is>
          <t>H &amp; M HENNES &amp; MAURITZ S.R.L.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1629</v>
      </c>
      <c r="B10" s="60" t="inlineStr">
        <is>
          <t>Mana  srls</t>
        </is>
      </c>
      <c r="C10" s="45">
        <f>SUM(D10:L10)</f>
        <v/>
      </c>
      <c r="D10" s="47" t="n"/>
      <c r="E10" s="47" t="n"/>
      <c r="F10" s="47" t="n"/>
      <c r="G10" s="47" t="n">
        <v>1650</v>
      </c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1626</v>
      </c>
      <c r="B11" s="60" t="inlineStr">
        <is>
          <t>ROSANTO S.R.L.</t>
        </is>
      </c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1638</v>
      </c>
      <c r="B12" s="60" t="inlineStr">
        <is>
          <t>CENTRO MODA S.R.L.</t>
        </is>
      </c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1646</v>
      </c>
      <c r="B13" s="60" t="inlineStr">
        <is>
          <t>DIECI S.R.L.S.</t>
        </is>
      </c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1647</v>
      </c>
      <c r="B14" s="60" t="inlineStr">
        <is>
          <t>HAIR GALLERY EUROPE SRL</t>
        </is>
      </c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179</v>
      </c>
      <c r="B15" s="60" t="inlineStr">
        <is>
          <t>FERRIGNO MARIA C S N C</t>
        </is>
      </c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744</v>
      </c>
      <c r="B16" s="60" t="inlineStr">
        <is>
          <t>Nola Ferramenta Srl</t>
        </is>
      </c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1036</v>
      </c>
      <c r="B17" s="60" t="inlineStr">
        <is>
          <t>Re Denari di Marco Oliva &amp; C. Sas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70</v>
      </c>
      <c r="B18" s="60" t="inlineStr">
        <is>
          <t>MAGALDI LIFE SRL SOC. UNIP.</t>
        </is>
      </c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1696</v>
      </c>
      <c r="B19" s="60" t="inlineStr">
        <is>
          <t>READYPRINT DI PIPITONE BRUNO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170</v>
      </c>
      <c r="B20" s="60" t="inlineStr">
        <is>
          <t>Leroy Merlin Italia srl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109</v>
      </c>
      <c r="B21" s="60" t="inlineStr">
        <is>
          <t>MEDIAMARKET S.P.A. CON SOCIO UNICO</t>
        </is>
      </c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123</v>
      </c>
      <c r="B22" s="60" t="inlineStr">
        <is>
          <t>PREGIS S.P.A.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>
        <v>1183</v>
      </c>
      <c r="B23" s="60" t="inlineStr">
        <is>
          <t>ADRA S.R.L.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>
        <v>618</v>
      </c>
      <c r="B24" s="60" t="inlineStr">
        <is>
          <t>Apple Retail Italia</t>
        </is>
      </c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>
        <v>1724</v>
      </c>
      <c r="B25" s="60" t="inlineStr">
        <is>
          <t>D.L. Brothers</t>
        </is>
      </c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>
        <v>1748</v>
      </c>
      <c r="B26" s="60" t="inlineStr">
        <is>
          <t>Doctor Spy Societa' A Responsabilita' Limitata</t>
        </is>
      </c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>
        <v>1773</v>
      </c>
      <c r="B27" s="60" t="inlineStr">
        <is>
          <t>Gruppo Adam s.r.l.</t>
        </is>
      </c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>
        <v>1768</v>
      </c>
      <c r="B28" s="60" t="inlineStr">
        <is>
          <t>I.R.P.S. Srl</t>
        </is>
      </c>
      <c r="C28" s="45">
        <f>SUM(D28:L28)</f>
        <v/>
      </c>
      <c r="D28" s="47" t="n"/>
      <c r="E28" s="47" t="n"/>
      <c r="F28" s="47" t="n"/>
      <c r="G28" s="47" t="n">
        <v>599.5</v>
      </c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>
        <v>231</v>
      </c>
      <c r="B29" s="60" t="inlineStr">
        <is>
          <t>Ikea Italia Retail Srl</t>
        </is>
      </c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>
        <v>1752</v>
      </c>
      <c r="B30" s="60" t="inlineStr">
        <is>
          <t>Lo Scoglio Dei F.Lli De Simone S.R.L.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>
        <v>1202</v>
      </c>
      <c r="B31" s="60" t="inlineStr">
        <is>
          <t>Nila S.R.L.</t>
        </is>
      </c>
      <c r="C31" s="45">
        <f>SUM(D31:L31)</f>
        <v/>
      </c>
      <c r="D31" s="47" t="n"/>
      <c r="E31" s="47" t="n"/>
      <c r="F31" s="47" t="n"/>
      <c r="G31" s="47" t="n">
        <v>782.2</v>
      </c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>
        <v>1772</v>
      </c>
      <c r="B32" s="60" t="inlineStr">
        <is>
          <t>Propac S.R.L.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>
        <v>797</v>
      </c>
      <c r="B33" s="60" t="inlineStr">
        <is>
          <t>Puntoffice Di Cardarelli Rita</t>
        </is>
      </c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>
        <v>980</v>
      </c>
      <c r="B34" s="60" t="inlineStr">
        <is>
          <t>Ristorante O Padrone Do'Mare Di De Siano Giacinto &amp; C. Snc</t>
        </is>
      </c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>
        <v>1298</v>
      </c>
      <c r="B35" s="60" t="inlineStr">
        <is>
          <t>Apicella Lorenzo</t>
        </is>
      </c>
      <c r="C35" s="45">
        <f>SUM(D35:L35)</f>
        <v/>
      </c>
      <c r="D35" s="47" t="n"/>
      <c r="E35" s="47" t="n"/>
      <c r="F35" s="47" t="n"/>
      <c r="G35" s="47" t="n">
        <v>700</v>
      </c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112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26"/>
  </cols>
  <sheetData>
    <row r="1" ht="15.75" customHeight="1" s="160">
      <c r="A1" s="27" t="inlineStr">
        <is>
          <t>Fornitori NON mappati in d_fornitori.csv — assegnare una voce (hotelops fornitori) e rigenerare</t>
        </is>
      </c>
    </row>
    <row r="2" ht="15.75" customHeight="1" s="160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60"/>
    <row r="4" ht="15.75" customHeight="1" s="160"/>
    <row r="5" ht="15.75" customHeight="1" s="160"/>
    <row r="6" ht="15.75" customHeight="1" s="160"/>
    <row r="7" ht="15.75" customHeight="1" s="160"/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14"/>
    <col width="32" customWidth="1" style="160" min="15" max="15"/>
    <col width="8.83203125" customWidth="1" style="160" min="16" max="26"/>
  </cols>
  <sheetData>
    <row r="1" ht="15.75" customHeight="1" s="160">
      <c r="A1" s="27" t="inlineStr">
        <is>
          <t>Fornitori ESCLUSI dalla cassa per scelta (is_excluded) — fuori dal saldo proiettato. NON sono un TODO: il motivo è in colonna Motivo.</t>
        </is>
      </c>
    </row>
    <row r="2" ht="15.75" customHeight="1" s="160">
      <c r="A2" s="27" t="inlineStr">
        <is>
          <t>Cod</t>
        </is>
      </c>
      <c r="B2" s="27" t="inlineStr">
        <is>
          <t>Nome (da CSV)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  <c r="O2" s="27" t="inlineStr">
        <is>
          <t>Motivo</t>
        </is>
      </c>
    </row>
    <row r="3" ht="15.75" customHeight="1" s="160">
      <c r="A3" s="127" t="n">
        <v>27</v>
      </c>
      <c r="B3" s="127" t="inlineStr">
        <is>
          <t>AL MORO DI ROMAGNOLI ANDREA SAS</t>
        </is>
      </c>
      <c r="I3" s="128" t="n">
        <v>394.98</v>
      </c>
      <c r="O3" s="127" t="inlineStr">
        <is>
          <t>escluso da app cashflow</t>
        </is>
      </c>
    </row>
    <row r="4" ht="15.75" customHeight="1" s="160">
      <c r="A4" s="127" t="n">
        <v>1758</v>
      </c>
      <c r="B4" s="127" t="inlineStr">
        <is>
          <t>BRILY DI AVETA VINCENZO</t>
        </is>
      </c>
      <c r="H4" s="128" t="n">
        <v>14.23</v>
      </c>
      <c r="O4" s="127" t="inlineStr">
        <is>
          <t>escluso da app cashflow</t>
        </is>
      </c>
    </row>
    <row r="5" ht="15.75" customHeight="1" s="160">
      <c r="A5" s="127" t="n">
        <v>1765</v>
      </c>
      <c r="B5" s="127" t="inlineStr">
        <is>
          <t>Fercolor s.r.l.</t>
        </is>
      </c>
      <c r="H5" s="128" t="n">
        <v>54.39</v>
      </c>
      <c r="O5" s="127" t="inlineStr">
        <is>
          <t>escluso da app cashflow</t>
        </is>
      </c>
    </row>
    <row r="6" ht="15.75" customHeight="1" s="160">
      <c r="A6" s="127" t="n">
        <v>1745</v>
      </c>
      <c r="B6" s="127" t="inlineStr">
        <is>
          <t>POPPITI ALDO</t>
        </is>
      </c>
      <c r="H6" s="128" t="n">
        <v>19.61</v>
      </c>
      <c r="O6" s="127" t="inlineStr">
        <is>
          <t>escluso da app cashflow</t>
        </is>
      </c>
    </row>
    <row r="7" ht="15.75" customHeight="1" s="160">
      <c r="A7" s="127" t="n">
        <v>1755</v>
      </c>
      <c r="B7" s="127" t="inlineStr">
        <is>
          <t>VARZI GENERATION SRL</t>
        </is>
      </c>
      <c r="H7" s="128" t="n">
        <v>19.9</v>
      </c>
      <c r="O7" s="127" t="inlineStr">
        <is>
          <t>escluso da app cashflow</t>
        </is>
      </c>
    </row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3" sqref="A3:I8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3"/>
    <col hidden="1" width="13" customWidth="1" style="160" min="4" max="8"/>
    <col width="8.83203125" customWidth="1" style="160" min="9" max="26"/>
  </cols>
  <sheetData>
    <row r="1" ht="15.75" customHeight="1" s="160">
      <c r="A1" s="27" t="inlineStr">
        <is>
          <t>Fornitori NON mappati in d_fornitori.csv — assegnare una voce (hotelops fornitori) e rigenerare</t>
        </is>
      </c>
    </row>
    <row r="2" ht="15.75" customHeight="1" s="160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60">
      <c r="A3" s="127" t="n">
        <v>648</v>
      </c>
      <c r="B3" s="127" t="inlineStr">
        <is>
          <t>ALBA NEON S.R.L.</t>
        </is>
      </c>
      <c r="I3" s="128" t="n">
        <v>976</v>
      </c>
    </row>
    <row r="4" ht="15.75" customHeight="1" s="160">
      <c r="A4" s="127" t="n">
        <v>949</v>
      </c>
      <c r="B4" s="127" t="inlineStr">
        <is>
          <t>ASSOCIAZIONE SOUL FOOD</t>
        </is>
      </c>
      <c r="I4" s="128" t="n">
        <v>1490</v>
      </c>
    </row>
    <row r="5" ht="15.75" customHeight="1" s="160">
      <c r="A5" s="127" t="n">
        <v>1721</v>
      </c>
      <c r="B5" s="127" t="inlineStr">
        <is>
          <t>LEIDIVA DI SEPE ROSARIO</t>
        </is>
      </c>
      <c r="I5" s="128" t="n">
        <v>507.52</v>
      </c>
    </row>
    <row r="6" ht="15.75" customHeight="1" s="160"/>
    <row r="7" ht="15.75" customHeight="1" s="160"/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Export Esolver 14/08/2026 — SENZA le 2 fatture arretrate Panorama Company (446.425,69, non si contano nel PF — decisione 14/08)</t>
        </is>
      </c>
    </row>
    <row r="2">
      <c r="A2" t="inlineStr">
        <is>
          <t>Fornitore</t>
        </is>
      </c>
      <c r="B2" t="inlineStr">
        <is>
          <t>Voce (d_fornitori)</t>
        </is>
      </c>
      <c r="C2" t="inlineStr">
        <is>
          <t>Documento</t>
        </is>
      </c>
      <c r="D2" t="inlineStr">
        <is>
          <t>Mese PF</t>
        </is>
      </c>
      <c r="E2" t="inlineStr">
        <is>
          <t>Importo</t>
        </is>
      </c>
    </row>
    <row r="3">
      <c r="A3" t="inlineStr">
        <is>
          <t>DI SARNO COFFEE SERVICE DI</t>
        </is>
      </c>
      <c r="B3" t="inlineStr">
        <is>
          <t>DA MAPPARE</t>
        </is>
      </c>
      <c r="C3" t="inlineStr">
        <is>
          <t>FT n. 670 del 29/07/2026</t>
        </is>
      </c>
      <c r="D3" t="inlineStr">
        <is>
          <t>2026-08</t>
        </is>
      </c>
      <c r="E3" t="n">
        <v>4362.48</v>
      </c>
    </row>
    <row r="4">
      <c r="A4" t="inlineStr">
        <is>
          <t>BESTRANK SOCIETA' A</t>
        </is>
      </c>
      <c r="B4" t="inlineStr">
        <is>
          <t>DA MAPPARE</t>
        </is>
      </c>
      <c r="C4" t="inlineStr">
        <is>
          <t>FT n. 122 del 10/08/2026</t>
        </is>
      </c>
      <c r="D4" t="inlineStr">
        <is>
          <t>2026-08</t>
        </is>
      </c>
      <c r="E4" t="n">
        <v>2562</v>
      </c>
    </row>
    <row r="5">
      <c r="A5" t="inlineStr">
        <is>
          <t>Giordano Associati S.r.l</t>
        </is>
      </c>
      <c r="B5" t="inlineStr">
        <is>
          <t>DA MAPPARE</t>
        </is>
      </c>
      <c r="C5" t="inlineStr">
        <is>
          <t>FT n. 487 del 10/07/2026</t>
        </is>
      </c>
      <c r="D5" t="inlineStr">
        <is>
          <t>2026-08</t>
        </is>
      </c>
      <c r="E5" t="n">
        <v>2292.04</v>
      </c>
    </row>
    <row r="6">
      <c r="A6" t="inlineStr">
        <is>
          <t>DI SARNO COFFEE SERVICE DI</t>
        </is>
      </c>
      <c r="B6" t="inlineStr">
        <is>
          <t>DA MAPPARE</t>
        </is>
      </c>
      <c r="C6" t="inlineStr">
        <is>
          <t>FT n. 557 del  2/07/2026</t>
        </is>
      </c>
      <c r="D6" t="inlineStr">
        <is>
          <t>2026-08</t>
        </is>
      </c>
      <c r="E6" t="n">
        <v>1945.46</v>
      </c>
    </row>
    <row r="7">
      <c r="A7" t="inlineStr">
        <is>
          <t>ALNUMAR DI GAROFALO</t>
        </is>
      </c>
      <c r="B7" t="inlineStr">
        <is>
          <t>DA MAPPARE</t>
        </is>
      </c>
      <c r="C7" t="inlineStr">
        <is>
          <t>FT n. 321 del 31/07/2026</t>
        </is>
      </c>
      <c r="D7" t="inlineStr">
        <is>
          <t>2026-08</t>
        </is>
      </c>
      <c r="E7" t="n">
        <v>1895.84</v>
      </c>
    </row>
    <row r="8">
      <c r="A8" t="inlineStr">
        <is>
          <t>CENTRO DISTRIBUZIONI MAGLIO</t>
        </is>
      </c>
      <c r="B8" t="inlineStr">
        <is>
          <t>DA MAPPARE</t>
        </is>
      </c>
      <c r="C8" t="inlineStr">
        <is>
          <t>FT n. 359 del 31/07/2026</t>
        </is>
      </c>
      <c r="D8" t="inlineStr">
        <is>
          <t>2026-08</t>
        </is>
      </c>
      <c r="E8" t="n">
        <v>1504.8</v>
      </c>
    </row>
    <row r="9">
      <c r="A9" t="inlineStr">
        <is>
          <t>VITAGLIANO</t>
        </is>
      </c>
      <c r="B9" t="inlineStr">
        <is>
          <t>DA MAPPARE</t>
        </is>
      </c>
      <c r="C9" t="inlineStr">
        <is>
          <t>FT n. 422/A del 31/07/2026</t>
        </is>
      </c>
      <c r="D9" t="inlineStr">
        <is>
          <t>2026-08</t>
        </is>
      </c>
      <c r="E9" t="n">
        <v>1458.6</v>
      </c>
    </row>
    <row r="10">
      <c r="A10" t="inlineStr">
        <is>
          <t>AUSINO - S.P.A. SERVIZI IDRICI</t>
        </is>
      </c>
      <c r="B10" t="inlineStr">
        <is>
          <t>DA MAPPARE</t>
        </is>
      </c>
      <c r="C10" t="inlineStr">
        <is>
          <t>FT n. 5859301 del  8/07/2026</t>
        </is>
      </c>
      <c r="D10" t="inlineStr">
        <is>
          <t>2026-08</t>
        </is>
      </c>
      <c r="E10" t="n">
        <v>1433.29</v>
      </c>
    </row>
    <row r="11">
      <c r="A11" t="inlineStr">
        <is>
          <t>AMATO</t>
        </is>
      </c>
      <c r="B11" t="inlineStr">
        <is>
          <t>DA MAPPARE</t>
        </is>
      </c>
      <c r="C11" t="inlineStr">
        <is>
          <t>FT n. 158 del 31/07/2026</t>
        </is>
      </c>
      <c r="D11" t="inlineStr">
        <is>
          <t>2026-08</t>
        </is>
      </c>
      <c r="E11" t="n">
        <v>836.16</v>
      </c>
    </row>
    <row r="12">
      <c r="A12" t="inlineStr">
        <is>
          <t>I.C.P. INGROSSO CHIMICA PEPE</t>
        </is>
      </c>
      <c r="B12" t="inlineStr">
        <is>
          <t>DA MAPPARE</t>
        </is>
      </c>
      <c r="C12" t="inlineStr">
        <is>
          <t>FT n. 1691 del 26/06/2026</t>
        </is>
      </c>
      <c r="D12" t="inlineStr">
        <is>
          <t>2026-08</t>
        </is>
      </c>
      <c r="E12" t="n">
        <v>692.23</v>
      </c>
    </row>
    <row r="13">
      <c r="A13" t="inlineStr">
        <is>
          <t>AUSINO - S.P.A. SERVIZI IDRICI</t>
        </is>
      </c>
      <c r="B13" t="inlineStr">
        <is>
          <t>DA MAPPARE</t>
        </is>
      </c>
      <c r="C13" t="inlineStr">
        <is>
          <t>FT n. 5859302 del  8/07/2026</t>
        </is>
      </c>
      <c r="D13" t="inlineStr">
        <is>
          <t>2026-08</t>
        </is>
      </c>
      <c r="E13" t="n">
        <v>676.91</v>
      </c>
    </row>
    <row r="14">
      <c r="A14" t="inlineStr">
        <is>
          <t>I.C.P. INGROSSO CHIMICA PEPE</t>
        </is>
      </c>
      <c r="B14" t="inlineStr">
        <is>
          <t>DA MAPPARE</t>
        </is>
      </c>
      <c r="C14" t="inlineStr">
        <is>
          <t>FT n. 1610 del 19/06/2026</t>
        </is>
      </c>
      <c r="D14" t="inlineStr">
        <is>
          <t>2026-08</t>
        </is>
      </c>
      <c r="E14" t="n">
        <v>554.74</v>
      </c>
    </row>
    <row r="15">
      <c r="A15" t="inlineStr">
        <is>
          <t>ERRA</t>
        </is>
      </c>
      <c r="B15" t="inlineStr">
        <is>
          <t>DA MAPPARE</t>
        </is>
      </c>
      <c r="C15" t="inlineStr">
        <is>
          <t>FT n. 19 del  2/08/2026</t>
        </is>
      </c>
      <c r="D15" t="inlineStr">
        <is>
          <t>2026-08</t>
        </is>
      </c>
      <c r="E15" t="n">
        <v>550</v>
      </c>
    </row>
    <row r="16">
      <c r="A16" t="inlineStr">
        <is>
          <t>Alberto D Urso S.a.s. di</t>
        </is>
      </c>
      <c r="B16" t="inlineStr">
        <is>
          <t>DA MAPPARE</t>
        </is>
      </c>
      <c r="C16" t="inlineStr">
        <is>
          <t>FT n. 383 del 31/07/2026</t>
        </is>
      </c>
      <c r="D16" t="inlineStr">
        <is>
          <t>2026-08</t>
        </is>
      </c>
      <c r="E16" t="n">
        <v>537.64</v>
      </c>
    </row>
    <row r="17">
      <c r="A17" t="inlineStr">
        <is>
          <t>CENTRO SERVICE SNC DI VOCCIA</t>
        </is>
      </c>
      <c r="B17" t="inlineStr">
        <is>
          <t>DA MAPPARE</t>
        </is>
      </c>
      <c r="C17" t="inlineStr">
        <is>
          <t>FT n. FPR 339/26 del 27/07/2026</t>
        </is>
      </c>
      <c r="D17" t="inlineStr">
        <is>
          <t>2026-08</t>
        </is>
      </c>
      <c r="E17" t="n">
        <v>513.62</v>
      </c>
    </row>
    <row r="18">
      <c r="A18" t="inlineStr">
        <is>
          <t>I.C.P. INGROSSO CHIMICA PEPE</t>
        </is>
      </c>
      <c r="B18" t="inlineStr">
        <is>
          <t>DA MAPPARE</t>
        </is>
      </c>
      <c r="C18" t="inlineStr">
        <is>
          <t>FT n. 1507 del  9/06/2026</t>
        </is>
      </c>
      <c r="D18" t="inlineStr">
        <is>
          <t>2026-08</t>
        </is>
      </c>
      <c r="E18" t="n">
        <v>438.52</v>
      </c>
    </row>
    <row r="19">
      <c r="A19" t="inlineStr">
        <is>
          <t>CASA DEL CORREDO PESCATORE</t>
        </is>
      </c>
      <c r="B19" t="inlineStr">
        <is>
          <t>DA MAPPARE</t>
        </is>
      </c>
      <c r="C19" t="inlineStr">
        <is>
          <t>FT n. 51N/FV del  3/08/2026</t>
        </is>
      </c>
      <c r="D19" t="inlineStr">
        <is>
          <t>2026-08</t>
        </is>
      </c>
      <c r="E19" t="n">
        <v>397.01</v>
      </c>
    </row>
    <row r="20">
      <c r="A20" t="inlineStr">
        <is>
          <t>DITTA PANSA DI G.PANSA E</t>
        </is>
      </c>
      <c r="B20" t="inlineStr">
        <is>
          <t>DA MAPPARE</t>
        </is>
      </c>
      <c r="C20" t="inlineStr">
        <is>
          <t>FT n. 178 del 10/08/2026</t>
        </is>
      </c>
      <c r="D20" t="inlineStr">
        <is>
          <t>2026-08</t>
        </is>
      </c>
      <c r="E20" t="n">
        <v>340</v>
      </c>
    </row>
    <row r="21">
      <c r="A21" t="inlineStr">
        <is>
          <t>"INGROSSO FRUTTA" DI AVAGLIANO</t>
        </is>
      </c>
      <c r="B21" t="inlineStr">
        <is>
          <t>DA MAPPARE</t>
        </is>
      </c>
      <c r="C21" t="inlineStr">
        <is>
          <t>FT n. 2026-7927 del  9/07/2026</t>
        </is>
      </c>
      <c r="D21" t="inlineStr">
        <is>
          <t>2026-08</t>
        </is>
      </c>
      <c r="E21" t="n">
        <v>242.94</v>
      </c>
    </row>
    <row r="22">
      <c r="A22" t="inlineStr">
        <is>
          <t>"INGROSSO FRUTTA" DI AVAGLIANO</t>
        </is>
      </c>
      <c r="B22" t="inlineStr">
        <is>
          <t>DA MAPPARE</t>
        </is>
      </c>
      <c r="C22" t="inlineStr">
        <is>
          <t>FT n. 2026-8108 del 14/07/2026</t>
        </is>
      </c>
      <c r="D22" t="inlineStr">
        <is>
          <t>2026-08</t>
        </is>
      </c>
      <c r="E22" t="n">
        <v>208.04</v>
      </c>
    </row>
    <row r="23">
      <c r="A23" t="inlineStr">
        <is>
          <t>"INGROSSO FRUTTA" DI AVAGLIANO</t>
        </is>
      </c>
      <c r="B23" t="inlineStr">
        <is>
          <t>DA MAPPARE</t>
        </is>
      </c>
      <c r="C23" t="inlineStr">
        <is>
          <t>FT n. 2026-8338 del 20/07/2026</t>
        </is>
      </c>
      <c r="D23" t="inlineStr">
        <is>
          <t>2026-08</t>
        </is>
      </c>
      <c r="E23" t="n">
        <v>200.56</v>
      </c>
    </row>
    <row r="24">
      <c r="A24" t="inlineStr">
        <is>
          <t>"INGROSSO FRUTTA" DI AVAGLIANO</t>
        </is>
      </c>
      <c r="B24" t="inlineStr">
        <is>
          <t>DA MAPPARE</t>
        </is>
      </c>
      <c r="C24" t="inlineStr">
        <is>
          <t>FT n. 2026-8271 del 17/07/2026</t>
        </is>
      </c>
      <c r="D24" t="inlineStr">
        <is>
          <t>2026-08</t>
        </is>
      </c>
      <c r="E24" t="n">
        <v>197.96</v>
      </c>
    </row>
    <row r="25">
      <c r="A25" t="inlineStr">
        <is>
          <t>"INGROSSO FRUTTA" DI AVAGLIANO</t>
        </is>
      </c>
      <c r="B25" t="inlineStr">
        <is>
          <t>DA MAPPARE</t>
        </is>
      </c>
      <c r="C25" t="inlineStr">
        <is>
          <t>FT n. 2026-7802 del  7/07/2026</t>
        </is>
      </c>
      <c r="D25" t="inlineStr">
        <is>
          <t>2026-08</t>
        </is>
      </c>
      <c r="E25" t="n">
        <v>180.23</v>
      </c>
    </row>
    <row r="26">
      <c r="A26" t="inlineStr">
        <is>
          <t>"INGROSSO FRUTTA" DI AVAGLIANO</t>
        </is>
      </c>
      <c r="B26" t="inlineStr">
        <is>
          <t>DA MAPPARE</t>
        </is>
      </c>
      <c r="C26" t="inlineStr">
        <is>
          <t>FT n. 2026-8561 del 24/07/2026</t>
        </is>
      </c>
      <c r="D26" t="inlineStr">
        <is>
          <t>2026-08</t>
        </is>
      </c>
      <c r="E26" t="n">
        <v>157.66</v>
      </c>
    </row>
    <row r="27">
      <c r="A27" t="inlineStr">
        <is>
          <t>"INGROSSO FRUTTA" DI AVAGLIANO</t>
        </is>
      </c>
      <c r="B27" t="inlineStr">
        <is>
          <t>DA MAPPARE</t>
        </is>
      </c>
      <c r="C27" t="inlineStr">
        <is>
          <t>FT n. 2026-8635 del 27/07/2026</t>
        </is>
      </c>
      <c r="D27" t="inlineStr">
        <is>
          <t>2026-08</t>
        </is>
      </c>
      <c r="E27" t="n">
        <v>157.04</v>
      </c>
    </row>
    <row r="28">
      <c r="A28" t="inlineStr">
        <is>
          <t>"INGROSSO FRUTTA" DI AVAGLIANO</t>
        </is>
      </c>
      <c r="B28" t="inlineStr">
        <is>
          <t>DA MAPPARE</t>
        </is>
      </c>
      <c r="C28" t="inlineStr">
        <is>
          <t>FT n. 2026-8604 del 25/07/2026</t>
        </is>
      </c>
      <c r="D28" t="inlineStr">
        <is>
          <t>2026-08</t>
        </is>
      </c>
      <c r="E28" t="n">
        <v>129.31</v>
      </c>
    </row>
    <row r="29">
      <c r="A29" t="inlineStr">
        <is>
          <t>"INGROSSO FRUTTA" DI AVAGLIANO</t>
        </is>
      </c>
      <c r="B29" t="inlineStr">
        <is>
          <t>DA MAPPARE</t>
        </is>
      </c>
      <c r="C29" t="inlineStr">
        <is>
          <t>FT n. 2026-8830 del 31/07/2026</t>
        </is>
      </c>
      <c r="D29" t="inlineStr">
        <is>
          <t>2026-08</t>
        </is>
      </c>
      <c r="E29" t="n">
        <v>123.45</v>
      </c>
    </row>
    <row r="30">
      <c r="A30" t="inlineStr">
        <is>
          <t>"INGROSSO FRUTTA" DI AVAGLIANO</t>
        </is>
      </c>
      <c r="B30" t="inlineStr">
        <is>
          <t>DA MAPPARE</t>
        </is>
      </c>
      <c r="C30" t="inlineStr">
        <is>
          <t>FT n. 2026-8798 del 31/07/2026</t>
        </is>
      </c>
      <c r="D30" t="inlineStr">
        <is>
          <t>2026-08</t>
        </is>
      </c>
      <c r="E30" t="n">
        <v>96.05</v>
      </c>
    </row>
    <row r="31">
      <c r="A31" t="inlineStr">
        <is>
          <t>"INGROSSO FRUTTA" DI AVAGLIANO</t>
        </is>
      </c>
      <c r="B31" t="inlineStr">
        <is>
          <t>DA MAPPARE</t>
        </is>
      </c>
      <c r="C31" t="inlineStr">
        <is>
          <t>FT n. 2026-7835 del  8/07/2026</t>
        </is>
      </c>
      <c r="D31" t="inlineStr">
        <is>
          <t>2026-08</t>
        </is>
      </c>
      <c r="E31" t="n">
        <v>95.47</v>
      </c>
    </row>
    <row r="32">
      <c r="A32" t="inlineStr">
        <is>
          <t>DITTA PANSA DI G.PANSA E</t>
        </is>
      </c>
      <c r="B32" t="inlineStr">
        <is>
          <t>DA MAPPARE</t>
        </is>
      </c>
      <c r="C32" t="inlineStr">
        <is>
          <t>FT n. 167 del  3/08/2026</t>
        </is>
      </c>
      <c r="D32" t="inlineStr">
        <is>
          <t>2026-08</t>
        </is>
      </c>
      <c r="E32" t="n">
        <v>90</v>
      </c>
    </row>
    <row r="33">
      <c r="A33" t="inlineStr">
        <is>
          <t>FERRIGNO MARIA   C  S N C</t>
        </is>
      </c>
      <c r="B33" t="inlineStr">
        <is>
          <t>DA MAPPARE</t>
        </is>
      </c>
      <c r="C33" t="inlineStr">
        <is>
          <t>FT n. 39 del  3/08/2026</t>
        </is>
      </c>
      <c r="D33" t="inlineStr">
        <is>
          <t>2026-08</t>
        </is>
      </c>
      <c r="E33" t="n">
        <v>33</v>
      </c>
    </row>
    <row r="34">
      <c r="A34" t="inlineStr">
        <is>
          <t>AUSINO - S.P.A. SERVIZI IDRICI</t>
        </is>
      </c>
      <c r="B34" t="inlineStr">
        <is>
          <t>DA MAPPARE</t>
        </is>
      </c>
      <c r="C34" t="inlineStr">
        <is>
          <t>FT n. 5859300 del  8/07/2026</t>
        </is>
      </c>
      <c r="D34" t="inlineStr">
        <is>
          <t>2026-08</t>
        </is>
      </c>
      <c r="E34" t="n">
        <v>32.89</v>
      </c>
    </row>
    <row r="35">
      <c r="A35" t="inlineStr">
        <is>
          <t>societa agricola BIO TI CA ss</t>
        </is>
      </c>
      <c r="B35" t="inlineStr">
        <is>
          <t>DA MAPPARE</t>
        </is>
      </c>
      <c r="C35" t="inlineStr">
        <is>
          <t>FT n. IT60011K6CUZ5I del  6/08/2026</t>
        </is>
      </c>
      <c r="D35" t="inlineStr">
        <is>
          <t>2026-08</t>
        </is>
      </c>
      <c r="E35" t="n">
        <v>14.04</v>
      </c>
    </row>
    <row r="36">
      <c r="A36" t="inlineStr">
        <is>
          <t>ONE STOP ALIMENTARI DAL MONDO</t>
        </is>
      </c>
      <c r="B36" t="inlineStr">
        <is>
          <t>DA MAPPARE</t>
        </is>
      </c>
      <c r="C36" t="inlineStr">
        <is>
          <t>FT n. IT6001CC7Y2QDI del 11/08/2026</t>
        </is>
      </c>
      <c r="D36" t="inlineStr">
        <is>
          <t>2026-08</t>
        </is>
      </c>
      <c r="E36" t="n">
        <v>13.97</v>
      </c>
    </row>
    <row r="37">
      <c r="A37" t="inlineStr">
        <is>
          <t>"INGROSSO FRUTTA" DI AVAGLIANO</t>
        </is>
      </c>
      <c r="B37" t="inlineStr">
        <is>
          <t>DA MAPPARE</t>
        </is>
      </c>
      <c r="C37" t="inlineStr">
        <is>
          <t>FT n. 2026-8609 del 25/07/2026</t>
        </is>
      </c>
      <c r="D37" t="inlineStr">
        <is>
          <t>2026-08</t>
        </is>
      </c>
      <c r="E37" t="n">
        <v>6.99</v>
      </c>
    </row>
    <row r="38">
      <c r="A38" t="inlineStr">
        <is>
          <t>D AUTOMOTIVE S.R.L.</t>
        </is>
      </c>
      <c r="B38" t="inlineStr">
        <is>
          <t>USCITE_CANONI</t>
        </is>
      </c>
      <c r="C38" t="inlineStr">
        <is>
          <t>FT n. 14A2026 del  7/08/2026</t>
        </is>
      </c>
      <c r="D38" t="inlineStr">
        <is>
          <t>2026-08</t>
        </is>
      </c>
      <c r="E38" t="n">
        <v>488</v>
      </c>
    </row>
    <row r="39">
      <c r="A39" t="inlineStr">
        <is>
          <t>HOTELSERVICE S.R.L.</t>
        </is>
      </c>
      <c r="B39" t="inlineStr">
        <is>
          <t>USCITE_MATERIE_PRIME</t>
        </is>
      </c>
      <c r="C39" t="inlineStr">
        <is>
          <t>FT n. 3380 del 30/06/2026</t>
        </is>
      </c>
      <c r="D39" t="inlineStr">
        <is>
          <t>2026-08</t>
        </is>
      </c>
      <c r="E39" t="n">
        <v>14540.85</v>
      </c>
    </row>
    <row r="40">
      <c r="A40" t="inlineStr">
        <is>
          <t>AMALFI SEI ESSE S.R.L.</t>
        </is>
      </c>
      <c r="B40" t="inlineStr">
        <is>
          <t>USCITE_MATERIE_PRIME</t>
        </is>
      </c>
      <c r="C40" t="inlineStr">
        <is>
          <t>FT n. 77/B01 del 30/05/2026</t>
        </is>
      </c>
      <c r="D40" t="inlineStr">
        <is>
          <t>2026-08</t>
        </is>
      </c>
      <c r="E40" t="n">
        <v>6522.34</v>
      </c>
    </row>
    <row r="41">
      <c r="A41" t="inlineStr">
        <is>
          <t>VICART S.R.L.</t>
        </is>
      </c>
      <c r="B41" t="inlineStr">
        <is>
          <t>USCITE_MATERIE_PRIME</t>
        </is>
      </c>
      <c r="C41" t="inlineStr">
        <is>
          <t>FT n. 918/FDV del 31/05/2026</t>
        </is>
      </c>
      <c r="D41" t="inlineStr">
        <is>
          <t>2026-08</t>
        </is>
      </c>
      <c r="E41" t="n">
        <v>3173.94</v>
      </c>
    </row>
    <row r="42">
      <c r="A42" t="inlineStr">
        <is>
          <t>ALFERA S.R.L.</t>
        </is>
      </c>
      <c r="B42" t="inlineStr">
        <is>
          <t>USCITE_MATERIE_PRIME</t>
        </is>
      </c>
      <c r="C42" t="inlineStr">
        <is>
          <t>FT n. 1/645 del 10/06/2026</t>
        </is>
      </c>
      <c r="D42" t="inlineStr">
        <is>
          <t>2026-08</t>
        </is>
      </c>
      <c r="E42" t="n">
        <v>2260</v>
      </c>
    </row>
    <row r="43">
      <c r="A43" t="inlineStr">
        <is>
          <t>HOTELSERVICE S.R.L.</t>
        </is>
      </c>
      <c r="B43" t="inlineStr">
        <is>
          <t>USCITE_MATERIE_PRIME</t>
        </is>
      </c>
      <c r="C43" t="inlineStr">
        <is>
          <t>FT n. 3381 del 30/06/2026</t>
        </is>
      </c>
      <c r="D43" t="inlineStr">
        <is>
          <t>2026-08</t>
        </is>
      </c>
      <c r="E43" t="n">
        <v>1986.62</v>
      </c>
    </row>
    <row r="44">
      <c r="A44" t="inlineStr">
        <is>
          <t>FABBROCINO MICHELE S.R.L.</t>
        </is>
      </c>
      <c r="B44" t="inlineStr">
        <is>
          <t>USCITE_MATERIE_PRIME</t>
        </is>
      </c>
      <c r="C44" t="inlineStr">
        <is>
          <t>FT n. 5/9846 del  5/06/2026</t>
        </is>
      </c>
      <c r="D44" t="inlineStr">
        <is>
          <t>2026-08</t>
        </is>
      </c>
      <c r="E44" t="n">
        <v>1882.53</v>
      </c>
    </row>
    <row r="45">
      <c r="A45" t="inlineStr">
        <is>
          <t>LE CROISSANT SRL</t>
        </is>
      </c>
      <c r="B45" t="inlineStr">
        <is>
          <t>USCITE_MATERIE_PRIME</t>
        </is>
      </c>
      <c r="C45" t="inlineStr">
        <is>
          <t>FT n. 001456-0C0 del  4/06/2026</t>
        </is>
      </c>
      <c r="D45" t="inlineStr">
        <is>
          <t>2026-08</t>
        </is>
      </c>
      <c r="E45" t="n">
        <v>1692.4</v>
      </c>
    </row>
    <row r="46">
      <c r="A46" t="inlineStr">
        <is>
          <t>LE CROISSANT SRL</t>
        </is>
      </c>
      <c r="B46" t="inlineStr">
        <is>
          <t>USCITE_MATERIE_PRIME</t>
        </is>
      </c>
      <c r="C46" t="inlineStr">
        <is>
          <t>FT n. 001787-0C0 del 30/06/2026</t>
        </is>
      </c>
      <c r="D46" t="inlineStr">
        <is>
          <t>2026-08</t>
        </is>
      </c>
      <c r="E46" t="n">
        <v>1389.11</v>
      </c>
    </row>
    <row r="47">
      <c r="A47" t="inlineStr">
        <is>
          <t>LE CROISSANT SRL</t>
        </is>
      </c>
      <c r="B47" t="inlineStr">
        <is>
          <t>USCITE_MATERIE_PRIME</t>
        </is>
      </c>
      <c r="C47" t="inlineStr">
        <is>
          <t>FT n. 001618-0C0 del 17/06/2026</t>
        </is>
      </c>
      <c r="D47" t="inlineStr">
        <is>
          <t>2026-08</t>
        </is>
      </c>
      <c r="E47" t="n">
        <v>1388.21</v>
      </c>
    </row>
    <row r="48">
      <c r="A48" t="inlineStr">
        <is>
          <t>FEIO S.R.L.</t>
        </is>
      </c>
      <c r="B48" t="inlineStr">
        <is>
          <t>USCITE_MATERIE_PRIME</t>
        </is>
      </c>
      <c r="C48" t="inlineStr">
        <is>
          <t>FT n. 3614 del 17/07/2026</t>
        </is>
      </c>
      <c r="D48" t="inlineStr">
        <is>
          <t>2026-08</t>
        </is>
      </c>
      <c r="E48" t="n">
        <v>1380.55</v>
      </c>
    </row>
    <row r="49">
      <c r="A49" t="inlineStr">
        <is>
          <t>CICA SRL</t>
        </is>
      </c>
      <c r="B49" t="inlineStr">
        <is>
          <t>USCITE_MATERIE_PRIME</t>
        </is>
      </c>
      <c r="C49" t="inlineStr">
        <is>
          <t>FT n. A4996 del 31/07/2026</t>
        </is>
      </c>
      <c r="D49" t="inlineStr">
        <is>
          <t>2026-08</t>
        </is>
      </c>
      <c r="E49" t="n">
        <v>1356.98</v>
      </c>
    </row>
    <row r="50">
      <c r="A50" t="inlineStr">
        <is>
          <t>LE CROISSANT SRL</t>
        </is>
      </c>
      <c r="B50" t="inlineStr">
        <is>
          <t>USCITE_MATERIE_PRIME</t>
        </is>
      </c>
      <c r="C50" t="inlineStr">
        <is>
          <t>FT n. 001700-0C0 del 24/06/2026</t>
        </is>
      </c>
      <c r="D50" t="inlineStr">
        <is>
          <t>2026-08</t>
        </is>
      </c>
      <c r="E50" t="n">
        <v>1212.14</v>
      </c>
    </row>
    <row r="51">
      <c r="A51" t="inlineStr">
        <is>
          <t>FABBROCINO MICHELE S.R.L.</t>
        </is>
      </c>
      <c r="B51" t="inlineStr">
        <is>
          <t>USCITE_MATERIE_PRIME</t>
        </is>
      </c>
      <c r="C51" t="inlineStr">
        <is>
          <t>FT n. 5/12304 del 30/06/2026</t>
        </is>
      </c>
      <c r="D51" t="inlineStr">
        <is>
          <t>2026-08</t>
        </is>
      </c>
      <c r="E51" t="n">
        <v>1160.44</v>
      </c>
    </row>
    <row r="52">
      <c r="A52" t="inlineStr">
        <is>
          <t>FABBROCINO MICHELE S.R.L.</t>
        </is>
      </c>
      <c r="B52" t="inlineStr">
        <is>
          <t>USCITE_MATERIE_PRIME</t>
        </is>
      </c>
      <c r="C52" t="inlineStr">
        <is>
          <t>FT n. 5/10148 del  9/06/2026</t>
        </is>
      </c>
      <c r="D52" t="inlineStr">
        <is>
          <t>2026-08</t>
        </is>
      </c>
      <c r="E52" t="n">
        <v>1139.45</v>
      </c>
    </row>
    <row r="53">
      <c r="A53" t="inlineStr">
        <is>
          <t>HOTELSERVICE S.R.L.</t>
        </is>
      </c>
      <c r="B53" t="inlineStr">
        <is>
          <t>USCITE_MATERIE_PRIME</t>
        </is>
      </c>
      <c r="C53" t="inlineStr">
        <is>
          <t>FT n. 3382 del 30/06/2026</t>
        </is>
      </c>
      <c r="D53" t="inlineStr">
        <is>
          <t>2026-08</t>
        </is>
      </c>
      <c r="E53" t="n">
        <v>1086.56</v>
      </c>
    </row>
    <row r="54">
      <c r="A54" t="inlineStr">
        <is>
          <t>FABBROCINO MICHELE S.R.L.</t>
        </is>
      </c>
      <c r="B54" t="inlineStr">
        <is>
          <t>USCITE_MATERIE_PRIME</t>
        </is>
      </c>
      <c r="C54" t="inlineStr">
        <is>
          <t>FT n. 12/875 del  5/06/2026</t>
        </is>
      </c>
      <c r="D54" t="inlineStr">
        <is>
          <t>2026-08</t>
        </is>
      </c>
      <c r="E54" t="n">
        <v>1061.72</v>
      </c>
    </row>
    <row r="55">
      <c r="A55" t="inlineStr">
        <is>
          <t>FABBROCINO MICHELE S.R.L.</t>
        </is>
      </c>
      <c r="B55" t="inlineStr">
        <is>
          <t>USCITE_MATERIE_PRIME</t>
        </is>
      </c>
      <c r="C55" t="inlineStr">
        <is>
          <t>FT n. 5/10853 del 16/06/2026</t>
        </is>
      </c>
      <c r="D55" t="inlineStr">
        <is>
          <t>2026-08</t>
        </is>
      </c>
      <c r="E55" t="n">
        <v>956.59</v>
      </c>
    </row>
    <row r="56">
      <c r="A56" t="inlineStr">
        <is>
          <t>LE CROISSANT SRL</t>
        </is>
      </c>
      <c r="B56" t="inlineStr">
        <is>
          <t>USCITE_MATERIE_PRIME</t>
        </is>
      </c>
      <c r="C56" t="inlineStr">
        <is>
          <t>FT n. 001542-0C0 del 10/06/2026</t>
        </is>
      </c>
      <c r="D56" t="inlineStr">
        <is>
          <t>2026-08</t>
        </is>
      </c>
      <c r="E56" t="n">
        <v>931.55</v>
      </c>
    </row>
    <row r="57">
      <c r="A57" t="inlineStr">
        <is>
          <t>CICA SRL</t>
        </is>
      </c>
      <c r="B57" t="inlineStr">
        <is>
          <t>USCITE_MATERIE_PRIME</t>
        </is>
      </c>
      <c r="C57" t="inlineStr">
        <is>
          <t>FT n. A4461 del 15/07/2026</t>
        </is>
      </c>
      <c r="D57" t="inlineStr">
        <is>
          <t>2026-08</t>
        </is>
      </c>
      <c r="E57" t="n">
        <v>907.35</v>
      </c>
    </row>
    <row r="58">
      <c r="A58" t="inlineStr">
        <is>
          <t>BELLAGAIA S.R.L.</t>
        </is>
      </c>
      <c r="B58" t="inlineStr">
        <is>
          <t>USCITE_MATERIE_PRIME</t>
        </is>
      </c>
      <c r="C58" t="inlineStr">
        <is>
          <t>FT n. 1/2531 del 13/07/2026</t>
        </is>
      </c>
      <c r="D58" t="inlineStr">
        <is>
          <t>2026-08</t>
        </is>
      </c>
      <c r="E58" t="n">
        <v>855.54</v>
      </c>
    </row>
    <row r="59">
      <c r="A59" t="inlineStr">
        <is>
          <t>FABBROCINO MICHELE S.R.L.</t>
        </is>
      </c>
      <c r="B59" t="inlineStr">
        <is>
          <t>USCITE_MATERIE_PRIME</t>
        </is>
      </c>
      <c r="C59" t="inlineStr">
        <is>
          <t>FT n. 5/9601 del  3/06/2026</t>
        </is>
      </c>
      <c r="D59" t="inlineStr">
        <is>
          <t>2026-08</t>
        </is>
      </c>
      <c r="E59" t="n">
        <v>835.8200000000001</v>
      </c>
    </row>
    <row r="60">
      <c r="A60" t="inlineStr">
        <is>
          <t>BELLAGAIA S.R.L.</t>
        </is>
      </c>
      <c r="B60" t="inlineStr">
        <is>
          <t>USCITE_MATERIE_PRIME</t>
        </is>
      </c>
      <c r="C60" t="inlineStr">
        <is>
          <t>FT n. 1/2330 del  3/07/2026</t>
        </is>
      </c>
      <c r="D60" t="inlineStr">
        <is>
          <t>2026-08</t>
        </is>
      </c>
      <c r="E60" t="n">
        <v>824.64</v>
      </c>
    </row>
    <row r="61">
      <c r="A61" t="inlineStr">
        <is>
          <t>HYGIEN TECH S.R.L.</t>
        </is>
      </c>
      <c r="B61" t="inlineStr">
        <is>
          <t>USCITE_MATERIE_PRIME</t>
        </is>
      </c>
      <c r="C61" t="inlineStr">
        <is>
          <t>FT n. 5475 1 del 31/07/2026</t>
        </is>
      </c>
      <c r="D61" t="inlineStr">
        <is>
          <t>2026-08</t>
        </is>
      </c>
      <c r="E61" t="n">
        <v>733.49</v>
      </c>
    </row>
    <row r="62">
      <c r="A62" t="inlineStr">
        <is>
          <t>BELLAGAIA S.R.L.</t>
        </is>
      </c>
      <c r="B62" t="inlineStr">
        <is>
          <t>USCITE_MATERIE_PRIME</t>
        </is>
      </c>
      <c r="C62" t="inlineStr">
        <is>
          <t>FT n. 1/2687 del 20/07/2026</t>
        </is>
      </c>
      <c r="D62" t="inlineStr">
        <is>
          <t>2026-08</t>
        </is>
      </c>
      <c r="E62" t="n">
        <v>732.08</v>
      </c>
    </row>
    <row r="63">
      <c r="A63" t="inlineStr">
        <is>
          <t>FABBROCINO MICHELE S.R.L.</t>
        </is>
      </c>
      <c r="B63" t="inlineStr">
        <is>
          <t>USCITE_MATERIE_PRIME</t>
        </is>
      </c>
      <c r="C63" t="inlineStr">
        <is>
          <t>FT n. 5/10580 del 12/06/2026</t>
        </is>
      </c>
      <c r="D63" t="inlineStr">
        <is>
          <t>2026-08</t>
        </is>
      </c>
      <c r="E63" t="n">
        <v>703.8099999999999</v>
      </c>
    </row>
    <row r="64">
      <c r="A64" t="inlineStr">
        <is>
          <t>BELLAGAIA S.R.L.</t>
        </is>
      </c>
      <c r="B64" t="inlineStr">
        <is>
          <t>USCITE_MATERIE_PRIME</t>
        </is>
      </c>
      <c r="C64" t="inlineStr">
        <is>
          <t>FT n. 1/2476 del 10/07/2026</t>
        </is>
      </c>
      <c r="D64" t="inlineStr">
        <is>
          <t>2026-08</t>
        </is>
      </c>
      <c r="E64" t="n">
        <v>633.8200000000001</v>
      </c>
    </row>
    <row r="65">
      <c r="A65" t="inlineStr">
        <is>
          <t>CASA VINICOLA ETTORE SAMMARCO</t>
        </is>
      </c>
      <c r="B65" t="inlineStr">
        <is>
          <t>USCITE_MATERIE_PRIME</t>
        </is>
      </c>
      <c r="C65" t="inlineStr">
        <is>
          <t>FT n. 992 del  5/06/2026</t>
        </is>
      </c>
      <c r="D65" t="inlineStr">
        <is>
          <t>2026-08</t>
        </is>
      </c>
      <c r="E65" t="n">
        <v>629.52</v>
      </c>
    </row>
    <row r="66">
      <c r="A66" t="inlineStr">
        <is>
          <t>FABBROCINO MICHELE S.R.L.</t>
        </is>
      </c>
      <c r="B66" t="inlineStr">
        <is>
          <t>USCITE_MATERIE_PRIME</t>
        </is>
      </c>
      <c r="C66" t="inlineStr">
        <is>
          <t>FT n. 5/11536 del 23/06/2026</t>
        </is>
      </c>
      <c r="D66" t="inlineStr">
        <is>
          <t>2026-08</t>
        </is>
      </c>
      <c r="E66" t="n">
        <v>620.2</v>
      </c>
    </row>
    <row r="67">
      <c r="A67" t="inlineStr">
        <is>
          <t>PARAVIA ELEVATORS SRL</t>
        </is>
      </c>
      <c r="B67" t="inlineStr">
        <is>
          <t>USCITE_MATERIE_PRIME</t>
        </is>
      </c>
      <c r="C67" t="inlineStr">
        <is>
          <t>FT n. FC0032303-0 del 31/07/2026</t>
        </is>
      </c>
      <c r="D67" t="inlineStr">
        <is>
          <t>2026-08</t>
        </is>
      </c>
      <c r="E67" t="n">
        <v>585.61</v>
      </c>
    </row>
    <row r="68">
      <c r="A68" t="inlineStr">
        <is>
          <t>MARR SPA</t>
        </is>
      </c>
      <c r="B68" t="inlineStr">
        <is>
          <t>USCITE_MATERIE_PRIME</t>
        </is>
      </c>
      <c r="C68" t="inlineStr">
        <is>
          <t>FT n. D/077245 del 22/07/2026</t>
        </is>
      </c>
      <c r="D68" t="inlineStr">
        <is>
          <t>2026-08</t>
        </is>
      </c>
      <c r="E68" t="n">
        <v>554.6900000000001</v>
      </c>
    </row>
    <row r="69">
      <c r="A69" t="inlineStr">
        <is>
          <t>MARR SPA</t>
        </is>
      </c>
      <c r="B69" t="inlineStr">
        <is>
          <t>USCITE_MATERIE_PRIME</t>
        </is>
      </c>
      <c r="C69" t="inlineStr">
        <is>
          <t>FT n. D/076259 del 20/07/2026</t>
        </is>
      </c>
      <c r="D69" t="inlineStr">
        <is>
          <t>2026-08</t>
        </is>
      </c>
      <c r="E69" t="n">
        <v>544.27</v>
      </c>
    </row>
    <row r="70">
      <c r="A70" t="inlineStr">
        <is>
          <t>BELLAGAIA S.R.L.</t>
        </is>
      </c>
      <c r="B70" t="inlineStr">
        <is>
          <t>USCITE_MATERIE_PRIME</t>
        </is>
      </c>
      <c r="C70" t="inlineStr">
        <is>
          <t>FT n. 1/2906 del 29/07/2026</t>
        </is>
      </c>
      <c r="D70" t="inlineStr">
        <is>
          <t>2026-08</t>
        </is>
      </c>
      <c r="E70" t="n">
        <v>523.89</v>
      </c>
    </row>
    <row r="71">
      <c r="A71" t="inlineStr">
        <is>
          <t>MARR SPA</t>
        </is>
      </c>
      <c r="B71" t="inlineStr">
        <is>
          <t>USCITE_MATERIE_PRIME</t>
        </is>
      </c>
      <c r="C71" t="inlineStr">
        <is>
          <t>FT n. D/070113 del  6/07/2026</t>
        </is>
      </c>
      <c r="D71" t="inlineStr">
        <is>
          <t>2026-08</t>
        </is>
      </c>
      <c r="E71" t="n">
        <v>515.35</v>
      </c>
    </row>
    <row r="72">
      <c r="A72" t="inlineStr">
        <is>
          <t>BELLAGAIA S.R.L.</t>
        </is>
      </c>
      <c r="B72" t="inlineStr">
        <is>
          <t>USCITE_MATERIE_PRIME</t>
        </is>
      </c>
      <c r="C72" t="inlineStr">
        <is>
          <t>FT n. 1/2615 del 16/07/2026</t>
        </is>
      </c>
      <c r="D72" t="inlineStr">
        <is>
          <t>2026-08</t>
        </is>
      </c>
      <c r="E72" t="n">
        <v>513.15</v>
      </c>
    </row>
    <row r="73">
      <c r="A73" t="inlineStr">
        <is>
          <t>CASA VINICOLA ETTORE SAMMARCO</t>
        </is>
      </c>
      <c r="B73" t="inlineStr">
        <is>
          <t>USCITE_MATERIE_PRIME</t>
        </is>
      </c>
      <c r="C73" t="inlineStr">
        <is>
          <t>FT n. 943 del  2/06/2026</t>
        </is>
      </c>
      <c r="D73" t="inlineStr">
        <is>
          <t>2026-08</t>
        </is>
      </c>
      <c r="E73" t="n">
        <v>512.4</v>
      </c>
    </row>
    <row r="74">
      <c r="A74" t="inlineStr">
        <is>
          <t>FABBROCINO MICHELE S.R.L.</t>
        </is>
      </c>
      <c r="B74" t="inlineStr">
        <is>
          <t>USCITE_MATERIE_PRIME</t>
        </is>
      </c>
      <c r="C74" t="inlineStr">
        <is>
          <t>FT n. 5/11185 del 19/06/2026</t>
        </is>
      </c>
      <c r="D74" t="inlineStr">
        <is>
          <t>2026-08</t>
        </is>
      </c>
      <c r="E74" t="n">
        <v>493.28</v>
      </c>
    </row>
    <row r="75">
      <c r="A75" t="inlineStr">
        <is>
          <t>MARR SPA</t>
        </is>
      </c>
      <c r="B75" t="inlineStr">
        <is>
          <t>USCITE_MATERIE_PRIME</t>
        </is>
      </c>
      <c r="C75" t="inlineStr">
        <is>
          <t>FT n. D/079404 del 27/07/2026</t>
        </is>
      </c>
      <c r="D75" t="inlineStr">
        <is>
          <t>2026-08</t>
        </is>
      </c>
      <c r="E75" t="n">
        <v>486.47</v>
      </c>
    </row>
    <row r="76">
      <c r="A76" t="inlineStr">
        <is>
          <t>BELLAGAIA S.R.L.</t>
        </is>
      </c>
      <c r="B76" t="inlineStr">
        <is>
          <t>USCITE_MATERIE_PRIME</t>
        </is>
      </c>
      <c r="C76" t="inlineStr">
        <is>
          <t>FT n. 1/2799 del 24/07/2026</t>
        </is>
      </c>
      <c r="D76" t="inlineStr">
        <is>
          <t>2026-08</t>
        </is>
      </c>
      <c r="E76" t="n">
        <v>470.53</v>
      </c>
    </row>
    <row r="77">
      <c r="A77" t="inlineStr">
        <is>
          <t>BELLAGAIA S.R.L.</t>
        </is>
      </c>
      <c r="B77" t="inlineStr">
        <is>
          <t>USCITE_MATERIE_PRIME</t>
        </is>
      </c>
      <c r="C77" t="inlineStr">
        <is>
          <t>FT n. 1/2852 del 27/07/2026</t>
        </is>
      </c>
      <c r="D77" t="inlineStr">
        <is>
          <t>2026-08</t>
        </is>
      </c>
      <c r="E77" t="n">
        <v>449.61</v>
      </c>
    </row>
    <row r="78">
      <c r="A78" t="inlineStr">
        <is>
          <t>Giacinto Di Palma</t>
        </is>
      </c>
      <c r="B78" t="inlineStr">
        <is>
          <t>USCITE_MATERIE_PRIME</t>
        </is>
      </c>
      <c r="C78" t="inlineStr">
        <is>
          <t>FT n. 120RE/2026 del 31/07/2026</t>
        </is>
      </c>
      <c r="D78" t="inlineStr">
        <is>
          <t>2026-08</t>
        </is>
      </c>
      <c r="E78" t="n">
        <v>432.31</v>
      </c>
    </row>
    <row r="79">
      <c r="A79" t="inlineStr">
        <is>
          <t>ADRA S.R.L.</t>
        </is>
      </c>
      <c r="B79" t="inlineStr">
        <is>
          <t>USCITE_MATERIE_PRIME</t>
        </is>
      </c>
      <c r="C79" t="inlineStr">
        <is>
          <t>FT n. 54782/00 del  9/06/2026</t>
        </is>
      </c>
      <c r="D79" t="inlineStr">
        <is>
          <t>2026-08</t>
        </is>
      </c>
      <c r="E79" t="n">
        <v>423.04</v>
      </c>
    </row>
    <row r="80">
      <c r="A80" t="inlineStr">
        <is>
          <t>CICA SRL</t>
        </is>
      </c>
      <c r="B80" t="inlineStr">
        <is>
          <t>USCITE_MATERIE_PRIME</t>
        </is>
      </c>
      <c r="C80" t="inlineStr">
        <is>
          <t>FT n. A3436 del 15/06/2026</t>
        </is>
      </c>
      <c r="D80" t="inlineStr">
        <is>
          <t>2026-08</t>
        </is>
      </c>
      <c r="E80" t="n">
        <v>399.52</v>
      </c>
    </row>
    <row r="81">
      <c r="A81" t="inlineStr">
        <is>
          <t>BELLAGAIA S.R.L.</t>
        </is>
      </c>
      <c r="B81" t="inlineStr">
        <is>
          <t>USCITE_MATERIE_PRIME</t>
        </is>
      </c>
      <c r="C81" t="inlineStr">
        <is>
          <t>FT n. 1/2445 del  8/07/2026</t>
        </is>
      </c>
      <c r="D81" t="inlineStr">
        <is>
          <t>2026-08</t>
        </is>
      </c>
      <c r="E81" t="n">
        <v>367.46</v>
      </c>
    </row>
    <row r="82">
      <c r="A82" t="inlineStr">
        <is>
          <t>MARR SPA</t>
        </is>
      </c>
      <c r="B82" t="inlineStr">
        <is>
          <t>USCITE_MATERIE_PRIME</t>
        </is>
      </c>
      <c r="C82" t="inlineStr">
        <is>
          <t>FT n. D/073187 del 14/07/2026</t>
        </is>
      </c>
      <c r="D82" t="inlineStr">
        <is>
          <t>2026-08</t>
        </is>
      </c>
      <c r="E82" t="n">
        <v>344.6</v>
      </c>
    </row>
    <row r="83">
      <c r="A83" t="inlineStr">
        <is>
          <t>MARR SPA</t>
        </is>
      </c>
      <c r="B83" t="inlineStr">
        <is>
          <t>USCITE_MATERIE_PRIME</t>
        </is>
      </c>
      <c r="C83" t="inlineStr">
        <is>
          <t>FT n. D/067934 del  1/07/2026</t>
        </is>
      </c>
      <c r="D83" t="inlineStr">
        <is>
          <t>2026-08</t>
        </is>
      </c>
      <c r="E83" t="n">
        <v>342.05</v>
      </c>
    </row>
    <row r="84">
      <c r="A84" t="inlineStr">
        <is>
          <t>MARR SPA</t>
        </is>
      </c>
      <c r="B84" t="inlineStr">
        <is>
          <t>USCITE_MATERIE_PRIME</t>
        </is>
      </c>
      <c r="C84" t="inlineStr">
        <is>
          <t>FT n. D/081654 del 31/07/2026</t>
        </is>
      </c>
      <c r="D84" t="inlineStr">
        <is>
          <t>2026-08</t>
        </is>
      </c>
      <c r="E84" t="n">
        <v>336.41</v>
      </c>
    </row>
    <row r="85">
      <c r="A85" t="inlineStr">
        <is>
          <t>MARR SPA</t>
        </is>
      </c>
      <c r="B85" t="inlineStr">
        <is>
          <t>USCITE_MATERIE_PRIME</t>
        </is>
      </c>
      <c r="C85" t="inlineStr">
        <is>
          <t>FT n. D/075278 del 17/07/2026</t>
        </is>
      </c>
      <c r="D85" t="inlineStr">
        <is>
          <t>2026-08</t>
        </is>
      </c>
      <c r="E85" t="n">
        <v>323.25</v>
      </c>
    </row>
    <row r="86">
      <c r="A86" t="inlineStr">
        <is>
          <t>MARR SPA</t>
        </is>
      </c>
      <c r="B86" t="inlineStr">
        <is>
          <t>USCITE_MATERIE_PRIME</t>
        </is>
      </c>
      <c r="C86" t="inlineStr">
        <is>
          <t>FT n. D/072618 del 13/07/2026</t>
        </is>
      </c>
      <c r="D86" t="inlineStr">
        <is>
          <t>2026-08</t>
        </is>
      </c>
      <c r="E86" t="n">
        <v>243.12</v>
      </c>
    </row>
    <row r="87">
      <c r="A87" t="inlineStr">
        <is>
          <t>BELLAGAIA S.R.L.</t>
        </is>
      </c>
      <c r="B87" t="inlineStr">
        <is>
          <t>USCITE_MATERIE_PRIME</t>
        </is>
      </c>
      <c r="C87" t="inlineStr">
        <is>
          <t>FT n. 1/2871 del 28/07/2026</t>
        </is>
      </c>
      <c r="D87" t="inlineStr">
        <is>
          <t>2026-08</t>
        </is>
      </c>
      <c r="E87" t="n">
        <v>227.1</v>
      </c>
    </row>
    <row r="88">
      <c r="A88" t="inlineStr">
        <is>
          <t>ADRA S.R.L.</t>
        </is>
      </c>
      <c r="B88" t="inlineStr">
        <is>
          <t>USCITE_MATERIE_PRIME</t>
        </is>
      </c>
      <c r="C88" t="inlineStr">
        <is>
          <t>FT n. 51274/00 del  1/06/2026</t>
        </is>
      </c>
      <c r="D88" t="inlineStr">
        <is>
          <t>2026-08</t>
        </is>
      </c>
      <c r="E88" t="n">
        <v>213.84</v>
      </c>
    </row>
    <row r="89">
      <c r="A89" t="inlineStr">
        <is>
          <t>BELLAGAIA S.R.L.</t>
        </is>
      </c>
      <c r="B89" t="inlineStr">
        <is>
          <t>USCITE_MATERIE_PRIME</t>
        </is>
      </c>
      <c r="C89" t="inlineStr">
        <is>
          <t>FT n. 1/2753 del 22/07/2026</t>
        </is>
      </c>
      <c r="D89" t="inlineStr">
        <is>
          <t>2026-08</t>
        </is>
      </c>
      <c r="E89" t="n">
        <v>179.58</v>
      </c>
    </row>
    <row r="90">
      <c r="A90" t="inlineStr">
        <is>
          <t>FABBROCINO MICHELE S.R.L.</t>
        </is>
      </c>
      <c r="B90" t="inlineStr">
        <is>
          <t>USCITE_MATERIE_PRIME</t>
        </is>
      </c>
      <c r="C90" t="inlineStr">
        <is>
          <t>FT n. 12/873 del  5/06/2026</t>
        </is>
      </c>
      <c r="D90" t="inlineStr">
        <is>
          <t>2026-08</t>
        </is>
      </c>
      <c r="E90" t="n">
        <v>170.82</v>
      </c>
    </row>
    <row r="91">
      <c r="A91" t="inlineStr">
        <is>
          <t>CICA SRL</t>
        </is>
      </c>
      <c r="B91" t="inlineStr">
        <is>
          <t>USCITE_MATERIE_PRIME</t>
        </is>
      </c>
      <c r="C91" t="inlineStr">
        <is>
          <t>FT n. A3935 del 30/06/2026</t>
        </is>
      </c>
      <c r="D91" t="inlineStr">
        <is>
          <t>2026-08</t>
        </is>
      </c>
      <c r="E91" t="n">
        <v>170.5</v>
      </c>
    </row>
    <row r="92">
      <c r="A92" t="inlineStr">
        <is>
          <t>TUR.COM. S.R.L.</t>
        </is>
      </c>
      <c r="B92" t="inlineStr">
        <is>
          <t>USCITE_MATERIE_PRIME</t>
        </is>
      </c>
      <c r="C92" t="inlineStr">
        <is>
          <t>FT n. 279 del 28/07/2026</t>
        </is>
      </c>
      <c r="D92" t="inlineStr">
        <is>
          <t>2026-08</t>
        </is>
      </c>
      <c r="E92" t="n">
        <v>167.75</v>
      </c>
    </row>
    <row r="93">
      <c r="A93" t="inlineStr">
        <is>
          <t>GENERAL BEVERAGE S.R.L.</t>
        </is>
      </c>
      <c r="B93" t="inlineStr">
        <is>
          <t>USCITE_MATERIE_PRIME</t>
        </is>
      </c>
      <c r="C93" t="inlineStr">
        <is>
          <t>FT n. 12834 del 15/06/2026</t>
        </is>
      </c>
      <c r="D93" t="inlineStr">
        <is>
          <t>2026-08</t>
        </is>
      </c>
      <c r="E93" t="n">
        <v>165</v>
      </c>
    </row>
    <row r="94">
      <c r="A94" t="inlineStr">
        <is>
          <t>ADRA S.R.L.</t>
        </is>
      </c>
      <c r="B94" t="inlineStr">
        <is>
          <t>USCITE_MATERIE_PRIME</t>
        </is>
      </c>
      <c r="C94" t="inlineStr">
        <is>
          <t>FT n. 59385/00 del 18/06/2026</t>
        </is>
      </c>
      <c r="D94" t="inlineStr">
        <is>
          <t>2026-08</t>
        </is>
      </c>
      <c r="E94" t="n">
        <v>160.38</v>
      </c>
    </row>
    <row r="95">
      <c r="A95" t="inlineStr">
        <is>
          <t>AMALFI SEI ESSE S.R.L.</t>
        </is>
      </c>
      <c r="B95" t="inlineStr">
        <is>
          <t>USCITE_MATERIE_PRIME</t>
        </is>
      </c>
      <c r="C95" t="inlineStr">
        <is>
          <t>FT n. 5162026 del  2/05/2026</t>
        </is>
      </c>
      <c r="D95" t="inlineStr">
        <is>
          <t>2026-08</t>
        </is>
      </c>
      <c r="E95" t="n">
        <v>131.81</v>
      </c>
    </row>
    <row r="96">
      <c r="A96" t="inlineStr">
        <is>
          <t>BELLAGAIA S.R.L.</t>
        </is>
      </c>
      <c r="B96" t="inlineStr">
        <is>
          <t>USCITE_MATERIE_PRIME</t>
        </is>
      </c>
      <c r="C96" t="inlineStr">
        <is>
          <t>FT n. 1/2636 del 17/07/2026</t>
        </is>
      </c>
      <c r="D96" t="inlineStr">
        <is>
          <t>2026-08</t>
        </is>
      </c>
      <c r="E96" t="n">
        <v>128.15</v>
      </c>
    </row>
    <row r="97">
      <c r="A97" t="inlineStr">
        <is>
          <t>MARR SPA</t>
        </is>
      </c>
      <c r="B97" t="inlineStr">
        <is>
          <t>USCITE_MATERIE_PRIME</t>
        </is>
      </c>
      <c r="C97" t="inlineStr">
        <is>
          <t>FT n. D/078864 del 27/07/2026</t>
        </is>
      </c>
      <c r="D97" t="inlineStr">
        <is>
          <t>2026-08</t>
        </is>
      </c>
      <c r="E97" t="n">
        <v>124.74</v>
      </c>
    </row>
    <row r="98">
      <c r="A98" t="inlineStr">
        <is>
          <t>AMALFI SEI ESSE S.R.L.</t>
        </is>
      </c>
      <c r="B98" t="inlineStr">
        <is>
          <t>USCITE_MATERIE_PRIME</t>
        </is>
      </c>
      <c r="C98" t="inlineStr">
        <is>
          <t>FT n. 6852026 del 29/05/2026</t>
        </is>
      </c>
      <c r="D98" t="inlineStr">
        <is>
          <t>2026-08</t>
        </is>
      </c>
      <c r="E98" t="n">
        <v>121.08</v>
      </c>
    </row>
    <row r="99">
      <c r="A99" t="inlineStr">
        <is>
          <t>PARAVIA ELEVATORS SRL</t>
        </is>
      </c>
      <c r="B99" t="inlineStr">
        <is>
          <t>USCITE_MATERIE_PRIME</t>
        </is>
      </c>
      <c r="C99" t="inlineStr">
        <is>
          <t>FT n. FC0031415-0 del 17/07/2026</t>
        </is>
      </c>
      <c r="D99" t="inlineStr">
        <is>
          <t>2026-08</t>
        </is>
      </c>
      <c r="E99" t="n">
        <v>103.71</v>
      </c>
    </row>
    <row r="100">
      <c r="A100" t="inlineStr">
        <is>
          <t>ADRA S.R.L.</t>
        </is>
      </c>
      <c r="B100" t="inlineStr">
        <is>
          <t>USCITE_MATERIE_PRIME</t>
        </is>
      </c>
      <c r="C100" t="inlineStr">
        <is>
          <t>FT n. 59339/00 del 18/06/2026</t>
        </is>
      </c>
      <c r="D100" t="inlineStr">
        <is>
          <t>2026-08</t>
        </is>
      </c>
      <c r="E100" t="n">
        <v>102.85</v>
      </c>
    </row>
    <row r="101">
      <c r="A101" t="inlineStr">
        <is>
          <t>BELLAGAIA S.R.L.</t>
        </is>
      </c>
      <c r="B101" t="inlineStr">
        <is>
          <t>USCITE_MATERIE_PRIME</t>
        </is>
      </c>
      <c r="C101" t="inlineStr">
        <is>
          <t>FT n. 1/2997 del 31/07/2026</t>
        </is>
      </c>
      <c r="D101" t="inlineStr">
        <is>
          <t>2026-08</t>
        </is>
      </c>
      <c r="E101" t="n">
        <v>102.73</v>
      </c>
    </row>
    <row r="102">
      <c r="A102" t="inlineStr">
        <is>
          <t>ADRA S.R.L.</t>
        </is>
      </c>
      <c r="B102" t="inlineStr">
        <is>
          <t>USCITE_MATERIE_PRIME</t>
        </is>
      </c>
      <c r="C102" t="inlineStr">
        <is>
          <t>FT n. 64557/00 del 30/06/2026</t>
        </is>
      </c>
      <c r="D102" t="inlineStr">
        <is>
          <t>2026-08</t>
        </is>
      </c>
      <c r="E102" t="n">
        <v>99.73999999999999</v>
      </c>
    </row>
    <row r="103">
      <c r="A103" t="inlineStr">
        <is>
          <t>FABBROCINO MICHELE S.R.L.</t>
        </is>
      </c>
      <c r="B103" t="inlineStr">
        <is>
          <t>USCITE_MATERIE_PRIME</t>
        </is>
      </c>
      <c r="C103" t="inlineStr">
        <is>
          <t>FT n. 12/929 del 10/06/2026</t>
        </is>
      </c>
      <c r="D103" t="inlineStr">
        <is>
          <t>2026-08</t>
        </is>
      </c>
      <c r="E103" t="n">
        <v>85.90000000000001</v>
      </c>
    </row>
    <row r="104">
      <c r="A104" t="inlineStr">
        <is>
          <t>TUR.COM. S.R.L.</t>
        </is>
      </c>
      <c r="B104" t="inlineStr">
        <is>
          <t>USCITE_MATERIE_PRIME</t>
        </is>
      </c>
      <c r="C104" t="inlineStr">
        <is>
          <t>FT n. 257 del 15/07/2026</t>
        </is>
      </c>
      <c r="D104" t="inlineStr">
        <is>
          <t>2026-08</t>
        </is>
      </c>
      <c r="E104" t="n">
        <v>82.08</v>
      </c>
    </row>
    <row r="105">
      <c r="A105" t="inlineStr">
        <is>
          <t>FABBROCINO MICHELE S.R.L.</t>
        </is>
      </c>
      <c r="B105" t="inlineStr">
        <is>
          <t>USCITE_MATERIE_PRIME</t>
        </is>
      </c>
      <c r="C105" t="inlineStr">
        <is>
          <t>FT n. 5/10149 del  9/06/2026</t>
        </is>
      </c>
      <c r="D105" t="inlineStr">
        <is>
          <t>2026-08</t>
        </is>
      </c>
      <c r="E105" t="n">
        <v>81.18000000000001</v>
      </c>
    </row>
    <row r="106">
      <c r="A106" t="inlineStr">
        <is>
          <t>GALLO GIOVANNI &amp; C. SNC</t>
        </is>
      </c>
      <c r="B106" t="inlineStr">
        <is>
          <t>USCITE_MATERIE_PRIME</t>
        </is>
      </c>
      <c r="C106" t="inlineStr">
        <is>
          <t>FT n. 568 del 22/06/2026</t>
        </is>
      </c>
      <c r="D106" t="inlineStr">
        <is>
          <t>2026-08</t>
        </is>
      </c>
      <c r="E106" t="n">
        <v>73.51000000000001</v>
      </c>
    </row>
    <row r="107">
      <c r="A107" t="inlineStr">
        <is>
          <t>TUR.COM. S.R.L.</t>
        </is>
      </c>
      <c r="B107" t="inlineStr">
        <is>
          <t>USCITE_MATERIE_PRIME</t>
        </is>
      </c>
      <c r="C107" t="inlineStr">
        <is>
          <t>FT n. 239 del  3/07/2026</t>
        </is>
      </c>
      <c r="D107" t="inlineStr">
        <is>
          <t>2026-08</t>
        </is>
      </c>
      <c r="E107" t="n">
        <v>62.83</v>
      </c>
    </row>
    <row r="108">
      <c r="A108" t="inlineStr">
        <is>
          <t>TUR.COM. S.R.L.</t>
        </is>
      </c>
      <c r="B108" t="inlineStr">
        <is>
          <t>USCITE_MATERIE_PRIME</t>
        </is>
      </c>
      <c r="C108" t="inlineStr">
        <is>
          <t>FT n. 259 del 21/07/2026</t>
        </is>
      </c>
      <c r="D108" t="inlineStr">
        <is>
          <t>2026-08</t>
        </is>
      </c>
      <c r="E108" t="n">
        <v>57.2</v>
      </c>
    </row>
    <row r="109">
      <c r="A109" t="inlineStr">
        <is>
          <t>LE CROISSANT SRL</t>
        </is>
      </c>
      <c r="B109" t="inlineStr">
        <is>
          <t>USCITE_MATERIE_PRIME</t>
        </is>
      </c>
      <c r="C109" t="inlineStr">
        <is>
          <t>FT n. 001588-0C0 del 12/06/2026</t>
        </is>
      </c>
      <c r="D109" t="inlineStr">
        <is>
          <t>2026-08</t>
        </is>
      </c>
      <c r="E109" t="n">
        <v>54.89</v>
      </c>
    </row>
    <row r="110">
      <c r="A110" t="inlineStr">
        <is>
          <t>BELLAGAIA S.R.L.</t>
        </is>
      </c>
      <c r="B110" t="inlineStr">
        <is>
          <t>USCITE_MATERIE_PRIME</t>
        </is>
      </c>
      <c r="C110" t="inlineStr">
        <is>
          <t>FT n. 1/2712 del 20/07/2026</t>
        </is>
      </c>
      <c r="D110" t="inlineStr">
        <is>
          <t>2026-08</t>
        </is>
      </c>
      <c r="E110" t="n">
        <v>53.44</v>
      </c>
    </row>
    <row r="111">
      <c r="A111" t="inlineStr">
        <is>
          <t>AMALFI SEI ESSE S.R.L.</t>
        </is>
      </c>
      <c r="B111" t="inlineStr">
        <is>
          <t>USCITE_MATERIE_PRIME</t>
        </is>
      </c>
      <c r="C111" t="inlineStr">
        <is>
          <t>FT n. 6912026 del 30/05/2026</t>
        </is>
      </c>
      <c r="D111" t="inlineStr">
        <is>
          <t>2026-08</t>
        </is>
      </c>
      <c r="E111" t="n">
        <v>50.4</v>
      </c>
    </row>
    <row r="112">
      <c r="A112" t="inlineStr">
        <is>
          <t>FABBROCINO MICHELE S.R.L.</t>
        </is>
      </c>
      <c r="B112" t="inlineStr">
        <is>
          <t>USCITE_MATERIE_PRIME</t>
        </is>
      </c>
      <c r="C112" t="inlineStr">
        <is>
          <t>FT n. 12/1077 del 19/06/2026</t>
        </is>
      </c>
      <c r="D112" t="inlineStr">
        <is>
          <t>2026-08</t>
        </is>
      </c>
      <c r="E112" t="n">
        <v>46.26</v>
      </c>
    </row>
    <row r="113">
      <c r="A113" t="inlineStr">
        <is>
          <t>GALLO GIOVANNI &amp; C. SNC</t>
        </is>
      </c>
      <c r="B113" t="inlineStr">
        <is>
          <t>USCITE_MATERIE_PRIME</t>
        </is>
      </c>
      <c r="C113" t="inlineStr">
        <is>
          <t>FT n. 536 del 12/06/2026</t>
        </is>
      </c>
      <c r="D113" t="inlineStr">
        <is>
          <t>2026-08</t>
        </is>
      </c>
      <c r="E113" t="n">
        <v>45.4</v>
      </c>
    </row>
    <row r="114">
      <c r="A114" t="inlineStr">
        <is>
          <t>TUR.COM. S.R.L.</t>
        </is>
      </c>
      <c r="B114" t="inlineStr">
        <is>
          <t>USCITE_MATERIE_PRIME</t>
        </is>
      </c>
      <c r="C114" t="inlineStr">
        <is>
          <t>FT n. 269 del 23/07/2026</t>
        </is>
      </c>
      <c r="D114" t="inlineStr">
        <is>
          <t>2026-08</t>
        </is>
      </c>
      <c r="E114" t="n">
        <v>38.5</v>
      </c>
    </row>
    <row r="115">
      <c r="A115" t="inlineStr">
        <is>
          <t>AMAZON EU S.A R.L.</t>
        </is>
      </c>
      <c r="B115" t="inlineStr">
        <is>
          <t>USCITE_MATERIE_PRIME</t>
        </is>
      </c>
      <c r="C115" t="inlineStr">
        <is>
          <t>FT n. IT26-AEUI-12189053 del  4/08/2026</t>
        </is>
      </c>
      <c r="D115" t="inlineStr">
        <is>
          <t>2026-08</t>
        </is>
      </c>
      <c r="E115" t="n">
        <v>29</v>
      </c>
    </row>
    <row r="116">
      <c r="A116" t="inlineStr">
        <is>
          <t>LE CROISSANT SRL</t>
        </is>
      </c>
      <c r="B116" t="inlineStr">
        <is>
          <t>USCITE_MATERIE_PRIME</t>
        </is>
      </c>
      <c r="C116" t="inlineStr">
        <is>
          <t>NC n. 000005-0C0 1 del 16/06/2026</t>
        </is>
      </c>
      <c r="D116" t="inlineStr">
        <is>
          <t>2026-08</t>
        </is>
      </c>
      <c r="E116" t="n">
        <v>-118.8</v>
      </c>
    </row>
    <row r="117">
      <c r="A117" t="inlineStr">
        <is>
          <t>ADRA S.R.L.</t>
        </is>
      </c>
      <c r="B117" t="inlineStr">
        <is>
          <t>USCITE_MATERIE_PRIME</t>
        </is>
      </c>
      <c r="C117" t="inlineStr">
        <is>
          <t>NC n. 1849/00 del 15/06/2026</t>
        </is>
      </c>
      <c r="D117" t="inlineStr">
        <is>
          <t>2026-08</t>
        </is>
      </c>
      <c r="E117" t="n">
        <v>-160.38</v>
      </c>
    </row>
    <row r="118">
      <c r="A118" t="inlineStr">
        <is>
          <t>ALBA LEASING S.P.A.</t>
        </is>
      </c>
      <c r="B118" t="inlineStr">
        <is>
          <t>USCITE_SERVIZI_PRODUZIONE</t>
        </is>
      </c>
      <c r="C118" t="inlineStr">
        <is>
          <t>FT n. V2 /2026/00282605 del 10/08/2026</t>
        </is>
      </c>
      <c r="D118" t="inlineStr">
        <is>
          <t>2026-08</t>
        </is>
      </c>
      <c r="E118" t="n">
        <v>423.39</v>
      </c>
    </row>
    <row r="119">
      <c r="A119" t="inlineStr">
        <is>
          <t>Altamira Srl</t>
        </is>
      </c>
      <c r="B119" t="inlineStr">
        <is>
          <t>USCITE_SERVIZI_PRODUZIONE</t>
        </is>
      </c>
      <c r="C119" t="inlineStr">
        <is>
          <t>FT n. 1/1356 del  1/08/2026</t>
        </is>
      </c>
      <c r="D119" t="inlineStr">
        <is>
          <t>2026-08</t>
        </is>
      </c>
      <c r="E119" t="n">
        <v>378.2</v>
      </c>
    </row>
    <row r="120">
      <c r="A120" t="inlineStr">
        <is>
          <t>SOFT TECNOLOGY SRL</t>
        </is>
      </c>
      <c r="B120" t="inlineStr">
        <is>
          <t>USCITE_SERVIZI_PRODUZIONE</t>
        </is>
      </c>
      <c r="C120" t="inlineStr">
        <is>
          <t>FT n. 2777/A del 31/07/2026</t>
        </is>
      </c>
      <c r="D120" t="inlineStr">
        <is>
          <t>2026-08</t>
        </is>
      </c>
      <c r="E120" t="n">
        <v>279.5</v>
      </c>
    </row>
    <row r="121">
      <c r="A121" t="inlineStr">
        <is>
          <t>Intesa Sanpaolo S.p.a</t>
        </is>
      </c>
      <c r="B121" t="inlineStr">
        <is>
          <t>USCITE_SERVIZI_PRODUZIONE</t>
        </is>
      </c>
      <c r="C121" t="inlineStr">
        <is>
          <t>FT n. 01S620262800386528 del 15/07/2026</t>
        </is>
      </c>
      <c r="D121" t="inlineStr">
        <is>
          <t>2026-08</t>
        </is>
      </c>
      <c r="E121" t="n">
        <v>95.12</v>
      </c>
    </row>
    <row r="122">
      <c r="A122" t="inlineStr">
        <is>
          <t>PRIMAVERA SERVIZI S.R.L.</t>
        </is>
      </c>
      <c r="B122" t="inlineStr">
        <is>
          <t>USCITE_SERVIZI_PRODUZIONE</t>
        </is>
      </c>
      <c r="C122" t="inlineStr">
        <is>
          <t>FT n. FPR 433/26 del  4/08/2026</t>
        </is>
      </c>
      <c r="D122" t="inlineStr">
        <is>
          <t>2026-08</t>
        </is>
      </c>
      <c r="E122" t="n">
        <v>73.2</v>
      </c>
    </row>
    <row r="123">
      <c r="A123" t="inlineStr">
        <is>
          <t>Italy Green Power S.p.A.</t>
        </is>
      </c>
      <c r="B123" t="inlineStr">
        <is>
          <t>USCITE_UTENZE</t>
        </is>
      </c>
      <c r="C123" t="inlineStr">
        <is>
          <t>FT n. IGP_013809_2026_G del  7/08/2026</t>
        </is>
      </c>
      <c r="D123" t="inlineStr">
        <is>
          <t>2026-08</t>
        </is>
      </c>
      <c r="E123" t="n">
        <v>6144.33</v>
      </c>
    </row>
    <row r="124">
      <c r="A124" t="inlineStr">
        <is>
          <t>Italy Green Power S.p.A.</t>
        </is>
      </c>
      <c r="B124" t="inlineStr">
        <is>
          <t>USCITE_UTENZE</t>
        </is>
      </c>
      <c r="C124" t="inlineStr">
        <is>
          <t>FT n. IGP_013808_2026_G del  7/08/2026</t>
        </is>
      </c>
      <c r="D124" t="inlineStr">
        <is>
          <t>2026-08</t>
        </is>
      </c>
      <c r="E124" t="n">
        <v>1426.27</v>
      </c>
    </row>
    <row r="125">
      <c r="A125" t="inlineStr">
        <is>
          <t>4G ENERGIA SRL</t>
        </is>
      </c>
      <c r="B125" t="inlineStr">
        <is>
          <t>USCITE_UTENZE</t>
        </is>
      </c>
      <c r="C125" t="inlineStr">
        <is>
          <t>FT n. GAS-FAT260000035646 del 14/07/2026</t>
        </is>
      </c>
      <c r="D125" t="inlineStr">
        <is>
          <t>2026-08</t>
        </is>
      </c>
      <c r="E125" t="n">
        <v>346.47</v>
      </c>
    </row>
    <row r="126">
      <c r="A126" t="inlineStr">
        <is>
          <t>4G ENERGIA SRL</t>
        </is>
      </c>
      <c r="B126" t="inlineStr">
        <is>
          <t>USCITE_UTENZE</t>
        </is>
      </c>
      <c r="C126" t="inlineStr">
        <is>
          <t>FT n. GAS-FAT260000035645 del 14/07/2026</t>
        </is>
      </c>
      <c r="D126" t="inlineStr">
        <is>
          <t>2026-08</t>
        </is>
      </c>
      <c r="E126" t="n">
        <v>43.42</v>
      </c>
    </row>
    <row r="127">
      <c r="A127" t="inlineStr">
        <is>
          <t>4G ENERGIA SRL</t>
        </is>
      </c>
      <c r="B127" t="inlineStr">
        <is>
          <t>USCITE_UTENZE</t>
        </is>
      </c>
      <c r="C127" t="inlineStr">
        <is>
          <t>FT n. GAS-FAT260000035644 del 14/07/2026</t>
        </is>
      </c>
      <c r="D127" t="inlineStr">
        <is>
          <t>2026-08</t>
        </is>
      </c>
      <c r="E127" t="n">
        <v>42.32</v>
      </c>
    </row>
    <row r="128">
      <c r="A128" t="inlineStr">
        <is>
          <t>4G ENERGIA SRL</t>
        </is>
      </c>
      <c r="B128" t="inlineStr">
        <is>
          <t>USCITE_UTENZE</t>
        </is>
      </c>
      <c r="C128" t="inlineStr">
        <is>
          <t>FT n. GAS-FAT260000035643 del 14/07/2026</t>
        </is>
      </c>
      <c r="D128" t="inlineStr">
        <is>
          <t>2026-08</t>
        </is>
      </c>
      <c r="E128" t="n">
        <v>40.36</v>
      </c>
    </row>
    <row r="129">
      <c r="A129" t="inlineStr">
        <is>
          <t>4G ENERGIA SRL</t>
        </is>
      </c>
      <c r="B129" t="inlineStr">
        <is>
          <t>USCITE_UTENZE</t>
        </is>
      </c>
      <c r="C129" t="inlineStr">
        <is>
          <t>FT n. GAS-FAT260000035642 del 14/07/2026</t>
        </is>
      </c>
      <c r="D129" t="inlineStr">
        <is>
          <t>2026-08</t>
        </is>
      </c>
      <c r="E129" t="n">
        <v>32.71</v>
      </c>
    </row>
    <row r="130">
      <c r="A130" t="inlineStr">
        <is>
          <t>4G ENERGIA SRL</t>
        </is>
      </c>
      <c r="B130" t="inlineStr">
        <is>
          <t>USCITE_UTENZE</t>
        </is>
      </c>
      <c r="C130" t="inlineStr">
        <is>
          <t>FT n. GAS-FAT260000035641 del 14/07/2026</t>
        </is>
      </c>
      <c r="D130" t="inlineStr">
        <is>
          <t>2026-08</t>
        </is>
      </c>
      <c r="E130" t="n">
        <v>28.46</v>
      </c>
    </row>
    <row r="131">
      <c r="A131" t="inlineStr">
        <is>
          <t>4G ENERGIA SRL</t>
        </is>
      </c>
      <c r="B131" t="inlineStr">
        <is>
          <t>USCITE_UTENZE</t>
        </is>
      </c>
      <c r="C131" t="inlineStr">
        <is>
          <t>FT n. GAS-FAT260000035640 del 14/07/2026</t>
        </is>
      </c>
      <c r="D131" t="inlineStr">
        <is>
          <t>2026-08</t>
        </is>
      </c>
      <c r="E131" t="n">
        <v>27.39</v>
      </c>
    </row>
    <row r="132">
      <c r="A132" t="inlineStr">
        <is>
          <t>4G ENERGIA SRL</t>
        </is>
      </c>
      <c r="B132" t="inlineStr">
        <is>
          <t>USCITE_UTENZE</t>
        </is>
      </c>
      <c r="C132" t="inlineStr">
        <is>
          <t>FT n. GAS-FAT260000035639 del 14/07/2026</t>
        </is>
      </c>
      <c r="D132" t="inlineStr">
        <is>
          <t>2026-08</t>
        </is>
      </c>
      <c r="E132" t="n">
        <v>26.32</v>
      </c>
    </row>
    <row r="133">
      <c r="A133" t="inlineStr">
        <is>
          <t>4G ENERGIA SRL</t>
        </is>
      </c>
      <c r="B133" t="inlineStr">
        <is>
          <t>USCITE_UTENZE</t>
        </is>
      </c>
      <c r="C133" t="inlineStr">
        <is>
          <t>FT n. GAS-FAT260000035638 del 14/07/2026</t>
        </is>
      </c>
      <c r="D133" t="inlineStr">
        <is>
          <t>2026-08</t>
        </is>
      </c>
      <c r="E133" t="n">
        <v>25.27</v>
      </c>
    </row>
    <row r="134">
      <c r="A134" t="inlineStr">
        <is>
          <t>4G ENERGIA SRL</t>
        </is>
      </c>
      <c r="B134" t="inlineStr">
        <is>
          <t>USCITE_UTENZE</t>
        </is>
      </c>
      <c r="C134" t="inlineStr">
        <is>
          <t>FT n. GAS-FAT260000035637 del 14/07/2026</t>
        </is>
      </c>
      <c r="D134" t="inlineStr">
        <is>
          <t>2026-08</t>
        </is>
      </c>
      <c r="E134" t="n">
        <v>23.21</v>
      </c>
    </row>
    <row r="135">
      <c r="A135" t="inlineStr">
        <is>
          <t>atelier tessuti &amp; arredo srls</t>
        </is>
      </c>
      <c r="B135" t="inlineStr">
        <is>
          <t>USCITE_VARIE_EXT</t>
        </is>
      </c>
      <c r="C135" t="inlineStr">
        <is>
          <t>FT n. FPR 9/26 del  5/08/2026</t>
        </is>
      </c>
      <c r="D135" t="inlineStr">
        <is>
          <t>2026-08</t>
        </is>
      </c>
      <c r="E135" t="n">
        <v>5368</v>
      </c>
    </row>
    <row r="136">
      <c r="A136" t="inlineStr">
        <is>
          <t>APICELLA LORENZO</t>
        </is>
      </c>
      <c r="B136" t="inlineStr">
        <is>
          <t>USCITE_VARIE_EXT</t>
        </is>
      </c>
      <c r="C136" t="inlineStr">
        <is>
          <t>FT n. 26 del 11/08/2026</t>
        </is>
      </c>
      <c r="D136" t="inlineStr">
        <is>
          <t>2026-08</t>
        </is>
      </c>
      <c r="E136" t="n">
        <v>600</v>
      </c>
    </row>
    <row r="137">
      <c r="A137" t="inlineStr">
        <is>
          <t>MAGALDI LIFE SRL SOC. UNIP.</t>
        </is>
      </c>
      <c r="B137" t="inlineStr">
        <is>
          <t>USCITE_VARIE_EXT</t>
        </is>
      </c>
      <c r="C137" t="inlineStr">
        <is>
          <t>FT n. VF26023641 del 31/07/2026</t>
        </is>
      </c>
      <c r="D137" t="inlineStr">
        <is>
          <t>2026-08</t>
        </is>
      </c>
      <c r="E137" t="n">
        <v>80.08</v>
      </c>
    </row>
    <row r="138">
      <c r="A138" t="inlineStr">
        <is>
          <t>Presspower S.r.l.</t>
        </is>
      </c>
      <c r="B138" t="inlineStr">
        <is>
          <t>USCITE_VARIE_EXT</t>
        </is>
      </c>
      <c r="C138" t="inlineStr">
        <is>
          <t>FT n. 26-004285 del  5/08/2026</t>
        </is>
      </c>
      <c r="D138" t="inlineStr">
        <is>
          <t>2026-08</t>
        </is>
      </c>
      <c r="E138" t="n">
        <v>39.42</v>
      </c>
    </row>
    <row r="139">
      <c r="A139" t="inlineStr">
        <is>
          <t>SLOPE S.R.L.</t>
        </is>
      </c>
      <c r="B139" t="inlineStr">
        <is>
          <t>USCITE_VARIE_EXT</t>
        </is>
      </c>
      <c r="C139" t="inlineStr">
        <is>
          <t>FT n. IT6000181NLIJI del  4/08/2026</t>
        </is>
      </c>
      <c r="D139" t="inlineStr">
        <is>
          <t>2026-08</t>
        </is>
      </c>
      <c r="E139" t="n">
        <v>18.9</v>
      </c>
    </row>
    <row r="140">
      <c r="A140" t="inlineStr">
        <is>
          <t>CREATIVE IDEA S.N.C. DI DE</t>
        </is>
      </c>
      <c r="B140" t="inlineStr">
        <is>
          <t>DA MAPPARE</t>
        </is>
      </c>
      <c r="C140" t="inlineStr">
        <is>
          <t>FT n. FPR 68/26 del  1/07/2026</t>
        </is>
      </c>
      <c r="D140" t="inlineStr">
        <is>
          <t>2026-08 (scaduto)</t>
        </is>
      </c>
      <c r="E140" t="n">
        <v>3111</v>
      </c>
    </row>
    <row r="141">
      <c r="A141" t="inlineStr">
        <is>
          <t>DI SARNO COFFEE SERVICE DI</t>
        </is>
      </c>
      <c r="B141" t="inlineStr">
        <is>
          <t>DA MAPPARE</t>
        </is>
      </c>
      <c r="C141" t="inlineStr">
        <is>
          <t>FT n. 512 del 24/06/2026</t>
        </is>
      </c>
      <c r="D141" t="inlineStr">
        <is>
          <t>2026-08 (scaduto)</t>
        </is>
      </c>
      <c r="E141" t="n">
        <v>2859.02</v>
      </c>
    </row>
    <row r="142">
      <c r="A142" t="inlineStr">
        <is>
          <t>DI SARNO COFFEE SERVICE DI</t>
        </is>
      </c>
      <c r="B142" t="inlineStr">
        <is>
          <t>DA MAPPARE</t>
        </is>
      </c>
      <c r="C142" t="inlineStr">
        <is>
          <t>FT n. 430 del  3/06/2026</t>
        </is>
      </c>
      <c r="D142" t="inlineStr">
        <is>
          <t>2026-08 (scaduto)</t>
        </is>
      </c>
      <c r="E142" t="n">
        <v>1844.64</v>
      </c>
    </row>
    <row r="143">
      <c r="A143" t="inlineStr">
        <is>
          <t>DI SARNO COFFEE SERVICE DI</t>
        </is>
      </c>
      <c r="B143" t="inlineStr">
        <is>
          <t>DA MAPPARE</t>
        </is>
      </c>
      <c r="C143" t="inlineStr">
        <is>
          <t>FT n. 454 del  9/06/2026</t>
        </is>
      </c>
      <c r="D143" t="inlineStr">
        <is>
          <t>2026-08 (scaduto)</t>
        </is>
      </c>
      <c r="E143" t="n">
        <v>1592.42</v>
      </c>
    </row>
    <row r="144">
      <c r="A144" t="inlineStr">
        <is>
          <t>I.C.P. INGROSSO CHIMICA PEPE</t>
        </is>
      </c>
      <c r="B144" t="inlineStr">
        <is>
          <t>DA MAPPARE</t>
        </is>
      </c>
      <c r="C144" t="inlineStr">
        <is>
          <t>FT n. 1217 del 12/05/2026</t>
        </is>
      </c>
      <c r="D144" t="inlineStr">
        <is>
          <t>2026-08 (scaduto)</t>
        </is>
      </c>
      <c r="E144" t="n">
        <v>524.16</v>
      </c>
    </row>
    <row r="145">
      <c r="A145" t="inlineStr">
        <is>
          <t>I.C.P. INGROSSO CHIMICA PEPE</t>
        </is>
      </c>
      <c r="B145" t="inlineStr">
        <is>
          <t>DA MAPPARE</t>
        </is>
      </c>
      <c r="C145" t="inlineStr">
        <is>
          <t>FT n. 1392 del 29/05/2026</t>
        </is>
      </c>
      <c r="D145" t="inlineStr">
        <is>
          <t>2026-08 (scaduto)</t>
        </is>
      </c>
      <c r="E145" t="n">
        <v>453.8</v>
      </c>
    </row>
    <row r="146">
      <c r="A146" t="inlineStr">
        <is>
          <t>I.C.P. INGROSSO CHIMICA PEPE</t>
        </is>
      </c>
      <c r="B146" t="inlineStr">
        <is>
          <t>DA MAPPARE</t>
        </is>
      </c>
      <c r="C146" t="inlineStr">
        <is>
          <t>FT n. 1300 del 20/05/2026</t>
        </is>
      </c>
      <c r="D146" t="inlineStr">
        <is>
          <t>2026-08 (scaduto)</t>
        </is>
      </c>
      <c r="E146" t="n">
        <v>449.83</v>
      </c>
    </row>
    <row r="147">
      <c r="A147" t="inlineStr">
        <is>
          <t>MEDIAMARKET S.P.A. CON SOCIO</t>
        </is>
      </c>
      <c r="B147" t="inlineStr">
        <is>
          <t>DA MAPPARE</t>
        </is>
      </c>
      <c r="C147" t="inlineStr">
        <is>
          <t>FT n. 365 01458 del 10/05/2026</t>
        </is>
      </c>
      <c r="D147" t="inlineStr">
        <is>
          <t>2026-08 (scaduto)</t>
        </is>
      </c>
      <c r="E147" t="n">
        <v>213.88</v>
      </c>
    </row>
    <row r="148">
      <c r="A148" t="inlineStr">
        <is>
          <t>I.C.P. INGROSSO CHIMICA PEPE</t>
        </is>
      </c>
      <c r="B148" t="inlineStr">
        <is>
          <t>DA MAPPARE</t>
        </is>
      </c>
      <c r="C148" t="inlineStr">
        <is>
          <t>FT n. 1147 del  6/05/2026</t>
        </is>
      </c>
      <c r="D148" t="inlineStr">
        <is>
          <t>2026-08 (scaduto)</t>
        </is>
      </c>
      <c r="E148" t="n">
        <v>142.42</v>
      </c>
    </row>
    <row r="149">
      <c r="A149" t="inlineStr">
        <is>
          <t>SAL DE RISO COSTA D AMALFI</t>
        </is>
      </c>
      <c r="B149" t="inlineStr">
        <is>
          <t>DA MAPPARE</t>
        </is>
      </c>
      <c r="C149" t="inlineStr">
        <is>
          <t>FT n. 2553/00 del 24/07/2026</t>
        </is>
      </c>
      <c r="D149" t="inlineStr">
        <is>
          <t>2026-08 (scaduto)</t>
        </is>
      </c>
      <c r="E149" t="n">
        <v>69.29000000000001</v>
      </c>
    </row>
    <row r="150">
      <c r="A150" t="inlineStr">
        <is>
          <t>SAL DE RISO COSTA D AMALFI</t>
        </is>
      </c>
      <c r="B150" t="inlineStr">
        <is>
          <t>DA MAPPARE</t>
        </is>
      </c>
      <c r="C150" t="inlineStr">
        <is>
          <t>FT n. 2609/00 del 31/07/2026</t>
        </is>
      </c>
      <c r="D150" t="inlineStr">
        <is>
          <t>2026-08 (scaduto)</t>
        </is>
      </c>
      <c r="E150" t="n">
        <v>69.29000000000001</v>
      </c>
    </row>
    <row r="151">
      <c r="A151" t="inlineStr">
        <is>
          <t>CIMINI</t>
        </is>
      </c>
      <c r="B151" t="inlineStr">
        <is>
          <t>DA MAPPARE</t>
        </is>
      </c>
      <c r="C151" t="inlineStr">
        <is>
          <t>FT n. 1/32 del 16/08/2025</t>
        </is>
      </c>
      <c r="D151" t="inlineStr">
        <is>
          <t>2026-08 (scaduto)</t>
        </is>
      </c>
      <c r="E151" t="n">
        <v>51.48</v>
      </c>
    </row>
    <row r="152">
      <c r="A152" t="inlineStr">
        <is>
          <t>SORRENTINO GIOVANNI S.N.C. DI</t>
        </is>
      </c>
      <c r="B152" t="inlineStr">
        <is>
          <t>DA MAPPARE</t>
        </is>
      </c>
      <c r="C152" t="inlineStr">
        <is>
          <t>FT n. 3779/00 del 22/06/2026</t>
        </is>
      </c>
      <c r="D152" t="inlineStr">
        <is>
          <t>2026-08 (scaduto)</t>
        </is>
      </c>
      <c r="E152" t="n">
        <v>40.9</v>
      </c>
    </row>
    <row r="153">
      <c r="A153" t="inlineStr">
        <is>
          <t>SOCIETA' INGROSSO TELEVISORI</t>
        </is>
      </c>
      <c r="B153" t="inlineStr">
        <is>
          <t>DA MAPPARE</t>
        </is>
      </c>
      <c r="C153" t="inlineStr">
        <is>
          <t>NC n. IT60002LW90RDC del 27/03/2026</t>
        </is>
      </c>
      <c r="D153" t="inlineStr">
        <is>
          <t>2026-08 (scaduto)</t>
        </is>
      </c>
      <c r="E153" t="n">
        <v>-221.91</v>
      </c>
    </row>
    <row r="154">
      <c r="A154" t="inlineStr">
        <is>
          <t>NEXI PAYMENTS S.p.A.</t>
        </is>
      </c>
      <c r="B154" t="inlineStr">
        <is>
          <t>USCITE_COMMISSIONI</t>
        </is>
      </c>
      <c r="C154" t="inlineStr">
        <is>
          <t>FT n. 2879949 del 13/07/2026</t>
        </is>
      </c>
      <c r="D154" t="inlineStr">
        <is>
          <t>2026-08 (scaduto)</t>
        </is>
      </c>
      <c r="E154" t="n">
        <v>45.38</v>
      </c>
    </row>
    <row r="155">
      <c r="A155" t="inlineStr">
        <is>
          <t>NEXI PAYMENTS S.p.A.</t>
        </is>
      </c>
      <c r="B155" t="inlineStr">
        <is>
          <t>USCITE_COMMISSIONI</t>
        </is>
      </c>
      <c r="C155" t="inlineStr">
        <is>
          <t>FT n. 2879950 del 13/07/2026</t>
        </is>
      </c>
      <c r="D155" t="inlineStr">
        <is>
          <t>2026-08 (scaduto)</t>
        </is>
      </c>
      <c r="E155" t="n">
        <v>19.64</v>
      </c>
    </row>
    <row r="156">
      <c r="A156" t="inlineStr">
        <is>
          <t>NEXI PAYMENTS S.p.A.</t>
        </is>
      </c>
      <c r="B156" t="inlineStr">
        <is>
          <t>USCITE_COMMISSIONI</t>
        </is>
      </c>
      <c r="C156" t="inlineStr">
        <is>
          <t>FT n. 2040803 del 29/01/2026</t>
        </is>
      </c>
      <c r="D156" t="inlineStr">
        <is>
          <t>2026-08 (scaduto)</t>
        </is>
      </c>
      <c r="E156" t="n">
        <v>5.49</v>
      </c>
    </row>
    <row r="157">
      <c r="A157" t="inlineStr">
        <is>
          <t>MIELE GIUSEPPE E FIGLI SPA</t>
        </is>
      </c>
      <c r="B157" t="inlineStr">
        <is>
          <t>USCITE_MATERIE_PRIME</t>
        </is>
      </c>
      <c r="C157" t="inlineStr">
        <is>
          <t>FT n. S/1231 del 15/05/2025</t>
        </is>
      </c>
      <c r="D157" t="inlineStr">
        <is>
          <t>2026-08 (scaduto)</t>
        </is>
      </c>
      <c r="E157" t="n">
        <v>5228.44</v>
      </c>
    </row>
    <row r="158">
      <c r="A158" t="inlineStr">
        <is>
          <t>LE CROISSANT SRL</t>
        </is>
      </c>
      <c r="B158" t="inlineStr">
        <is>
          <t>USCITE_MATERIE_PRIME</t>
        </is>
      </c>
      <c r="C158" t="inlineStr">
        <is>
          <t>FT n. 001223-0C0 del 13/05/2026</t>
        </is>
      </c>
      <c r="D158" t="inlineStr">
        <is>
          <t>2026-08 (scaduto)</t>
        </is>
      </c>
      <c r="E158" t="n">
        <v>1628.86</v>
      </c>
    </row>
    <row r="159">
      <c r="A159" t="inlineStr">
        <is>
          <t>FEIO S.R.L.</t>
        </is>
      </c>
      <c r="B159" t="inlineStr">
        <is>
          <t>USCITE_MATERIE_PRIME</t>
        </is>
      </c>
      <c r="C159" t="inlineStr">
        <is>
          <t>FT n. 3220 del 26/06/2026</t>
        </is>
      </c>
      <c r="D159" t="inlineStr">
        <is>
          <t>2026-08 (scaduto)</t>
        </is>
      </c>
      <c r="E159" t="n">
        <v>1443.87</v>
      </c>
    </row>
    <row r="160">
      <c r="A160" t="inlineStr">
        <is>
          <t>LE CROISSANT SRL</t>
        </is>
      </c>
      <c r="B160" t="inlineStr">
        <is>
          <t>USCITE_MATERIE_PRIME</t>
        </is>
      </c>
      <c r="C160" t="inlineStr">
        <is>
          <t>FT n. 001151-0C0 del  6/05/2026</t>
        </is>
      </c>
      <c r="D160" t="inlineStr">
        <is>
          <t>2026-08 (scaduto)</t>
        </is>
      </c>
      <c r="E160" t="n">
        <v>1234.78</v>
      </c>
    </row>
    <row r="161">
      <c r="A161" t="inlineStr">
        <is>
          <t>LE CROISSANT SRL</t>
        </is>
      </c>
      <c r="B161" t="inlineStr">
        <is>
          <t>USCITE_MATERIE_PRIME</t>
        </is>
      </c>
      <c r="C161" t="inlineStr">
        <is>
          <t>FT n. 001371-0C0 del 27/05/2026</t>
        </is>
      </c>
      <c r="D161" t="inlineStr">
        <is>
          <t>2026-08 (scaduto)</t>
        </is>
      </c>
      <c r="E161" t="n">
        <v>984.75</v>
      </c>
    </row>
    <row r="162">
      <c r="A162" t="inlineStr">
        <is>
          <t>MIELE GIUSEPPE E FIGLI SPA</t>
        </is>
      </c>
      <c r="B162" t="inlineStr">
        <is>
          <t>USCITE_MATERIE_PRIME</t>
        </is>
      </c>
      <c r="C162" t="inlineStr">
        <is>
          <t>FT n. S/2256 del 15/07/2026</t>
        </is>
      </c>
      <c r="D162" t="inlineStr">
        <is>
          <t>2026-08 (scaduto)</t>
        </is>
      </c>
      <c r="E162" t="n">
        <v>573.4</v>
      </c>
    </row>
    <row r="163">
      <c r="A163" t="inlineStr">
        <is>
          <t>MIELE GIUSEPPE E FIGLI SPA</t>
        </is>
      </c>
      <c r="B163" t="inlineStr">
        <is>
          <t>USCITE_MATERIE_PRIME</t>
        </is>
      </c>
      <c r="C163" t="inlineStr">
        <is>
          <t>FT n. S/2482 del 31/07/2026</t>
        </is>
      </c>
      <c r="D163" t="inlineStr">
        <is>
          <t>2026-08 (scaduto)</t>
        </is>
      </c>
      <c r="E163" t="n">
        <v>527.53</v>
      </c>
    </row>
    <row r="164">
      <c r="A164" t="inlineStr">
        <is>
          <t>LE CROISSANT SRL</t>
        </is>
      </c>
      <c r="B164" t="inlineStr">
        <is>
          <t>USCITE_MATERIE_PRIME</t>
        </is>
      </c>
      <c r="C164" t="inlineStr">
        <is>
          <t>FT n. 001295-0C0 del 20/05/2026</t>
        </is>
      </c>
      <c r="D164" t="inlineStr">
        <is>
          <t>2026-08 (scaduto)</t>
        </is>
      </c>
      <c r="E164" t="n">
        <v>497.23</v>
      </c>
    </row>
    <row r="165">
      <c r="A165" t="inlineStr">
        <is>
          <t>MIELE GIUSEPPE E FIGLI SPA</t>
        </is>
      </c>
      <c r="B165" t="inlineStr">
        <is>
          <t>USCITE_MATERIE_PRIME</t>
        </is>
      </c>
      <c r="C165" t="inlineStr">
        <is>
          <t>FT n. S/1285 del 30/04/2026</t>
        </is>
      </c>
      <c r="D165" t="inlineStr">
        <is>
          <t>2026-08 (scaduto)</t>
        </is>
      </c>
      <c r="E165" t="n">
        <v>381.25</v>
      </c>
    </row>
    <row r="166">
      <c r="A166" t="inlineStr">
        <is>
          <t>AMAZON EU S.A R.L.</t>
        </is>
      </c>
      <c r="B166" t="inlineStr">
        <is>
          <t>USCITE_MATERIE_PRIME</t>
        </is>
      </c>
      <c r="C166" t="inlineStr">
        <is>
          <t>FT n. IT26-AEUI-4702282 del 26/03/2026</t>
        </is>
      </c>
      <c r="D166" t="inlineStr">
        <is>
          <t>2026-08 (scaduto)</t>
        </is>
      </c>
      <c r="E166" t="n">
        <v>324.24</v>
      </c>
    </row>
    <row r="167">
      <c r="A167" t="inlineStr">
        <is>
          <t>LE CROISSANT SRL</t>
        </is>
      </c>
      <c r="B167" t="inlineStr">
        <is>
          <t>USCITE_MATERIE_PRIME</t>
        </is>
      </c>
      <c r="C167" t="inlineStr">
        <is>
          <t>FT n. 001242-0C0 del 15/05/2026</t>
        </is>
      </c>
      <c r="D167" t="inlineStr">
        <is>
          <t>2026-08 (scaduto)</t>
        </is>
      </c>
      <c r="E167" t="n">
        <v>324.17</v>
      </c>
    </row>
    <row r="168">
      <c r="A168" t="inlineStr">
        <is>
          <t>FEIO S.R.L.</t>
        </is>
      </c>
      <c r="B168" t="inlineStr">
        <is>
          <t>USCITE_MATERIE_PRIME</t>
        </is>
      </c>
      <c r="C168" t="inlineStr">
        <is>
          <t>FT n. 2783 del  5/06/2026</t>
        </is>
      </c>
      <c r="D168" t="inlineStr">
        <is>
          <t>2026-08 (scaduto)</t>
        </is>
      </c>
      <c r="E168" t="n">
        <v>253.27</v>
      </c>
    </row>
    <row r="169">
      <c r="A169" t="inlineStr">
        <is>
          <t>ALBERGO SANTA CHIARA</t>
        </is>
      </c>
      <c r="B169" t="inlineStr">
        <is>
          <t>USCITE_MATERIE_PRIME</t>
        </is>
      </c>
      <c r="C169" t="inlineStr">
        <is>
          <t>FT n. 1820/2026-H01-F del 10/07/2026</t>
        </is>
      </c>
      <c r="D169" t="inlineStr">
        <is>
          <t>2026-08 (scaduto)</t>
        </is>
      </c>
      <c r="E169" t="n">
        <v>214.5</v>
      </c>
    </row>
    <row r="170">
      <c r="A170" t="inlineStr">
        <is>
          <t>KING CATERING S.R.L.</t>
        </is>
      </c>
      <c r="B170" t="inlineStr">
        <is>
          <t>USCITE_MATERIE_PRIME</t>
        </is>
      </c>
      <c r="C170" t="inlineStr">
        <is>
          <t>FT n. 1/151 del 28/02/2026</t>
        </is>
      </c>
      <c r="D170" t="inlineStr">
        <is>
          <t>2026-08 (scaduto)</t>
        </is>
      </c>
      <c r="E170" t="n">
        <v>165.5</v>
      </c>
    </row>
    <row r="171">
      <c r="A171" t="inlineStr">
        <is>
          <t>AMAZON EU S.A R.L.</t>
        </is>
      </c>
      <c r="B171" t="inlineStr">
        <is>
          <t>USCITE_MATERIE_PRIME</t>
        </is>
      </c>
      <c r="C171" t="inlineStr">
        <is>
          <t>FT n. IT26-AEUI-3481247 del  5/03/2026</t>
        </is>
      </c>
      <c r="D171" t="inlineStr">
        <is>
          <t>2026-08 (scaduto)</t>
        </is>
      </c>
      <c r="E171" t="n">
        <v>162</v>
      </c>
    </row>
    <row r="172">
      <c r="A172" t="inlineStr">
        <is>
          <t>EXORH DI CHIESA PAOLA</t>
        </is>
      </c>
      <c r="B172" t="inlineStr">
        <is>
          <t>USCITE_MATERIE_PRIME</t>
        </is>
      </c>
      <c r="C172" t="inlineStr">
        <is>
          <t>FT n. IT60008CC70VFI del  4/03/2026</t>
        </is>
      </c>
      <c r="D172" t="inlineStr">
        <is>
          <t>2026-08 (scaduto)</t>
        </is>
      </c>
      <c r="E172" t="n">
        <v>148</v>
      </c>
    </row>
    <row r="173">
      <c r="A173" t="inlineStr">
        <is>
          <t>ROMANO CIRO S.R.L.</t>
        </is>
      </c>
      <c r="B173" t="inlineStr">
        <is>
          <t>USCITE_MATERIE_PRIME</t>
        </is>
      </c>
      <c r="C173" t="inlineStr">
        <is>
          <t>FT n. 39 del 13/10/2025</t>
        </is>
      </c>
      <c r="D173" t="inlineStr">
        <is>
          <t>2026-08 (scaduto)</t>
        </is>
      </c>
      <c r="E173" t="n">
        <v>122</v>
      </c>
    </row>
    <row r="174">
      <c r="A174" t="inlineStr">
        <is>
          <t>RG Commerciale S.r.l.</t>
        </is>
      </c>
      <c r="B174" t="inlineStr">
        <is>
          <t>USCITE_MATERIE_PRIME</t>
        </is>
      </c>
      <c r="C174" t="inlineStr">
        <is>
          <t>FT n. 1/6315 del 28/07/2026</t>
        </is>
      </c>
      <c r="D174" t="inlineStr">
        <is>
          <t>2026-08 (scaduto)</t>
        </is>
      </c>
      <c r="E174" t="n">
        <v>114.1</v>
      </c>
    </row>
    <row r="175">
      <c r="A175" t="inlineStr">
        <is>
          <t>C&amp;C S.p.A.</t>
        </is>
      </c>
      <c r="B175" t="inlineStr">
        <is>
          <t>USCITE_MATERIE_PRIME</t>
        </is>
      </c>
      <c r="C175" t="inlineStr">
        <is>
          <t>FT n. 904/SA del 20/05/2025</t>
        </is>
      </c>
      <c r="D175" t="inlineStr">
        <is>
          <t>2026-08 (scaduto)</t>
        </is>
      </c>
      <c r="E175" t="n">
        <v>99</v>
      </c>
    </row>
    <row r="176">
      <c r="A176" t="inlineStr">
        <is>
          <t>CAPUANO RAFFAELE</t>
        </is>
      </c>
      <c r="B176" t="inlineStr">
        <is>
          <t>USCITE_MATERIE_PRIME</t>
        </is>
      </c>
      <c r="C176" t="inlineStr">
        <is>
          <t>FT n. FPA202526 del 20/12/2025</t>
        </is>
      </c>
      <c r="D176" t="inlineStr">
        <is>
          <t>2026-08 (scaduto)</t>
        </is>
      </c>
      <c r="E176" t="n">
        <v>80</v>
      </c>
    </row>
    <row r="177">
      <c r="A177" t="inlineStr">
        <is>
          <t>PEPPINO RISTORAZIONE S.R.L.</t>
        </is>
      </c>
      <c r="B177" t="inlineStr">
        <is>
          <t>USCITE_MATERIE_PRIME</t>
        </is>
      </c>
      <c r="C177" t="inlineStr">
        <is>
          <t>FT n. 514 del 25/03/2026</t>
        </is>
      </c>
      <c r="D177" t="inlineStr">
        <is>
          <t>2026-08 (scaduto)</t>
        </is>
      </c>
      <c r="E177" t="n">
        <v>72</v>
      </c>
    </row>
    <row r="178">
      <c r="A178" t="inlineStr">
        <is>
          <t>IDRO-TOP S.R.L.</t>
        </is>
      </c>
      <c r="B178" t="inlineStr">
        <is>
          <t>USCITE_MATERIE_PRIME</t>
        </is>
      </c>
      <c r="C178" t="inlineStr">
        <is>
          <t>FT n. IT6000F7JNNY5I del  3/03/2026</t>
        </is>
      </c>
      <c r="D178" t="inlineStr">
        <is>
          <t>2026-08 (scaduto)</t>
        </is>
      </c>
      <c r="E178" t="n">
        <v>71.64</v>
      </c>
    </row>
    <row r="179">
      <c r="A179" t="inlineStr">
        <is>
          <t>HAPPY CASA STORE S.R.L.</t>
        </is>
      </c>
      <c r="B179" t="inlineStr">
        <is>
          <t>USCITE_MATERIE_PRIME</t>
        </is>
      </c>
      <c r="C179" t="inlineStr">
        <is>
          <t>FT n. 022  00554 del 14/12/2025</t>
        </is>
      </c>
      <c r="D179" t="inlineStr">
        <is>
          <t>2026-08 (scaduto)</t>
        </is>
      </c>
      <c r="E179" t="n">
        <v>60.06</v>
      </c>
    </row>
    <row r="180">
      <c r="A180" t="inlineStr">
        <is>
          <t>Dr. Vranjes Firenze S.p.A.</t>
        </is>
      </c>
      <c r="B180" t="inlineStr">
        <is>
          <t>USCITE_MATERIE_PRIME</t>
        </is>
      </c>
      <c r="C180" t="inlineStr">
        <is>
          <t>FT n. W613 del 15/03/2026</t>
        </is>
      </c>
      <c r="D180" t="inlineStr">
        <is>
          <t>2026-08 (scaduto)</t>
        </is>
      </c>
      <c r="E180" t="n">
        <v>45.99</v>
      </c>
    </row>
    <row r="181">
      <c r="A181" t="inlineStr">
        <is>
          <t>OIP SRL</t>
        </is>
      </c>
      <c r="B181" t="inlineStr">
        <is>
          <t>USCITE_MATERIE_PRIME</t>
        </is>
      </c>
      <c r="C181" t="inlineStr">
        <is>
          <t>FT n. 1/175 del 26/06/2026</t>
        </is>
      </c>
      <c r="D181" t="inlineStr">
        <is>
          <t>2026-08 (scaduto)</t>
        </is>
      </c>
      <c r="E181" t="n">
        <v>44.94</v>
      </c>
    </row>
    <row r="182">
      <c r="A182" t="inlineStr">
        <is>
          <t>AMAZON EU S.A R.L.</t>
        </is>
      </c>
      <c r="B182" t="inlineStr">
        <is>
          <t>USCITE_MATERIE_PRIME</t>
        </is>
      </c>
      <c r="C182" t="inlineStr">
        <is>
          <t>FT n. IT26-AEUI-12022094 del 31/07/2026</t>
        </is>
      </c>
      <c r="D182" t="inlineStr">
        <is>
          <t>2026-08 (scaduto)</t>
        </is>
      </c>
      <c r="E182" t="n">
        <v>40.99</v>
      </c>
    </row>
    <row r="183">
      <c r="A183" t="inlineStr">
        <is>
          <t>AMAZON EU S.A R.L.</t>
        </is>
      </c>
      <c r="B183" t="inlineStr">
        <is>
          <t>USCITE_MATERIE_PRIME</t>
        </is>
      </c>
      <c r="C183" t="inlineStr">
        <is>
          <t>FT n. IT26-AEUI-5689887 del 14/04/2026</t>
        </is>
      </c>
      <c r="D183" t="inlineStr">
        <is>
          <t>2026-08 (scaduto)</t>
        </is>
      </c>
      <c r="E183" t="n">
        <v>40.14</v>
      </c>
    </row>
    <row r="184">
      <c r="A184" t="inlineStr">
        <is>
          <t>AMAZON EU S.A R.L.</t>
        </is>
      </c>
      <c r="B184" t="inlineStr">
        <is>
          <t>USCITE_MATERIE_PRIME</t>
        </is>
      </c>
      <c r="C184" t="inlineStr">
        <is>
          <t>FT n. IT26-AEUI-3803188 del 11/03/2026</t>
        </is>
      </c>
      <c r="D184" t="inlineStr">
        <is>
          <t>2026-08 (scaduto)</t>
        </is>
      </c>
      <c r="E184" t="n">
        <v>34.96</v>
      </c>
    </row>
    <row r="185">
      <c r="A185" t="inlineStr">
        <is>
          <t>AMAZON EU S.A R.L.</t>
        </is>
      </c>
      <c r="B185" t="inlineStr">
        <is>
          <t>USCITE_MATERIE_PRIME</t>
        </is>
      </c>
      <c r="C185" t="inlineStr">
        <is>
          <t>FT n. IT26-AEUI-12022212 del 31/07/2026</t>
        </is>
      </c>
      <c r="D185" t="inlineStr">
        <is>
          <t>2026-08 (scaduto)</t>
        </is>
      </c>
      <c r="E185" t="n">
        <v>27.3</v>
      </c>
    </row>
    <row r="186">
      <c r="A186" t="inlineStr">
        <is>
          <t>RISALITI SRL</t>
        </is>
      </c>
      <c r="B186" t="inlineStr">
        <is>
          <t>USCITE_MATERIE_PRIME</t>
        </is>
      </c>
      <c r="C186" t="inlineStr">
        <is>
          <t>FT n. 293 del 13/03/2026</t>
        </is>
      </c>
      <c r="D186" t="inlineStr">
        <is>
          <t>2026-08 (scaduto)</t>
        </is>
      </c>
      <c r="E186" t="n">
        <v>23.09</v>
      </c>
    </row>
    <row r="187">
      <c r="A187" t="inlineStr">
        <is>
          <t>AMAZON EU S.A R.L.</t>
        </is>
      </c>
      <c r="B187" t="inlineStr">
        <is>
          <t>USCITE_MATERIE_PRIME</t>
        </is>
      </c>
      <c r="C187" t="inlineStr">
        <is>
          <t>FT n. IT26-AEUI-3657422 del  9/03/2026</t>
        </is>
      </c>
      <c r="D187" t="inlineStr">
        <is>
          <t>2026-08 (scaduto)</t>
        </is>
      </c>
      <c r="E187" t="n">
        <v>17.98</v>
      </c>
    </row>
    <row r="188">
      <c r="A188" t="inlineStr">
        <is>
          <t>AMAZON EU S.A R.L.</t>
        </is>
      </c>
      <c r="B188" t="inlineStr">
        <is>
          <t>USCITE_MATERIE_PRIME</t>
        </is>
      </c>
      <c r="C188" t="inlineStr">
        <is>
          <t>FT n. IT26-AEUI-5045326 del  1/04/2026</t>
        </is>
      </c>
      <c r="D188" t="inlineStr">
        <is>
          <t>2026-08 (scaduto)</t>
        </is>
      </c>
      <c r="E188" t="n">
        <v>12.1</v>
      </c>
    </row>
    <row r="189">
      <c r="A189" t="inlineStr">
        <is>
          <t>PASTICCERIA NAPOLI SNC</t>
        </is>
      </c>
      <c r="B189" t="inlineStr">
        <is>
          <t>USCITE_MATERIE_PRIME</t>
        </is>
      </c>
      <c r="C189" t="inlineStr">
        <is>
          <t>FT n. 7 del 27/07/2026</t>
        </is>
      </c>
      <c r="D189" t="inlineStr">
        <is>
          <t>2026-08 (scaduto)</t>
        </is>
      </c>
      <c r="E189" t="n">
        <v>0.01</v>
      </c>
    </row>
    <row r="190">
      <c r="A190" t="inlineStr">
        <is>
          <t>PASTICCERIA NAPOLI SNC</t>
        </is>
      </c>
      <c r="B190" t="inlineStr">
        <is>
          <t>USCITE_MATERIE_PRIME</t>
        </is>
      </c>
      <c r="C190" t="inlineStr">
        <is>
          <t>NC n. 2 del 27/07/2026</t>
        </is>
      </c>
      <c r="D190" t="inlineStr">
        <is>
          <t>2026-08 (scaduto)</t>
        </is>
      </c>
      <c r="E190" t="n">
        <v>-60.01</v>
      </c>
    </row>
    <row r="191">
      <c r="A191" t="inlineStr">
        <is>
          <t>MIELE GIUSEPPE E FIGLI SPA</t>
        </is>
      </c>
      <c r="B191" t="inlineStr">
        <is>
          <t>USCITE_MATERIE_PRIME</t>
        </is>
      </c>
      <c r="C191" t="inlineStr">
        <is>
          <t>NC n. V/110 del 31/05/2025</t>
        </is>
      </c>
      <c r="D191" t="inlineStr">
        <is>
          <t>2026-08 (scaduto)</t>
        </is>
      </c>
      <c r="E191" t="n">
        <v>-7522.72</v>
      </c>
    </row>
    <row r="192">
      <c r="A192" t="inlineStr">
        <is>
          <t>PIETRA DI LUNA HOTEL - S.R.L.</t>
        </is>
      </c>
      <c r="B192" t="inlineStr">
        <is>
          <t>USCITE_SERVIZI_PRODUZIONE</t>
        </is>
      </c>
      <c r="C192" t="inlineStr">
        <is>
          <t>FT n. 209/F del  7/06/2026</t>
        </is>
      </c>
      <c r="D192" t="inlineStr">
        <is>
          <t>2026-08 (scaduto)</t>
        </is>
      </c>
      <c r="E192" t="n">
        <v>573.4</v>
      </c>
    </row>
    <row r="193">
      <c r="A193" t="inlineStr">
        <is>
          <t>PIETRA DI LUNA HOTEL - S.R.L.</t>
        </is>
      </c>
      <c r="B193" t="inlineStr">
        <is>
          <t>USCITE_SERVIZI_PRODUZIONE</t>
        </is>
      </c>
      <c r="C193" t="inlineStr">
        <is>
          <t>FT n. 304/F del  3/07/2026</t>
        </is>
      </c>
      <c r="D193" t="inlineStr">
        <is>
          <t>2026-08 (scaduto)</t>
        </is>
      </c>
      <c r="E193" t="n">
        <v>347.7</v>
      </c>
    </row>
    <row r="194">
      <c r="A194" t="inlineStr">
        <is>
          <t>Aruba S.p.A.</t>
        </is>
      </c>
      <c r="B194" t="inlineStr">
        <is>
          <t>USCITE_SERVIZI_PRODUZIONE</t>
        </is>
      </c>
      <c r="C194" t="inlineStr">
        <is>
          <t>FT n. 1000263004373957 del 14/05/2026</t>
        </is>
      </c>
      <c r="D194" t="inlineStr">
        <is>
          <t>2026-08 (scaduto)</t>
        </is>
      </c>
      <c r="E194" t="n">
        <v>14.52</v>
      </c>
    </row>
    <row r="195">
      <c r="A195" t="inlineStr">
        <is>
          <t>GOOGLE CLOUD ITALY S.R.L.</t>
        </is>
      </c>
      <c r="B195" t="inlineStr">
        <is>
          <t>USCITE_SERVIZI_PRODUZIONE</t>
        </is>
      </c>
      <c r="C195" t="inlineStr">
        <is>
          <t>FT n. GCITD0007433734 del 31/07/2026</t>
        </is>
      </c>
      <c r="D195" t="inlineStr">
        <is>
          <t>2026-08 (scaduto)</t>
        </is>
      </c>
      <c r="E195" t="n">
        <v>13.46</v>
      </c>
    </row>
    <row r="196">
      <c r="A196" t="inlineStr">
        <is>
          <t>GOOGLE CLOUD ITALY S.R.L.</t>
        </is>
      </c>
      <c r="B196" t="inlineStr">
        <is>
          <t>USCITE_SERVIZI_PRODUZIONE</t>
        </is>
      </c>
      <c r="C196" t="inlineStr">
        <is>
          <t>FT n. GCITD0007019415 del 31/05/2026</t>
        </is>
      </c>
      <c r="D196" t="inlineStr">
        <is>
          <t>2026-08 (scaduto)</t>
        </is>
      </c>
      <c r="E196" t="n">
        <v>5.78</v>
      </c>
    </row>
    <row r="197">
      <c r="A197" t="inlineStr">
        <is>
          <t>GOOGLE CLOUD ITALY S.R.L.</t>
        </is>
      </c>
      <c r="B197" t="inlineStr">
        <is>
          <t>USCITE_SERVIZI_PRODUZIONE</t>
        </is>
      </c>
      <c r="C197" t="inlineStr">
        <is>
          <t>FT n. GCITD0007228669 del 30/06/2026</t>
        </is>
      </c>
      <c r="D197" t="inlineStr">
        <is>
          <t>2026-08 (scaduto)</t>
        </is>
      </c>
      <c r="E197" t="n">
        <v>3.62</v>
      </c>
    </row>
    <row r="198">
      <c r="A198" t="inlineStr">
        <is>
          <t>GOOGLE CLOUD ITALY S.R.L.</t>
        </is>
      </c>
      <c r="B198" t="inlineStr">
        <is>
          <t>USCITE_SERVIZI_PRODUZIONE</t>
        </is>
      </c>
      <c r="C198" t="inlineStr">
        <is>
          <t>FT n. GCITD0006856931 del 30/04/2026</t>
        </is>
      </c>
      <c r="D198" t="inlineStr">
        <is>
          <t>2026-08 (scaduto)</t>
        </is>
      </c>
      <c r="E198" t="n">
        <v>1.18</v>
      </c>
    </row>
    <row r="199">
      <c r="A199" t="inlineStr">
        <is>
          <t>CENTRO MODA S.R.L.</t>
        </is>
      </c>
      <c r="B199" t="inlineStr">
        <is>
          <t>USCITE_VARIE_EXT</t>
        </is>
      </c>
      <c r="C199" t="inlineStr">
        <is>
          <t>FT n. 38 del  8/04/2026</t>
        </is>
      </c>
      <c r="D199" t="inlineStr">
        <is>
          <t>2026-08 (scaduto)</t>
        </is>
      </c>
      <c r="E199" t="n">
        <v>1997.01</v>
      </c>
    </row>
    <row r="200">
      <c r="A200" t="inlineStr">
        <is>
          <t>Ikea Italia Retail Srl</t>
        </is>
      </c>
      <c r="B200" t="inlineStr">
        <is>
          <t>USCITE_VARIE_EXT</t>
        </is>
      </c>
      <c r="C200" t="inlineStr">
        <is>
          <t>FT n. EC_2026_0218901 del 17/06/2026</t>
        </is>
      </c>
      <c r="D200" t="inlineStr">
        <is>
          <t>2026-08 (scaduto)</t>
        </is>
      </c>
      <c r="E200" t="n">
        <v>1039</v>
      </c>
    </row>
    <row r="201">
      <c r="A201" t="inlineStr">
        <is>
          <t>ALBA NEON S.R.L.</t>
        </is>
      </c>
      <c r="B201" t="inlineStr">
        <is>
          <t>USCITE_VARIE_EXT</t>
        </is>
      </c>
      <c r="C201" t="inlineStr">
        <is>
          <t>FT n. 702 del 31/07/2026</t>
        </is>
      </c>
      <c r="D201" t="inlineStr">
        <is>
          <t>2026-08 (scaduto)</t>
        </is>
      </c>
      <c r="E201" t="n">
        <v>976</v>
      </c>
    </row>
    <row r="202">
      <c r="A202" t="inlineStr">
        <is>
          <t>RISTORANTE MARIA GRAZIA S.R.L.</t>
        </is>
      </c>
      <c r="B202" t="inlineStr">
        <is>
          <t>USCITE_VARIE_EXT</t>
        </is>
      </c>
      <c r="C202" t="inlineStr">
        <is>
          <t>FT n. 114A del 28/07/2026</t>
        </is>
      </c>
      <c r="D202" t="inlineStr">
        <is>
          <t>2026-08 (scaduto)</t>
        </is>
      </c>
      <c r="E202" t="n">
        <v>822</v>
      </c>
    </row>
    <row r="203">
      <c r="A203" t="inlineStr">
        <is>
          <t>NILA S.R.L.</t>
        </is>
      </c>
      <c r="B203" t="inlineStr">
        <is>
          <t>USCITE_VARIE_EXT</t>
        </is>
      </c>
      <c r="C203" t="inlineStr">
        <is>
          <t>FT n. 510ART/2026 del 24/06/2026</t>
        </is>
      </c>
      <c r="D203" t="inlineStr">
        <is>
          <t>2026-08 (scaduto)</t>
        </is>
      </c>
      <c r="E203" t="n">
        <v>782.2</v>
      </c>
    </row>
    <row r="204">
      <c r="A204" t="inlineStr">
        <is>
          <t>I.R.P.S. SRL</t>
        </is>
      </c>
      <c r="B204" t="inlineStr">
        <is>
          <t>USCITE_VARIE_EXT</t>
        </is>
      </c>
      <c r="C204" t="inlineStr">
        <is>
          <t>FT n. 5951 del 30/06/2026</t>
        </is>
      </c>
      <c r="D204" t="inlineStr">
        <is>
          <t>2026-08 (scaduto)</t>
        </is>
      </c>
      <c r="E204" t="n">
        <v>599.5</v>
      </c>
    </row>
    <row r="205">
      <c r="A205" t="inlineStr">
        <is>
          <t>LEONE S.R.L.</t>
        </is>
      </c>
      <c r="B205" t="inlineStr">
        <is>
          <t>USCITE_VARIE_EXT</t>
        </is>
      </c>
      <c r="C205" t="inlineStr">
        <is>
          <t>FT n. 009486/26A del 23/07/2026</t>
        </is>
      </c>
      <c r="D205" t="inlineStr">
        <is>
          <t>2026-08 (scaduto)</t>
        </is>
      </c>
      <c r="E205" t="n">
        <v>362.89</v>
      </c>
    </row>
    <row r="206">
      <c r="A206" t="inlineStr">
        <is>
          <t>TO SHARE SRLS</t>
        </is>
      </c>
      <c r="B206" t="inlineStr">
        <is>
          <t>USCITE_VARIE_EXT</t>
        </is>
      </c>
      <c r="C206" t="inlineStr">
        <is>
          <t>FT n. 23/RIST del 30/07/2026</t>
        </is>
      </c>
      <c r="D206" t="inlineStr">
        <is>
          <t>2026-08 (scaduto)</t>
        </is>
      </c>
      <c r="E206" t="n">
        <v>299.99</v>
      </c>
    </row>
    <row r="207">
      <c r="A207" t="inlineStr">
        <is>
          <t>D.L. Brothers srl</t>
        </is>
      </c>
      <c r="B207" t="inlineStr">
        <is>
          <t>USCITE_VARIE_EXT</t>
        </is>
      </c>
      <c r="C207" t="inlineStr">
        <is>
          <t>FT n. 38/F del 28/05/2026</t>
        </is>
      </c>
      <c r="D207" t="inlineStr">
        <is>
          <t>2026-08 (scaduto)</t>
        </is>
      </c>
      <c r="E207" t="n">
        <v>296.56</v>
      </c>
    </row>
    <row r="208">
      <c r="A208" t="inlineStr">
        <is>
          <t>DIECI S.R.L.S.</t>
        </is>
      </c>
      <c r="B208" t="inlineStr">
        <is>
          <t>USCITE_VARIE_EXT</t>
        </is>
      </c>
      <c r="C208" t="inlineStr">
        <is>
          <t>FT n. 326 del 10/04/2026</t>
        </is>
      </c>
      <c r="D208" t="inlineStr">
        <is>
          <t>2026-08 (scaduto)</t>
        </is>
      </c>
      <c r="E208" t="n">
        <v>198.01</v>
      </c>
    </row>
    <row r="209">
      <c r="A209" t="inlineStr">
        <is>
          <t>GDM S.P.A.</t>
        </is>
      </c>
      <c r="B209" t="inlineStr">
        <is>
          <t>USCITE_VARIE_EXT</t>
        </is>
      </c>
      <c r="C209" t="inlineStr">
        <is>
          <t>FT n. 0079B del  8/07/2026</t>
        </is>
      </c>
      <c r="D209" t="inlineStr">
        <is>
          <t>2026-08 (scaduto)</t>
        </is>
      </c>
      <c r="E209" t="n">
        <v>133.29</v>
      </c>
    </row>
    <row r="210">
      <c r="A210" t="inlineStr">
        <is>
          <t>MAGALDI LIFE SRL SOC. UNIP.</t>
        </is>
      </c>
      <c r="B210" t="inlineStr">
        <is>
          <t>USCITE_VARIE_EXT</t>
        </is>
      </c>
      <c r="C210" t="inlineStr">
        <is>
          <t>FT n. VF26019879 del 30/06/2026</t>
        </is>
      </c>
      <c r="D210" t="inlineStr">
        <is>
          <t>2026-08 (scaduto)</t>
        </is>
      </c>
      <c r="E210" t="n">
        <v>86.3</v>
      </c>
    </row>
    <row r="211">
      <c r="A211" t="inlineStr">
        <is>
          <t>Leroy Merlin Italia srl</t>
        </is>
      </c>
      <c r="B211" t="inlineStr">
        <is>
          <t>USCITE_VARIE_EXT</t>
        </is>
      </c>
      <c r="C211" t="inlineStr">
        <is>
          <t>FT n. 061-013091 del 10/05/2026</t>
        </is>
      </c>
      <c r="D211" t="inlineStr">
        <is>
          <t>2026-08 (scaduto)</t>
        </is>
      </c>
      <c r="E211" t="n">
        <v>81.88</v>
      </c>
    </row>
    <row r="212">
      <c r="A212" t="inlineStr">
        <is>
          <t>MAGALDI LIFE SRL SOC. UNIP.</t>
        </is>
      </c>
      <c r="B212" t="inlineStr">
        <is>
          <t>USCITE_VARIE_EXT</t>
        </is>
      </c>
      <c r="C212" t="inlineStr">
        <is>
          <t>FT n. VF26015509 del 31/05/2026</t>
        </is>
      </c>
      <c r="D212" t="inlineStr">
        <is>
          <t>2026-08 (scaduto)</t>
        </is>
      </c>
      <c r="E212" t="n">
        <v>61.06</v>
      </c>
    </row>
    <row r="213">
      <c r="A213" t="inlineStr">
        <is>
          <t>MAGALDI LIFE SRL SOC. UNIP.</t>
        </is>
      </c>
      <c r="B213" t="inlineStr">
        <is>
          <t>USCITE_VARIE_EXT</t>
        </is>
      </c>
      <c r="C213" t="inlineStr">
        <is>
          <t>FT n. VF26012165 del 30/04/2026</t>
        </is>
      </c>
      <c r="D213" t="inlineStr">
        <is>
          <t>2026-08 (scaduto)</t>
        </is>
      </c>
      <c r="E213" t="n">
        <v>59.11</v>
      </c>
    </row>
    <row r="214">
      <c r="A214" t="inlineStr">
        <is>
          <t>PUNTOFFICE DI CARDARELLI RITA</t>
        </is>
      </c>
      <c r="B214" t="inlineStr">
        <is>
          <t>USCITE_VARIE_EXT</t>
        </is>
      </c>
      <c r="C214" t="inlineStr">
        <is>
          <t>FT n. 24 del 11/06/2026</t>
        </is>
      </c>
      <c r="D214" t="inlineStr">
        <is>
          <t>2026-08 (scaduto)</t>
        </is>
      </c>
      <c r="E214" t="n">
        <v>58</v>
      </c>
    </row>
    <row r="215">
      <c r="A215" t="inlineStr">
        <is>
          <t>APPLE RETAIL ITALIA S.R.L.</t>
        </is>
      </c>
      <c r="B215" t="inlineStr">
        <is>
          <t>USCITE_VARIE_EXT</t>
        </is>
      </c>
      <c r="C215" t="inlineStr">
        <is>
          <t>AD n. 2 del 19/05/2026</t>
        </is>
      </c>
      <c r="D215" t="inlineStr">
        <is>
          <t>2026-08 (scaduto)</t>
        </is>
      </c>
      <c r="E215" t="n">
        <v>22.5</v>
      </c>
    </row>
    <row r="216">
      <c r="A216" t="inlineStr">
        <is>
          <t>HAIR GALLERY EUROPE SRL</t>
        </is>
      </c>
      <c r="B216" t="inlineStr">
        <is>
          <t>USCITE_VARIE_EXT</t>
        </is>
      </c>
      <c r="C216" t="inlineStr">
        <is>
          <t>FT n. 2026110000892 del 10/04/2026</t>
        </is>
      </c>
      <c r="D216" t="inlineStr">
        <is>
          <t>2026-08 (scaduto)</t>
        </is>
      </c>
      <c r="E216" t="n">
        <v>15.84</v>
      </c>
    </row>
    <row r="217">
      <c r="A217" t="inlineStr">
        <is>
          <t>AMALFIWEB - SOCIETA' A</t>
        </is>
      </c>
      <c r="B217" t="inlineStr">
        <is>
          <t>DA MAPPARE</t>
        </is>
      </c>
      <c r="C217" t="inlineStr">
        <is>
          <t>FT n. 391 del  3/08/2026</t>
        </is>
      </c>
      <c r="D217" t="inlineStr">
        <is>
          <t>2026-09</t>
        </is>
      </c>
      <c r="E217" t="n">
        <v>1439.6</v>
      </c>
    </row>
    <row r="218">
      <c r="A218" t="inlineStr">
        <is>
          <t>DI SARNO COFFEE SERVICE DI</t>
        </is>
      </c>
      <c r="B218" t="inlineStr">
        <is>
          <t>DA MAPPARE</t>
        </is>
      </c>
      <c r="C218" t="inlineStr">
        <is>
          <t>FT n. 727 del 11/08/2026</t>
        </is>
      </c>
      <c r="D218" t="inlineStr">
        <is>
          <t>2026-09</t>
        </is>
      </c>
      <c r="E218" t="n">
        <v>759</v>
      </c>
    </row>
    <row r="219">
      <c r="A219" t="inlineStr">
        <is>
          <t>CENTRO SERVICE SNC DI VOCCIA</t>
        </is>
      </c>
      <c r="B219" t="inlineStr">
        <is>
          <t>DA MAPPARE</t>
        </is>
      </c>
      <c r="C219" t="inlineStr">
        <is>
          <t>FT n. FPR 371/26 del 11/08/2026</t>
        </is>
      </c>
      <c r="D219" t="inlineStr">
        <is>
          <t>2026-09</t>
        </is>
      </c>
      <c r="E219" t="n">
        <v>714.92</v>
      </c>
    </row>
    <row r="220">
      <c r="A220" t="inlineStr">
        <is>
          <t>I.C.P. INGROSSO CHIMICA PEPE</t>
        </is>
      </c>
      <c r="B220" t="inlineStr">
        <is>
          <t>DA MAPPARE</t>
        </is>
      </c>
      <c r="C220" t="inlineStr">
        <is>
          <t>FT n. 1919 del 17/07/2026</t>
        </is>
      </c>
      <c r="D220" t="inlineStr">
        <is>
          <t>2026-09</t>
        </is>
      </c>
      <c r="E220" t="n">
        <v>615.92</v>
      </c>
    </row>
    <row r="221">
      <c r="A221" t="inlineStr">
        <is>
          <t>I.C.P. INGROSSO CHIMICA PEPE</t>
        </is>
      </c>
      <c r="B221" t="inlineStr">
        <is>
          <t>DA MAPPARE</t>
        </is>
      </c>
      <c r="C221" t="inlineStr">
        <is>
          <t>FT n. 2050 del 30/07/2026</t>
        </is>
      </c>
      <c r="D221" t="inlineStr">
        <is>
          <t>2026-09</t>
        </is>
      </c>
      <c r="E221" t="n">
        <v>587.5700000000001</v>
      </c>
    </row>
    <row r="222">
      <c r="A222" t="inlineStr">
        <is>
          <t>I.C.P. INGROSSO CHIMICA PEPE</t>
        </is>
      </c>
      <c r="B222" t="inlineStr">
        <is>
          <t>DA MAPPARE</t>
        </is>
      </c>
      <c r="C222" t="inlineStr">
        <is>
          <t>FT n. 1786 del  3/07/2026</t>
        </is>
      </c>
      <c r="D222" t="inlineStr">
        <is>
          <t>2026-09</t>
        </is>
      </c>
      <c r="E222" t="n">
        <v>539.36</v>
      </c>
    </row>
    <row r="223">
      <c r="A223" t="inlineStr">
        <is>
          <t>I.C.P. INGROSSO CHIMICA PEPE</t>
        </is>
      </c>
      <c r="B223" t="inlineStr">
        <is>
          <t>DA MAPPARE</t>
        </is>
      </c>
      <c r="C223" t="inlineStr">
        <is>
          <t>FT n. 1849 del  9/07/2026</t>
        </is>
      </c>
      <c r="D223" t="inlineStr">
        <is>
          <t>2026-09</t>
        </is>
      </c>
      <c r="E223" t="n">
        <v>274.93</v>
      </c>
    </row>
    <row r="224">
      <c r="A224" t="inlineStr">
        <is>
          <t>I.C.P. INGROSSO CHIMICA PEPE</t>
        </is>
      </c>
      <c r="B224" t="inlineStr">
        <is>
          <t>DA MAPPARE</t>
        </is>
      </c>
      <c r="C224" t="inlineStr">
        <is>
          <t>FT n. 1988 del 24/07/2026</t>
        </is>
      </c>
      <c r="D224" t="inlineStr">
        <is>
          <t>2026-09</t>
        </is>
      </c>
      <c r="E224" t="n">
        <v>176.9</v>
      </c>
    </row>
    <row r="225">
      <c r="A225" t="inlineStr">
        <is>
          <t>"INGROSSO FRUTTA" DI AVAGLIANO</t>
        </is>
      </c>
      <c r="B225" t="inlineStr">
        <is>
          <t>DA MAPPARE</t>
        </is>
      </c>
      <c r="C225" t="inlineStr">
        <is>
          <t>FT n. 2026-8907 del  4/08/2026</t>
        </is>
      </c>
      <c r="D225" t="inlineStr">
        <is>
          <t>2026-09</t>
        </is>
      </c>
      <c r="E225" t="n">
        <v>146.8</v>
      </c>
    </row>
    <row r="226">
      <c r="A226" t="inlineStr">
        <is>
          <t>HOTELSERVICE S.R.L.</t>
        </is>
      </c>
      <c r="B226" t="inlineStr">
        <is>
          <t>USCITE_MATERIE_PRIME</t>
        </is>
      </c>
      <c r="C226" t="inlineStr">
        <is>
          <t>FT n. 4200 del 31/07/2026</t>
        </is>
      </c>
      <c r="D226" t="inlineStr">
        <is>
          <t>2026-09</t>
        </is>
      </c>
      <c r="E226" t="n">
        <v>15259.96</v>
      </c>
    </row>
    <row r="227">
      <c r="A227" t="inlineStr">
        <is>
          <t>AMALFI SEI ESSE S.R.L.</t>
        </is>
      </c>
      <c r="B227" t="inlineStr">
        <is>
          <t>USCITE_MATERIE_PRIME</t>
        </is>
      </c>
      <c r="C227" t="inlineStr">
        <is>
          <t>FT n. 101/B01 del 30/06/2026</t>
        </is>
      </c>
      <c r="D227" t="inlineStr">
        <is>
          <t>2026-09</t>
        </is>
      </c>
      <c r="E227" t="n">
        <v>9528.629999999999</v>
      </c>
    </row>
    <row r="228">
      <c r="A228" t="inlineStr">
        <is>
          <t>VICART S.R.L.</t>
        </is>
      </c>
      <c r="B228" t="inlineStr">
        <is>
          <t>USCITE_MATERIE_PRIME</t>
        </is>
      </c>
      <c r="C228" t="inlineStr">
        <is>
          <t>FT n. 1465/FDV del 30/06/2026</t>
        </is>
      </c>
      <c r="D228" t="inlineStr">
        <is>
          <t>2026-09</t>
        </is>
      </c>
      <c r="E228" t="n">
        <v>3681.86</v>
      </c>
    </row>
    <row r="229">
      <c r="A229" t="inlineStr">
        <is>
          <t>ALFERA S.R.L.</t>
        </is>
      </c>
      <c r="B229" t="inlineStr">
        <is>
          <t>USCITE_MATERIE_PRIME</t>
        </is>
      </c>
      <c r="C229" t="inlineStr">
        <is>
          <t>FT n. 1/816 del 14/07/2026</t>
        </is>
      </c>
      <c r="D229" t="inlineStr">
        <is>
          <t>2026-09</t>
        </is>
      </c>
      <c r="E229" t="n">
        <v>2976.01</v>
      </c>
    </row>
    <row r="230">
      <c r="A230" t="inlineStr">
        <is>
          <t>HOTELSERVICE S.R.L.</t>
        </is>
      </c>
      <c r="B230" t="inlineStr">
        <is>
          <t>USCITE_MATERIE_PRIME</t>
        </is>
      </c>
      <c r="C230" t="inlineStr">
        <is>
          <t>FT n. 4201 del 31/07/2026</t>
        </is>
      </c>
      <c r="D230" t="inlineStr">
        <is>
          <t>2026-09</t>
        </is>
      </c>
      <c r="E230" t="n">
        <v>1879.81</v>
      </c>
    </row>
    <row r="231">
      <c r="A231" t="inlineStr">
        <is>
          <t>LE CROISSANT SRL</t>
        </is>
      </c>
      <c r="B231" t="inlineStr">
        <is>
          <t>USCITE_MATERIE_PRIME</t>
        </is>
      </c>
      <c r="C231" t="inlineStr">
        <is>
          <t>FT n. 001841-0C0 del  7/07/2026</t>
        </is>
      </c>
      <c r="D231" t="inlineStr">
        <is>
          <t>2026-09</t>
        </is>
      </c>
      <c r="E231" t="n">
        <v>1812.23</v>
      </c>
    </row>
    <row r="232">
      <c r="A232" t="inlineStr">
        <is>
          <t>LE CROISSANT SRL</t>
        </is>
      </c>
      <c r="B232" t="inlineStr">
        <is>
          <t>USCITE_MATERIE_PRIME</t>
        </is>
      </c>
      <c r="C232" t="inlineStr">
        <is>
          <t>FT n. 001924-0C0 del 14/07/2026</t>
        </is>
      </c>
      <c r="D232" t="inlineStr">
        <is>
          <t>2026-09</t>
        </is>
      </c>
      <c r="E232" t="n">
        <v>1732.72</v>
      </c>
    </row>
    <row r="233">
      <c r="A233" t="inlineStr">
        <is>
          <t>LE CROISSANT SRL</t>
        </is>
      </c>
      <c r="B233" t="inlineStr">
        <is>
          <t>USCITE_MATERIE_PRIME</t>
        </is>
      </c>
      <c r="C233" t="inlineStr">
        <is>
          <t>FT n. 002011-0C0 del 21/07/2026</t>
        </is>
      </c>
      <c r="D233" t="inlineStr">
        <is>
          <t>2026-09</t>
        </is>
      </c>
      <c r="E233" t="n">
        <v>1558.02</v>
      </c>
    </row>
    <row r="234">
      <c r="A234" t="inlineStr">
        <is>
          <t>HOTELSERVICE S.R.L.</t>
        </is>
      </c>
      <c r="B234" t="inlineStr">
        <is>
          <t>USCITE_MATERIE_PRIME</t>
        </is>
      </c>
      <c r="C234" t="inlineStr">
        <is>
          <t>FT n. 4202 del 31/07/2026</t>
        </is>
      </c>
      <c r="D234" t="inlineStr">
        <is>
          <t>2026-09</t>
        </is>
      </c>
      <c r="E234" t="n">
        <v>1255.86</v>
      </c>
    </row>
    <row r="235">
      <c r="A235" t="inlineStr">
        <is>
          <t>FABBROCINO MICHELE S.R.L.</t>
        </is>
      </c>
      <c r="B235" t="inlineStr">
        <is>
          <t>USCITE_MATERIE_PRIME</t>
        </is>
      </c>
      <c r="C235" t="inlineStr">
        <is>
          <t>FT n. 5/11980 del 26/06/2026</t>
        </is>
      </c>
      <c r="D235" t="inlineStr">
        <is>
          <t>2026-09</t>
        </is>
      </c>
      <c r="E235" t="n">
        <v>1130.88</v>
      </c>
    </row>
    <row r="236">
      <c r="A236" t="inlineStr">
        <is>
          <t>LE CROISSANT SRL</t>
        </is>
      </c>
      <c r="B236" t="inlineStr">
        <is>
          <t>USCITE_MATERIE_PRIME</t>
        </is>
      </c>
      <c r="C236" t="inlineStr">
        <is>
          <t>FT n. 002090-0C0 del 28/07/2026</t>
        </is>
      </c>
      <c r="D236" t="inlineStr">
        <is>
          <t>2026-09</t>
        </is>
      </c>
      <c r="E236" t="n">
        <v>1120.02</v>
      </c>
    </row>
    <row r="237">
      <c r="A237" t="inlineStr">
        <is>
          <t>FABBROCINO MICHELE S.R.L.</t>
        </is>
      </c>
      <c r="B237" t="inlineStr">
        <is>
          <t>USCITE_MATERIE_PRIME</t>
        </is>
      </c>
      <c r="C237" t="inlineStr">
        <is>
          <t>FT n. 5/14701 del 24/07/2026</t>
        </is>
      </c>
      <c r="D237" t="inlineStr">
        <is>
          <t>2026-09</t>
        </is>
      </c>
      <c r="E237" t="n">
        <v>1018.86</v>
      </c>
    </row>
    <row r="238">
      <c r="A238" t="inlineStr">
        <is>
          <t>FABBROCINO MICHELE S.R.L.</t>
        </is>
      </c>
      <c r="B238" t="inlineStr">
        <is>
          <t>USCITE_MATERIE_PRIME</t>
        </is>
      </c>
      <c r="C238" t="inlineStr">
        <is>
          <t>FT n. 5/12688 del  3/07/2026</t>
        </is>
      </c>
      <c r="D238" t="inlineStr">
        <is>
          <t>2026-09</t>
        </is>
      </c>
      <c r="E238" t="n">
        <v>993.61</v>
      </c>
    </row>
    <row r="239">
      <c r="A239" t="inlineStr">
        <is>
          <t>BELLAGAIA S.R.L.</t>
        </is>
      </c>
      <c r="B239" t="inlineStr">
        <is>
          <t>USCITE_MATERIE_PRIME</t>
        </is>
      </c>
      <c r="C239" t="inlineStr">
        <is>
          <t>FT n. 1/3036 del  4/08/2026</t>
        </is>
      </c>
      <c r="D239" t="inlineStr">
        <is>
          <t>2026-09</t>
        </is>
      </c>
      <c r="E239" t="n">
        <v>958.3200000000001</v>
      </c>
    </row>
    <row r="240">
      <c r="A240" t="inlineStr">
        <is>
          <t>FABBROCINO MICHELE S.R.L.</t>
        </is>
      </c>
      <c r="B240" t="inlineStr">
        <is>
          <t>USCITE_MATERIE_PRIME</t>
        </is>
      </c>
      <c r="C240" t="inlineStr">
        <is>
          <t>FT n. 12/1364 del  8/07/2026</t>
        </is>
      </c>
      <c r="D240" t="inlineStr">
        <is>
          <t>2026-09</t>
        </is>
      </c>
      <c r="E240" t="n">
        <v>939.84</v>
      </c>
    </row>
    <row r="241">
      <c r="A241" t="inlineStr">
        <is>
          <t>FABBROCINO MICHELE S.R.L.</t>
        </is>
      </c>
      <c r="B241" t="inlineStr">
        <is>
          <t>USCITE_MATERIE_PRIME</t>
        </is>
      </c>
      <c r="C241" t="inlineStr">
        <is>
          <t>FT n. 5/15433 del 31/07/2026</t>
        </is>
      </c>
      <c r="D241" t="inlineStr">
        <is>
          <t>2026-09</t>
        </is>
      </c>
      <c r="E241" t="n">
        <v>938.08</v>
      </c>
    </row>
    <row r="242">
      <c r="A242" t="inlineStr">
        <is>
          <t>BELLAGAIA S.R.L.</t>
        </is>
      </c>
      <c r="B242" t="inlineStr">
        <is>
          <t>USCITE_MATERIE_PRIME</t>
        </is>
      </c>
      <c r="C242" t="inlineStr">
        <is>
          <t>FT n. 1/3103 del  6/08/2026</t>
        </is>
      </c>
      <c r="D242" t="inlineStr">
        <is>
          <t>2026-09</t>
        </is>
      </c>
      <c r="E242" t="n">
        <v>888.0700000000001</v>
      </c>
    </row>
    <row r="243">
      <c r="A243" t="inlineStr">
        <is>
          <t>FABBROCINO MICHELE S.R.L.</t>
        </is>
      </c>
      <c r="B243" t="inlineStr">
        <is>
          <t>USCITE_MATERIE_PRIME</t>
        </is>
      </c>
      <c r="C243" t="inlineStr">
        <is>
          <t>FT n. 5/13316 del 10/07/2026</t>
        </is>
      </c>
      <c r="D243" t="inlineStr">
        <is>
          <t>2026-09</t>
        </is>
      </c>
      <c r="E243" t="n">
        <v>852.34</v>
      </c>
    </row>
    <row r="244">
      <c r="A244" t="inlineStr">
        <is>
          <t>FABBROCINO MICHELE S.R.L.</t>
        </is>
      </c>
      <c r="B244" t="inlineStr">
        <is>
          <t>USCITE_MATERIE_PRIME</t>
        </is>
      </c>
      <c r="C244" t="inlineStr">
        <is>
          <t>FT n. 5/13997 del 17/07/2026</t>
        </is>
      </c>
      <c r="D244" t="inlineStr">
        <is>
          <t>2026-09</t>
        </is>
      </c>
      <c r="E244" t="n">
        <v>842.35</v>
      </c>
    </row>
    <row r="245">
      <c r="A245" t="inlineStr">
        <is>
          <t>MARR SPA</t>
        </is>
      </c>
      <c r="B245" t="inlineStr">
        <is>
          <t>USCITE_MATERIE_PRIME</t>
        </is>
      </c>
      <c r="C245" t="inlineStr">
        <is>
          <t>FT n. D/083779 del  3/08/2026</t>
        </is>
      </c>
      <c r="D245" t="inlineStr">
        <is>
          <t>2026-09</t>
        </is>
      </c>
      <c r="E245" t="n">
        <v>822.0700000000001</v>
      </c>
    </row>
    <row r="246">
      <c r="A246" t="inlineStr">
        <is>
          <t>FABBROCINO MICHELE S.R.L.</t>
        </is>
      </c>
      <c r="B246" t="inlineStr">
        <is>
          <t>USCITE_MATERIE_PRIME</t>
        </is>
      </c>
      <c r="C246" t="inlineStr">
        <is>
          <t>FT n. 5/12940 del  7/07/2026</t>
        </is>
      </c>
      <c r="D246" t="inlineStr">
        <is>
          <t>2026-09</t>
        </is>
      </c>
      <c r="E246" t="n">
        <v>744.75</v>
      </c>
    </row>
    <row r="247">
      <c r="A247" t="inlineStr">
        <is>
          <t>BELLAGAIA S.R.L.</t>
        </is>
      </c>
      <c r="B247" t="inlineStr">
        <is>
          <t>USCITE_MATERIE_PRIME</t>
        </is>
      </c>
      <c r="C247" t="inlineStr">
        <is>
          <t>FT n. 1/3005 del  1/08/2026</t>
        </is>
      </c>
      <c r="D247" t="inlineStr">
        <is>
          <t>2026-09</t>
        </is>
      </c>
      <c r="E247" t="n">
        <v>708.35</v>
      </c>
    </row>
    <row r="248">
      <c r="A248" t="inlineStr">
        <is>
          <t>BELLAGAIA S.R.L.</t>
        </is>
      </c>
      <c r="B248" t="inlineStr">
        <is>
          <t>USCITE_MATERIE_PRIME</t>
        </is>
      </c>
      <c r="C248" t="inlineStr">
        <is>
          <t>FT n. 1/3074 del  5/08/2026</t>
        </is>
      </c>
      <c r="D248" t="inlineStr">
        <is>
          <t>2026-09</t>
        </is>
      </c>
      <c r="E248" t="n">
        <v>662.35</v>
      </c>
    </row>
    <row r="249">
      <c r="A249" t="inlineStr">
        <is>
          <t>FABBROCINO MICHELE S.R.L.</t>
        </is>
      </c>
      <c r="B249" t="inlineStr">
        <is>
          <t>USCITE_MATERIE_PRIME</t>
        </is>
      </c>
      <c r="C249" t="inlineStr">
        <is>
          <t>FT n. 5/13680 del 14/07/2026</t>
        </is>
      </c>
      <c r="D249" t="inlineStr">
        <is>
          <t>2026-09</t>
        </is>
      </c>
      <c r="E249" t="n">
        <v>647.08</v>
      </c>
    </row>
    <row r="250">
      <c r="A250" t="inlineStr">
        <is>
          <t>FABBROCINO MICHELE S.R.L.</t>
        </is>
      </c>
      <c r="B250" t="inlineStr">
        <is>
          <t>USCITE_MATERIE_PRIME</t>
        </is>
      </c>
      <c r="C250" t="inlineStr">
        <is>
          <t>FT n. 5/14335 del 21/07/2026</t>
        </is>
      </c>
      <c r="D250" t="inlineStr">
        <is>
          <t>2026-09</t>
        </is>
      </c>
      <c r="E250" t="n">
        <v>576.48</v>
      </c>
    </row>
    <row r="251">
      <c r="A251" t="inlineStr">
        <is>
          <t>MARR SPA</t>
        </is>
      </c>
      <c r="B251" t="inlineStr">
        <is>
          <t>USCITE_MATERIE_PRIME</t>
        </is>
      </c>
      <c r="C251" t="inlineStr">
        <is>
          <t>FT n. D/086981 del 11/08/2026</t>
        </is>
      </c>
      <c r="D251" t="inlineStr">
        <is>
          <t>2026-09</t>
        </is>
      </c>
      <c r="E251" t="n">
        <v>553.77</v>
      </c>
    </row>
    <row r="252">
      <c r="A252" t="inlineStr">
        <is>
          <t>FABBROCINO MICHELE S.R.L.</t>
        </is>
      </c>
      <c r="B252" t="inlineStr">
        <is>
          <t>USCITE_MATERIE_PRIME</t>
        </is>
      </c>
      <c r="C252" t="inlineStr">
        <is>
          <t>FT n. 12/1633 del 24/07/2026</t>
        </is>
      </c>
      <c r="D252" t="inlineStr">
        <is>
          <t>2026-09</t>
        </is>
      </c>
      <c r="E252" t="n">
        <v>465.61</v>
      </c>
    </row>
    <row r="253">
      <c r="A253" t="inlineStr">
        <is>
          <t>MARR SPA</t>
        </is>
      </c>
      <c r="B253" t="inlineStr">
        <is>
          <t>USCITE_MATERIE_PRIME</t>
        </is>
      </c>
      <c r="C253" t="inlineStr">
        <is>
          <t>FT n. D/086334 del 10/08/2026</t>
        </is>
      </c>
      <c r="D253" t="inlineStr">
        <is>
          <t>2026-09</t>
        </is>
      </c>
      <c r="E253" t="n">
        <v>433.84</v>
      </c>
    </row>
    <row r="254">
      <c r="A254" t="inlineStr">
        <is>
          <t>LE CROISSANT SRL</t>
        </is>
      </c>
      <c r="B254" t="inlineStr">
        <is>
          <t>USCITE_MATERIE_PRIME</t>
        </is>
      </c>
      <c r="C254" t="inlineStr">
        <is>
          <t>FT n. 001918-0C0 del 10/07/2026</t>
        </is>
      </c>
      <c r="D254" t="inlineStr">
        <is>
          <t>2026-09</t>
        </is>
      </c>
      <c r="E254" t="n">
        <v>387.71</v>
      </c>
    </row>
    <row r="255">
      <c r="A255" t="inlineStr">
        <is>
          <t>MARR SPA</t>
        </is>
      </c>
      <c r="B255" t="inlineStr">
        <is>
          <t>USCITE_MATERIE_PRIME</t>
        </is>
      </c>
      <c r="C255" t="inlineStr">
        <is>
          <t>FT n. D/085388 del  6/08/2026</t>
        </is>
      </c>
      <c r="D255" t="inlineStr">
        <is>
          <t>2026-09</t>
        </is>
      </c>
      <c r="E255" t="n">
        <v>338.67</v>
      </c>
    </row>
    <row r="256">
      <c r="A256" t="inlineStr">
        <is>
          <t>FABBROCINO MICHELE S.R.L.</t>
        </is>
      </c>
      <c r="B256" t="inlineStr">
        <is>
          <t>USCITE_MATERIE_PRIME</t>
        </is>
      </c>
      <c r="C256" t="inlineStr">
        <is>
          <t>FT n. 5/15035 del 28/07/2026</t>
        </is>
      </c>
      <c r="D256" t="inlineStr">
        <is>
          <t>2026-09</t>
        </is>
      </c>
      <c r="E256" t="n">
        <v>266.31</v>
      </c>
    </row>
    <row r="257">
      <c r="A257" t="inlineStr">
        <is>
          <t>CASA VINICOLA ETTORE SAMMARCO</t>
        </is>
      </c>
      <c r="B257" t="inlineStr">
        <is>
          <t>USCITE_MATERIE_PRIME</t>
        </is>
      </c>
      <c r="C257" t="inlineStr">
        <is>
          <t>FT n. 1312 del  2/07/2026</t>
        </is>
      </c>
      <c r="D257" t="inlineStr">
        <is>
          <t>2026-09</t>
        </is>
      </c>
      <c r="E257" t="n">
        <v>256.2</v>
      </c>
    </row>
    <row r="258">
      <c r="A258" t="inlineStr">
        <is>
          <t>FEIO S.R.L.</t>
        </is>
      </c>
      <c r="B258" t="inlineStr">
        <is>
          <t>USCITE_MATERIE_PRIME</t>
        </is>
      </c>
      <c r="C258" t="inlineStr">
        <is>
          <t>FT n. 3994 del  5/08/2026</t>
        </is>
      </c>
      <c r="D258" t="inlineStr">
        <is>
          <t>2026-09</t>
        </is>
      </c>
      <c r="E258" t="n">
        <v>253.27</v>
      </c>
    </row>
    <row r="259">
      <c r="A259" t="inlineStr">
        <is>
          <t>CASA VINICOLA ETTORE SAMMARCO</t>
        </is>
      </c>
      <c r="B259" t="inlineStr">
        <is>
          <t>USCITE_MATERIE_PRIME</t>
        </is>
      </c>
      <c r="C259" t="inlineStr">
        <is>
          <t>FT n. 1523 del 24/07/2026</t>
        </is>
      </c>
      <c r="D259" t="inlineStr">
        <is>
          <t>2026-09</t>
        </is>
      </c>
      <c r="E259" t="n">
        <v>248.51</v>
      </c>
    </row>
    <row r="260">
      <c r="A260" t="inlineStr">
        <is>
          <t>FABBROCINO MICHELE S.R.L.</t>
        </is>
      </c>
      <c r="B260" t="inlineStr">
        <is>
          <t>USCITE_MATERIE_PRIME</t>
        </is>
      </c>
      <c r="C260" t="inlineStr">
        <is>
          <t>FT n. 5/15036 del 28/07/2026</t>
        </is>
      </c>
      <c r="D260" t="inlineStr">
        <is>
          <t>2026-09</t>
        </is>
      </c>
      <c r="E260" t="n">
        <v>239.8</v>
      </c>
    </row>
    <row r="261">
      <c r="A261" t="inlineStr">
        <is>
          <t>ADRA S.R.L.</t>
        </is>
      </c>
      <c r="B261" t="inlineStr">
        <is>
          <t>USCITE_MATERIE_PRIME</t>
        </is>
      </c>
      <c r="C261" t="inlineStr">
        <is>
          <t>FT n. 76252/00 del 23/07/2026</t>
        </is>
      </c>
      <c r="D261" t="inlineStr">
        <is>
          <t>2026-09</t>
        </is>
      </c>
      <c r="E261" t="n">
        <v>220.92</v>
      </c>
    </row>
    <row r="262">
      <c r="A262" t="inlineStr">
        <is>
          <t>MARR SPA</t>
        </is>
      </c>
      <c r="B262" t="inlineStr">
        <is>
          <t>USCITE_MATERIE_PRIME</t>
        </is>
      </c>
      <c r="C262" t="inlineStr">
        <is>
          <t>FT n. D/087489 del 11/08/2026</t>
        </is>
      </c>
      <c r="D262" t="inlineStr">
        <is>
          <t>2026-09</t>
        </is>
      </c>
      <c r="E262" t="n">
        <v>215.07</v>
      </c>
    </row>
    <row r="263">
      <c r="A263" t="inlineStr">
        <is>
          <t>FABBROCINO MICHELE S.R.L.</t>
        </is>
      </c>
      <c r="B263" t="inlineStr">
        <is>
          <t>USCITE_MATERIE_PRIME</t>
        </is>
      </c>
      <c r="C263" t="inlineStr">
        <is>
          <t>FT n. 12/1532 del 17/07/2026</t>
        </is>
      </c>
      <c r="D263" t="inlineStr">
        <is>
          <t>2026-09</t>
        </is>
      </c>
      <c r="E263" t="n">
        <v>202.68</v>
      </c>
    </row>
    <row r="264">
      <c r="A264" t="inlineStr">
        <is>
          <t>CICA SRL</t>
        </is>
      </c>
      <c r="B264" t="inlineStr">
        <is>
          <t>USCITE_MATERIE_PRIME</t>
        </is>
      </c>
      <c r="C264" t="inlineStr">
        <is>
          <t>FT n. A4462 del 15/07/2026</t>
        </is>
      </c>
      <c r="D264" t="inlineStr">
        <is>
          <t>2026-09</t>
        </is>
      </c>
      <c r="E264" t="n">
        <v>197.56</v>
      </c>
    </row>
    <row r="265">
      <c r="A265" t="inlineStr">
        <is>
          <t>ADRA S.R.L.</t>
        </is>
      </c>
      <c r="B265" t="inlineStr">
        <is>
          <t>USCITE_MATERIE_PRIME</t>
        </is>
      </c>
      <c r="C265" t="inlineStr">
        <is>
          <t>FT n. 78390/00 del 28/07/2026</t>
        </is>
      </c>
      <c r="D265" t="inlineStr">
        <is>
          <t>2026-09</t>
        </is>
      </c>
      <c r="E265" t="n">
        <v>194.14</v>
      </c>
    </row>
    <row r="266">
      <c r="A266" t="inlineStr">
        <is>
          <t>FABBROCINO MICHELE S.R.L.</t>
        </is>
      </c>
      <c r="B266" t="inlineStr">
        <is>
          <t>USCITE_MATERIE_PRIME</t>
        </is>
      </c>
      <c r="C266" t="inlineStr">
        <is>
          <t>FT n. 12/1448 del 13/07/2026</t>
        </is>
      </c>
      <c r="D266" t="inlineStr">
        <is>
          <t>2026-09</t>
        </is>
      </c>
      <c r="E266" t="n">
        <v>185.91</v>
      </c>
    </row>
    <row r="267">
      <c r="A267" t="inlineStr">
        <is>
          <t>FABBROCINO MICHELE S.R.L.</t>
        </is>
      </c>
      <c r="B267" t="inlineStr">
        <is>
          <t>USCITE_MATERIE_PRIME</t>
        </is>
      </c>
      <c r="C267" t="inlineStr">
        <is>
          <t>FT n. 12/1242 del 29/06/2026</t>
        </is>
      </c>
      <c r="D267" t="inlineStr">
        <is>
          <t>2026-09</t>
        </is>
      </c>
      <c r="E267" t="n">
        <v>169.02</v>
      </c>
    </row>
    <row r="268">
      <c r="A268" t="inlineStr">
        <is>
          <t>GENERAL BEVERAGE S.R.L.</t>
        </is>
      </c>
      <c r="B268" t="inlineStr">
        <is>
          <t>USCITE_MATERIE_PRIME</t>
        </is>
      </c>
      <c r="C268" t="inlineStr">
        <is>
          <t>FT n. 18011 del 31/07/2026</t>
        </is>
      </c>
      <c r="D268" t="inlineStr">
        <is>
          <t>2026-09</t>
        </is>
      </c>
      <c r="E268" t="n">
        <v>161.37</v>
      </c>
    </row>
    <row r="269">
      <c r="A269" t="inlineStr">
        <is>
          <t>ADRA S.R.L.</t>
        </is>
      </c>
      <c r="B269" t="inlineStr">
        <is>
          <t>USCITE_MATERIE_PRIME</t>
        </is>
      </c>
      <c r="C269" t="inlineStr">
        <is>
          <t>FT n. 76012/00 del 23/07/2026</t>
        </is>
      </c>
      <c r="D269" t="inlineStr">
        <is>
          <t>2026-09</t>
        </is>
      </c>
      <c r="E269" t="n">
        <v>160.38</v>
      </c>
    </row>
    <row r="270">
      <c r="A270" t="inlineStr">
        <is>
          <t>CASA VINICOLA ETTORE SAMMARCO</t>
        </is>
      </c>
      <c r="B270" t="inlineStr">
        <is>
          <t>USCITE_MATERIE_PRIME</t>
        </is>
      </c>
      <c r="C270" t="inlineStr">
        <is>
          <t>FT n. 1342 del  6/07/2026</t>
        </is>
      </c>
      <c r="D270" t="inlineStr">
        <is>
          <t>2026-09</t>
        </is>
      </c>
      <c r="E270" t="n">
        <v>146.03</v>
      </c>
    </row>
    <row r="271">
      <c r="A271" t="inlineStr">
        <is>
          <t>CASA VINICOLA ETTORE SAMMARCO</t>
        </is>
      </c>
      <c r="B271" t="inlineStr">
        <is>
          <t>USCITE_MATERIE_PRIME</t>
        </is>
      </c>
      <c r="C271" t="inlineStr">
        <is>
          <t>FT n. 1412 del 14/07/2026</t>
        </is>
      </c>
      <c r="D271" t="inlineStr">
        <is>
          <t>2026-09</t>
        </is>
      </c>
      <c r="E271" t="n">
        <v>146.03</v>
      </c>
    </row>
    <row r="272">
      <c r="A272" t="inlineStr">
        <is>
          <t>CASA VINICOLA ETTORE SAMMARCO</t>
        </is>
      </c>
      <c r="B272" t="inlineStr">
        <is>
          <t>USCITE_MATERIE_PRIME</t>
        </is>
      </c>
      <c r="C272" t="inlineStr">
        <is>
          <t>FT n. 1422 del 15/07/2026</t>
        </is>
      </c>
      <c r="D272" t="inlineStr">
        <is>
          <t>2026-09</t>
        </is>
      </c>
      <c r="E272" t="n">
        <v>140.54</v>
      </c>
    </row>
    <row r="273">
      <c r="A273" t="inlineStr">
        <is>
          <t>TUR.COM. S.R.L.</t>
        </is>
      </c>
      <c r="B273" t="inlineStr">
        <is>
          <t>USCITE_MATERIE_PRIME</t>
        </is>
      </c>
      <c r="C273" t="inlineStr">
        <is>
          <t>FT n. 289 del  5/08/2026</t>
        </is>
      </c>
      <c r="D273" t="inlineStr">
        <is>
          <t>2026-09</t>
        </is>
      </c>
      <c r="E273" t="n">
        <v>139.83</v>
      </c>
    </row>
    <row r="274">
      <c r="A274" t="inlineStr">
        <is>
          <t>ADRA S.R.L.</t>
        </is>
      </c>
      <c r="B274" t="inlineStr">
        <is>
          <t>USCITE_MATERIE_PRIME</t>
        </is>
      </c>
      <c r="C274" t="inlineStr">
        <is>
          <t>FT n. 71189/00 del 14/07/2026</t>
        </is>
      </c>
      <c r="D274" t="inlineStr">
        <is>
          <t>2026-09</t>
        </is>
      </c>
      <c r="E274" t="n">
        <v>134.39</v>
      </c>
    </row>
    <row r="275">
      <c r="A275" t="inlineStr">
        <is>
          <t>ADRA S.R.L.</t>
        </is>
      </c>
      <c r="B275" t="inlineStr">
        <is>
          <t>USCITE_MATERIE_PRIME</t>
        </is>
      </c>
      <c r="C275" t="inlineStr">
        <is>
          <t>FT n. 72927/00 del 16/07/2026</t>
        </is>
      </c>
      <c r="D275" t="inlineStr">
        <is>
          <t>2026-09</t>
        </is>
      </c>
      <c r="E275" t="n">
        <v>130.54</v>
      </c>
    </row>
    <row r="276">
      <c r="A276" t="inlineStr">
        <is>
          <t>FABBROCINO MICHELE S.R.L.</t>
        </is>
      </c>
      <c r="B276" t="inlineStr">
        <is>
          <t>USCITE_MATERIE_PRIME</t>
        </is>
      </c>
      <c r="C276" t="inlineStr">
        <is>
          <t>FT n. 12/1668 del 27/07/2026</t>
        </is>
      </c>
      <c r="D276" t="inlineStr">
        <is>
          <t>2026-09</t>
        </is>
      </c>
      <c r="E276" t="n">
        <v>116.79</v>
      </c>
    </row>
    <row r="277">
      <c r="A277" t="inlineStr">
        <is>
          <t>ADRA S.R.L.</t>
        </is>
      </c>
      <c r="B277" t="inlineStr">
        <is>
          <t>USCITE_MATERIE_PRIME</t>
        </is>
      </c>
      <c r="C277" t="inlineStr">
        <is>
          <t>FT n. 68036/00 del  7/07/2026</t>
        </is>
      </c>
      <c r="D277" t="inlineStr">
        <is>
          <t>2026-09</t>
        </is>
      </c>
      <c r="E277" t="n">
        <v>116.6</v>
      </c>
    </row>
    <row r="278">
      <c r="A278" t="inlineStr">
        <is>
          <t>LE CROISSANT SRL</t>
        </is>
      </c>
      <c r="B278" t="inlineStr">
        <is>
          <t>USCITE_MATERIE_PRIME</t>
        </is>
      </c>
      <c r="C278" t="inlineStr">
        <is>
          <t>FT n. 002007-0C0 del 17/07/2026</t>
        </is>
      </c>
      <c r="D278" t="inlineStr">
        <is>
          <t>2026-09</t>
        </is>
      </c>
      <c r="E278" t="n">
        <v>37.84</v>
      </c>
    </row>
    <row r="279">
      <c r="A279" t="inlineStr">
        <is>
          <t>ADRA S.R.L.</t>
        </is>
      </c>
      <c r="B279" t="inlineStr">
        <is>
          <t>USCITE_MATERIE_PRIME</t>
        </is>
      </c>
      <c r="C279" t="inlineStr">
        <is>
          <t>FT n. 71569/00 del 14/07/2026</t>
        </is>
      </c>
      <c r="D279" t="inlineStr">
        <is>
          <t>2026-09</t>
        </is>
      </c>
      <c r="E279" t="n">
        <v>33.74</v>
      </c>
    </row>
    <row r="280">
      <c r="A280" t="inlineStr">
        <is>
          <t>CICA SRL</t>
        </is>
      </c>
      <c r="B280" t="inlineStr">
        <is>
          <t>USCITE_MATERIE_PRIME</t>
        </is>
      </c>
      <c r="C280" t="inlineStr">
        <is>
          <t>FT n. A4997 del 31/07/2026</t>
        </is>
      </c>
      <c r="D280" t="inlineStr">
        <is>
          <t>2026-09</t>
        </is>
      </c>
      <c r="E280" t="n">
        <v>23.76</v>
      </c>
    </row>
    <row r="281">
      <c r="A281" t="inlineStr">
        <is>
          <t>FABBROCINO MICHELE S.R.L.</t>
        </is>
      </c>
      <c r="B281" t="inlineStr">
        <is>
          <t>USCITE_MATERIE_PRIME</t>
        </is>
      </c>
      <c r="C281" t="inlineStr">
        <is>
          <t>FT n. 5/13554 del 13/07/2026</t>
        </is>
      </c>
      <c r="D281" t="inlineStr">
        <is>
          <t>2026-09</t>
        </is>
      </c>
      <c r="E281" t="n">
        <v>14.84</v>
      </c>
    </row>
    <row r="282">
      <c r="A282" t="inlineStr">
        <is>
          <t>I.C.P. INGROSSO CHIMICA PEPE</t>
        </is>
      </c>
      <c r="B282" t="inlineStr">
        <is>
          <t>DA MAPPARE</t>
        </is>
      </c>
      <c r="C282" t="inlineStr">
        <is>
          <t>FT n. 2152 del  6/08/2026</t>
        </is>
      </c>
      <c r="D282" t="inlineStr">
        <is>
          <t>2026-10</t>
        </is>
      </c>
      <c r="E282" t="n">
        <v>1288.62</v>
      </c>
    </row>
    <row r="283">
      <c r="A283" t="inlineStr">
        <is>
          <t>AMALFI SEI ESSE S.R.L.</t>
        </is>
      </c>
      <c r="B283" t="inlineStr">
        <is>
          <t>USCITE_MATERIE_PRIME</t>
        </is>
      </c>
      <c r="C283" t="inlineStr">
        <is>
          <t>FT n. 136/B01 del 31/07/2026</t>
        </is>
      </c>
      <c r="D283" t="inlineStr">
        <is>
          <t>2026-10</t>
        </is>
      </c>
      <c r="E283" t="n">
        <v>11334.13</v>
      </c>
    </row>
    <row r="284">
      <c r="A284" t="inlineStr">
        <is>
          <t>VICART S.R.L.</t>
        </is>
      </c>
      <c r="B284" t="inlineStr">
        <is>
          <t>USCITE_MATERIE_PRIME</t>
        </is>
      </c>
      <c r="C284" t="inlineStr">
        <is>
          <t>FT n. 1671/FDV del 31/07/2026</t>
        </is>
      </c>
      <c r="D284" t="inlineStr">
        <is>
          <t>2026-10</t>
        </is>
      </c>
      <c r="E284" t="n">
        <v>6160.4</v>
      </c>
    </row>
    <row r="285">
      <c r="A285" t="inlineStr">
        <is>
          <t>LE CROISSANT SRL</t>
        </is>
      </c>
      <c r="B285" t="inlineStr">
        <is>
          <t>USCITE_MATERIE_PRIME</t>
        </is>
      </c>
      <c r="C285" t="inlineStr">
        <is>
          <t>FT n. 002197-0C0 del  4/08/2026</t>
        </is>
      </c>
      <c r="D285" t="inlineStr">
        <is>
          <t>2026-10</t>
        </is>
      </c>
      <c r="E285" t="n">
        <v>2169.25</v>
      </c>
    </row>
    <row r="286">
      <c r="A286" t="inlineStr">
        <is>
          <t>FABBROCINO MICHELE S.R.L.</t>
        </is>
      </c>
      <c r="B286" t="inlineStr">
        <is>
          <t>USCITE_MATERIE_PRIME</t>
        </is>
      </c>
      <c r="C286" t="inlineStr">
        <is>
          <t>FT n. 5/15778 del  4/08/2026</t>
        </is>
      </c>
      <c r="D286" t="inlineStr">
        <is>
          <t>2026-10</t>
        </is>
      </c>
      <c r="E286" t="n">
        <v>1270.06</v>
      </c>
    </row>
    <row r="287">
      <c r="A287" t="inlineStr">
        <is>
          <t>FABBROCINO MICHELE S.R.L.</t>
        </is>
      </c>
      <c r="B287" t="inlineStr">
        <is>
          <t>USCITE_MATERIE_PRIME</t>
        </is>
      </c>
      <c r="C287" t="inlineStr">
        <is>
          <t>FT n. 5/16231 del  7/08/2026</t>
        </is>
      </c>
      <c r="D287" t="inlineStr">
        <is>
          <t>2026-10</t>
        </is>
      </c>
      <c r="E287" t="n">
        <v>1057.77</v>
      </c>
    </row>
    <row r="288">
      <c r="A288" t="inlineStr">
        <is>
          <t>FABBROCINO MICHELE S.R.L.</t>
        </is>
      </c>
      <c r="B288" t="inlineStr">
        <is>
          <t>USCITE_MATERIE_PRIME</t>
        </is>
      </c>
      <c r="C288" t="inlineStr">
        <is>
          <t>FT n. 5/15694 del  3/08/2026</t>
        </is>
      </c>
      <c r="D288" t="inlineStr">
        <is>
          <t>2026-10</t>
        </is>
      </c>
      <c r="E288" t="n">
        <v>204.72</v>
      </c>
    </row>
    <row r="289">
      <c r="A289" t="inlineStr">
        <is>
          <t>FABBROCINO MICHELE S.R.L.</t>
        </is>
      </c>
      <c r="B289" t="inlineStr">
        <is>
          <t>USCITE_MATERIE_PRIME</t>
        </is>
      </c>
      <c r="C289" t="inlineStr">
        <is>
          <t>FT n. 12/1898 del 10/08/2026</t>
        </is>
      </c>
      <c r="D289" t="inlineStr">
        <is>
          <t>2026-10</t>
        </is>
      </c>
      <c r="E289" t="n">
        <v>194.05</v>
      </c>
    </row>
    <row r="290">
      <c r="A290" t="inlineStr">
        <is>
          <t>FABBROCINO MICHELE S.R.L.</t>
        </is>
      </c>
      <c r="B290" t="inlineStr">
        <is>
          <t>USCITE_MATERIE_PRIME</t>
        </is>
      </c>
      <c r="C290" t="inlineStr">
        <is>
          <t>FT n. 12/1874 del  7/08/2026</t>
        </is>
      </c>
      <c r="D290" t="inlineStr">
        <is>
          <t>2026-10</t>
        </is>
      </c>
      <c r="E290" t="n">
        <v>174.69</v>
      </c>
    </row>
    <row r="291">
      <c r="A291" t="inlineStr">
        <is>
          <t>GALLO GIOVANNI &amp; C. SNC</t>
        </is>
      </c>
      <c r="B291" t="inlineStr">
        <is>
          <t>USCITE_MATERIE_PRIME</t>
        </is>
      </c>
      <c r="C291" t="inlineStr">
        <is>
          <t>FT n. 725 del  5/08/2026</t>
        </is>
      </c>
      <c r="D291" t="inlineStr">
        <is>
          <t>2026-10</t>
        </is>
      </c>
      <c r="E291" t="n">
        <v>155.5</v>
      </c>
    </row>
    <row r="292">
      <c r="A292" t="inlineStr">
        <is>
          <t>CASA VINICOLA ETTORE SAMMARCO</t>
        </is>
      </c>
      <c r="B292" t="inlineStr">
        <is>
          <t>USCITE_MATERIE_PRIME</t>
        </is>
      </c>
      <c r="C292" t="inlineStr">
        <is>
          <t>FT n. 1600 del  1/08/2026</t>
        </is>
      </c>
      <c r="D292" t="inlineStr">
        <is>
          <t>2026-10</t>
        </is>
      </c>
      <c r="E292" t="n">
        <v>146.03</v>
      </c>
    </row>
    <row r="293">
      <c r="A293" t="inlineStr">
        <is>
          <t>FABBROCINO MICHELE S.R.L.</t>
        </is>
      </c>
      <c r="B293" t="inlineStr">
        <is>
          <t>USCITE_MATERIE_PRIME</t>
        </is>
      </c>
      <c r="C293" t="inlineStr">
        <is>
          <t>FT n. 12/1800 del  3/08/2026</t>
        </is>
      </c>
      <c r="D293" t="inlineStr">
        <is>
          <t>2026-10</t>
        </is>
      </c>
      <c r="E293" t="n">
        <v>137.09</v>
      </c>
    </row>
    <row r="294">
      <c r="A294" t="inlineStr">
        <is>
          <t>AMALFI SEI ESSE S.R.L.</t>
        </is>
      </c>
      <c r="B294" t="inlineStr">
        <is>
          <t>USCITE_MATERIE_PRIME</t>
        </is>
      </c>
      <c r="C294" t="inlineStr">
        <is>
          <t>FT n. 10192026 del  7/07/2026</t>
        </is>
      </c>
      <c r="D294" t="inlineStr">
        <is>
          <t>2026-10</t>
        </is>
      </c>
      <c r="E294" t="n">
        <v>118.83</v>
      </c>
    </row>
    <row r="295">
      <c r="A295" t="inlineStr">
        <is>
          <t>AMALFI SEI ESSE S.R.L.</t>
        </is>
      </c>
      <c r="B295" t="inlineStr">
        <is>
          <t>USCITE_MATERIE_PRIME</t>
        </is>
      </c>
      <c r="C295" t="inlineStr">
        <is>
          <t>FT n. 11632026 del 24/07/2026</t>
        </is>
      </c>
      <c r="D295" t="inlineStr">
        <is>
          <t>2026-10</t>
        </is>
      </c>
      <c r="E295" t="n">
        <v>101.74</v>
      </c>
    </row>
    <row r="296">
      <c r="A296" t="inlineStr">
        <is>
          <t>AMALFI SEI ESSE S.R.L.</t>
        </is>
      </c>
      <c r="B296" t="inlineStr">
        <is>
          <t>USCITE_MATERIE_PRIME</t>
        </is>
      </c>
      <c r="C296" t="inlineStr">
        <is>
          <t>FT n. 10062026 del  5/07/2026</t>
        </is>
      </c>
      <c r="D296" t="inlineStr">
        <is>
          <t>2026-10</t>
        </is>
      </c>
      <c r="E296" t="n">
        <v>61.25</v>
      </c>
    </row>
    <row r="297">
      <c r="A297" t="inlineStr">
        <is>
          <t>AMALFI SEI ESSE S.R.L.</t>
        </is>
      </c>
      <c r="B297" t="inlineStr">
        <is>
          <t>USCITE_MATERIE_PRIME</t>
        </is>
      </c>
      <c r="C297" t="inlineStr">
        <is>
          <t>FT n. 11252026 del 19/07/2026</t>
        </is>
      </c>
      <c r="D297" t="inlineStr">
        <is>
          <t>2026-10</t>
        </is>
      </c>
      <c r="E297" t="n">
        <v>22.96</v>
      </c>
    </row>
    <row r="298">
      <c r="A298" t="inlineStr">
        <is>
          <t>AMALFI SEI ESSE S.R.L.</t>
        </is>
      </c>
      <c r="B298" t="inlineStr">
        <is>
          <t>USCITE_MATERIE_PRIME</t>
        </is>
      </c>
      <c r="C298" t="inlineStr">
        <is>
          <t>FT n. 11972026 del 28/07/2026</t>
        </is>
      </c>
      <c r="D298" t="inlineStr">
        <is>
          <t>2026-10</t>
        </is>
      </c>
      <c r="E298" t="n">
        <v>15.76</v>
      </c>
    </row>
    <row r="299">
      <c r="A299" t="inlineStr">
        <is>
          <t>AMALFI SEI ESSE S.R.L.</t>
        </is>
      </c>
      <c r="B299" t="inlineStr">
        <is>
          <t>USCITE_MATERIE_PRIME</t>
        </is>
      </c>
      <c r="C299" t="inlineStr">
        <is>
          <t>FT n. 12952026 del  8/08/2026</t>
        </is>
      </c>
      <c r="D299" t="inlineStr">
        <is>
          <t>2026-11</t>
        </is>
      </c>
      <c r="E299" t="n">
        <v>54.12</v>
      </c>
    </row>
    <row r="300">
      <c r="A300" t="inlineStr">
        <is>
          <t>AMALFI SEI ESSE S.R.L.</t>
        </is>
      </c>
      <c r="B300" t="inlineStr">
        <is>
          <t>USCITE_MATERIE_PRIME</t>
        </is>
      </c>
      <c r="C300" t="inlineStr">
        <is>
          <t>FT n. 12262026 del  1/08/2026</t>
        </is>
      </c>
      <c r="D300" t="inlineStr">
        <is>
          <t>2026-11</t>
        </is>
      </c>
      <c r="E300" t="n">
        <v>35.65</v>
      </c>
    </row>
    <row r="301">
      <c r="D301" t="inlineStr">
        <is>
          <t>TOTALE</t>
        </is>
      </c>
      <c r="E301" t="n">
        <v>222686.46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2026-08-14T16:29:08Z</dcterms:modified>
  <cp:lastModifiedBy>stefano della Pietra</cp:lastModifiedBy>
</cp:coreProperties>
</file>