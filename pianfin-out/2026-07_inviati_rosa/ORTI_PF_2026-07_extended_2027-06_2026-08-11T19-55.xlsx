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7"/>
  <workbookPr/>
  <mc:AlternateContent xmlns:mc="http://schemas.openxmlformats.org/markup-compatibility/2006">
    <mc:Choice Requires="x15">
      <x15ac:absPath xmlns:x15ac="http://schemas.microsoft.com/office/spreadsheetml/2010/11/ac" url="/Users/stefanodellapietra/dev/Projects/hotelops/.claude/worktrees/pf-orizzonte-lungo/pianfin-out/"/>
    </mc:Choice>
  </mc:AlternateContent>
  <xr:revisionPtr revIDLastSave="0" documentId="13_ncr:1_{C6977565-AE5B-9E46-8D59-5ABA437ACEA5}" xr6:coauthVersionLast="47" xr6:coauthVersionMax="47" xr10:uidLastSave="{00000000-0000-0000-0000-000000000000}"/>
  <bookViews>
    <workbookView xWindow="0" yWindow="600" windowWidth="38400" windowHeight="19140" firstSheet="4" activeTab="11" xr2:uid="{00000000-000D-0000-FFFF-FFFF00000000}"/>
  </bookViews>
  <sheets>
    <sheet name="Controlli" sheetId="1" r:id="rId1"/>
    <sheet name="Piano Finanziario" sheetId="2" r:id="rId2"/>
    <sheet name="Salari e Stipendi" sheetId="3" r:id="rId3"/>
    <sheet name="Utenze" sheetId="4" r:id="rId4"/>
    <sheet name="Materie Prime-Consumo " sheetId="5" r:id="rId5"/>
    <sheet name="Tasse e Imposte" sheetId="6" r:id="rId6"/>
    <sheet name="Commisisoni Portali" sheetId="7" r:id="rId7"/>
    <sheet name="Mutui e Finaziamenti" sheetId="8" r:id="rId8"/>
    <sheet name="Consulenze" sheetId="9" r:id="rId9"/>
    <sheet name="Godimento Beni di Terzi" sheetId="10" r:id="rId10"/>
    <sheet name="Canoni e servizi" sheetId="11" r:id="rId11"/>
    <sheet name=" Varie ed Eventuali" sheetId="12" r:id="rId12"/>
    <sheet name="DA MAPPARE" sheetId="13" r:id="rId13"/>
    <sheet name="ESCLUSI" sheetId="14" r:id="rId14"/>
    <sheet name="DA MAPPARE1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2" l="1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R3" i="12"/>
  <c r="Q22" i="2" s="1"/>
  <c r="Q3" i="12"/>
  <c r="P22" i="2" s="1"/>
  <c r="P3" i="12"/>
  <c r="O22" i="2" s="1"/>
  <c r="O3" i="12"/>
  <c r="N22" i="2" s="1"/>
  <c r="N3" i="12"/>
  <c r="M22" i="2" s="1"/>
  <c r="M3" i="12"/>
  <c r="L22" i="2" s="1"/>
  <c r="L3" i="12"/>
  <c r="K3" i="12"/>
  <c r="J3" i="12"/>
  <c r="I3" i="12"/>
  <c r="H3" i="12"/>
  <c r="G3" i="12"/>
  <c r="F3" i="12"/>
  <c r="E3" i="12"/>
  <c r="D3" i="12"/>
  <c r="C3" i="12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C11" i="11"/>
  <c r="C10" i="11"/>
  <c r="C9" i="11"/>
  <c r="C8" i="11"/>
  <c r="C7" i="11"/>
  <c r="C6" i="11"/>
  <c r="C5" i="11"/>
  <c r="R4" i="11"/>
  <c r="Q23" i="2" s="1"/>
  <c r="Q4" i="11"/>
  <c r="P23" i="2" s="1"/>
  <c r="P4" i="11"/>
  <c r="O23" i="2" s="1"/>
  <c r="O4" i="11"/>
  <c r="N23" i="2" s="1"/>
  <c r="N4" i="11"/>
  <c r="M23" i="2" s="1"/>
  <c r="M4" i="11"/>
  <c r="L23" i="2" s="1"/>
  <c r="R23" i="2" s="1"/>
  <c r="L4" i="11"/>
  <c r="K4" i="11"/>
  <c r="J4" i="11"/>
  <c r="I4" i="11"/>
  <c r="H4" i="11"/>
  <c r="G4" i="11"/>
  <c r="F4" i="11"/>
  <c r="E4" i="11"/>
  <c r="D4" i="11"/>
  <c r="C4" i="11" s="1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R3" i="9"/>
  <c r="Q20" i="2" s="1"/>
  <c r="Q3" i="9"/>
  <c r="P20" i="2" s="1"/>
  <c r="P3" i="9"/>
  <c r="O20" i="2" s="1"/>
  <c r="O3" i="9"/>
  <c r="N20" i="2" s="1"/>
  <c r="N3" i="9"/>
  <c r="M20" i="2" s="1"/>
  <c r="M3" i="9"/>
  <c r="L20" i="2" s="1"/>
  <c r="L3" i="9"/>
  <c r="K3" i="9"/>
  <c r="J3" i="9"/>
  <c r="I3" i="9"/>
  <c r="H3" i="9"/>
  <c r="G3" i="9"/>
  <c r="F3" i="9"/>
  <c r="E3" i="9"/>
  <c r="D3" i="9"/>
  <c r="C3" i="9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R3" i="8"/>
  <c r="Q19" i="2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7" i="6"/>
  <c r="C6" i="6"/>
  <c r="K5" i="6"/>
  <c r="C5" i="6"/>
  <c r="C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 s="1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C3" i="5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H4" i="4"/>
  <c r="C4" i="4" s="1"/>
  <c r="R3" i="4"/>
  <c r="Q3" i="4"/>
  <c r="P3" i="4"/>
  <c r="O15" i="2" s="1"/>
  <c r="O3" i="4"/>
  <c r="N15" i="2" s="1"/>
  <c r="N3" i="4"/>
  <c r="M3" i="4"/>
  <c r="L3" i="4"/>
  <c r="K3" i="4"/>
  <c r="J3" i="4"/>
  <c r="I3" i="4"/>
  <c r="H3" i="4"/>
  <c r="G3" i="4"/>
  <c r="F3" i="4"/>
  <c r="E3" i="4"/>
  <c r="D3" i="4"/>
  <c r="C3" i="4" s="1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 s="1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R43" i="2" s="1"/>
  <c r="C35" i="2"/>
  <c r="R24" i="2"/>
  <c r="K23" i="2"/>
  <c r="J23" i="2"/>
  <c r="I23" i="2"/>
  <c r="H23" i="2"/>
  <c r="G23" i="2"/>
  <c r="F23" i="2"/>
  <c r="E23" i="2"/>
  <c r="D23" i="2"/>
  <c r="C23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K27" i="2" s="1"/>
  <c r="J14" i="2"/>
  <c r="J27" i="2" s="1"/>
  <c r="I14" i="2"/>
  <c r="I27" i="2" s="1"/>
  <c r="H14" i="2"/>
  <c r="H27" i="2" s="1"/>
  <c r="G14" i="2"/>
  <c r="G27" i="2" s="1"/>
  <c r="F14" i="2"/>
  <c r="F27" i="2" s="1"/>
  <c r="E14" i="2"/>
  <c r="E27" i="2" s="1"/>
  <c r="D14" i="2"/>
  <c r="D27" i="2" s="1"/>
  <c r="C14" i="2"/>
  <c r="Q12" i="2"/>
  <c r="P12" i="2"/>
  <c r="O12" i="2"/>
  <c r="N12" i="2"/>
  <c r="M12" i="2"/>
  <c r="L12" i="2"/>
  <c r="K12" i="2"/>
  <c r="K29" i="2" s="1"/>
  <c r="J12" i="2"/>
  <c r="J29" i="2" s="1"/>
  <c r="H12" i="2"/>
  <c r="H29" i="2" s="1"/>
  <c r="G12" i="2"/>
  <c r="G29" i="2" s="1"/>
  <c r="F12" i="2"/>
  <c r="F29" i="2" s="1"/>
  <c r="E12" i="2"/>
  <c r="E29" i="2" s="1"/>
  <c r="E37" i="2" s="1"/>
  <c r="D12" i="2"/>
  <c r="D29" i="2" s="1"/>
  <c r="D37" i="2" s="1"/>
  <c r="D45" i="2" s="1"/>
  <c r="C12" i="2"/>
  <c r="R11" i="2"/>
  <c r="R10" i="2"/>
  <c r="R9" i="2"/>
  <c r="I8" i="2"/>
  <c r="R8" i="2" s="1"/>
  <c r="I7" i="2"/>
  <c r="R7" i="2" s="1"/>
  <c r="I6" i="2"/>
  <c r="A44" i="1"/>
  <c r="B31" i="1"/>
  <c r="B30" i="1"/>
  <c r="B29" i="1"/>
  <c r="B28" i="1"/>
  <c r="B27" i="1"/>
  <c r="B25" i="1"/>
  <c r="B24" i="1"/>
  <c r="B23" i="1"/>
  <c r="B22" i="1"/>
  <c r="B4" i="1"/>
  <c r="R22" i="2" l="1"/>
  <c r="P27" i="2"/>
  <c r="P29" i="2" s="1"/>
  <c r="M27" i="2"/>
  <c r="M29" i="2" s="1"/>
  <c r="R21" i="2"/>
  <c r="R20" i="2"/>
  <c r="Q27" i="2"/>
  <c r="Q29" i="2" s="1"/>
  <c r="R19" i="2"/>
  <c r="R17" i="2"/>
  <c r="O27" i="2"/>
  <c r="O29" i="2" s="1"/>
  <c r="R16" i="2"/>
  <c r="L27" i="2"/>
  <c r="L29" i="2" s="1"/>
  <c r="B42" i="1" s="1"/>
  <c r="N27" i="2"/>
  <c r="N29" i="2" s="1"/>
  <c r="R15" i="2"/>
  <c r="C3" i="7"/>
  <c r="C18" i="2"/>
  <c r="C27" i="2" s="1"/>
  <c r="C29" i="2" s="1"/>
  <c r="R14" i="2"/>
  <c r="E45" i="2"/>
  <c r="F4" i="2"/>
  <c r="I12" i="2"/>
  <c r="R12" i="2" s="1"/>
  <c r="R6" i="2"/>
  <c r="B26" i="1" l="1"/>
  <c r="R18" i="2"/>
  <c r="B41" i="1"/>
  <c r="R27" i="2"/>
  <c r="R29" i="2" s="1"/>
  <c r="B13" i="1"/>
  <c r="B5" i="1"/>
  <c r="F37" i="2"/>
  <c r="B16" i="1"/>
  <c r="C37" i="2"/>
  <c r="B10" i="1"/>
  <c r="I29" i="2"/>
  <c r="B40" i="1"/>
  <c r="G4" i="2" l="1"/>
  <c r="F45" i="2"/>
  <c r="C45" i="2"/>
  <c r="G37" i="2" l="1"/>
  <c r="H4" i="2" l="1"/>
  <c r="G45" i="2"/>
  <c r="H37" i="2" l="1"/>
  <c r="H45" i="2" l="1"/>
  <c r="I4" i="2"/>
  <c r="I37" i="2" l="1"/>
  <c r="J4" i="2" l="1"/>
  <c r="I45" i="2"/>
  <c r="J37" i="2" l="1"/>
  <c r="J45" i="2" l="1"/>
  <c r="K4" i="2"/>
  <c r="B6" i="1" l="1"/>
  <c r="K37" i="2"/>
  <c r="B34" i="1" l="1"/>
  <c r="B44" i="1" s="1"/>
  <c r="L4" i="2"/>
  <c r="L37" i="2" s="1"/>
  <c r="K45" i="2"/>
  <c r="B37" i="1" s="1"/>
  <c r="L45" i="2" l="1"/>
  <c r="M4" i="2"/>
  <c r="M37" i="2" s="1"/>
  <c r="M45" i="2" l="1"/>
  <c r="N4" i="2"/>
  <c r="N37" i="2" s="1"/>
  <c r="N45" i="2" l="1"/>
  <c r="O4" i="2"/>
  <c r="O37" i="2" s="1"/>
  <c r="O45" i="2" l="1"/>
  <c r="P4" i="2"/>
  <c r="P37" i="2" s="1"/>
  <c r="P45" i="2" l="1"/>
  <c r="Q4" i="2"/>
  <c r="Q37" i="2" s="1"/>
  <c r="Q45" i="2" l="1"/>
  <c r="R45" i="2" s="1"/>
  <c r="R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4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ID#AAACFWyTS2E
Antonio Russo    (2024-09-20 08:25:32)
Stima</t>
        </r>
      </text>
    </comment>
    <comment ref="A16" authorId="0" shapeId="0" xr:uid="{00000000-0006-0000-0100-000002000000}">
      <text>
        <r>
          <rPr>
            <sz val="12"/>
            <color theme="1"/>
            <rFont val="Aptos Narrow"/>
            <scheme val="minor"/>
          </rPr>
          <t>======
ID#AAACFWyTS1s
Economato Panorama Group    (2025-01-24 11:45:42)
Ripartato consuntivo da conto economico menisle 2024 secondo accordi con fornitori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7" authorId="0" shapeId="0" xr:uid="{00000000-0006-0000-0500-000001000000}">
      <text>
        <r>
          <rPr>
            <sz val="12"/>
            <color theme="1"/>
            <rFont val="Aptos Narrow"/>
            <scheme val="minor"/>
          </rPr>
          <t>======
ID#AAACFWyTS18
Amministrazione    (2025-01-28 16:04:53)
ACCONTO IVA 2025 - SCAD PAG 27/12/2025</t>
        </r>
      </text>
    </comment>
    <comment ref="B10" authorId="0" shapeId="0" xr:uid="{00000000-0006-0000-0500-000002000000}">
      <text>
        <r>
          <rPr>
            <sz val="12"/>
            <color theme="1"/>
            <rFont val="Aptos Narrow"/>
            <scheme val="minor"/>
          </rPr>
          <t>======
ID#AAACFWyTS10
Amministrazione    (2025-01-27 13:30:23)
33,33% del complessivo versato</t>
        </r>
      </text>
    </comment>
    <comment ref="F15" authorId="0" shapeId="0" xr:uid="{00000000-0006-0000-0500-000003000000}">
      <text>
        <r>
          <rPr>
            <sz val="12"/>
            <color theme="1"/>
            <rFont val="Aptos Narrow"/>
            <scheme val="minor"/>
          </rPr>
          <t>======
ID#AAACFWyTS14
Antonio Russo    (2025-11-11 09:45:57)
STIMA DI DINO SU UTILE DI 800K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4" authorId="0" shapeId="0" xr:uid="{00000000-0006-0000-0800-000001000000}">
      <text>
        <r>
          <rPr>
            <sz val="12"/>
            <color theme="1"/>
            <rFont val="Aptos Narrow"/>
            <scheme val="minor"/>
          </rPr>
          <t>======
ID#AAACFWyTS2A
Economato Panorama Group    (2025-01-24 11:30:18)
Valore stimato su fatturato 2024</t>
        </r>
      </text>
    </comment>
    <comment ref="B5" authorId="0" shapeId="0" xr:uid="{00000000-0006-0000-0800-000002000000}">
      <text>
        <r>
          <rPr>
            <sz val="12"/>
            <color theme="1"/>
            <rFont val="Aptos Narrow"/>
            <scheme val="minor"/>
          </rPr>
          <t>======
ID#AAACFWyTS1w
Economato Panorama Group    (2025-01-24 11:30:25)
Valore stimato su fatturato 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5" authorId="0" shapeId="0" xr:uid="{00000000-0006-0000-0A00-000001000000}">
      <text>
        <r>
          <rPr>
            <sz val="12"/>
            <color theme="1"/>
            <rFont val="Aptos Narrow"/>
            <scheme val="minor"/>
          </rPr>
          <t>======
ID#AAACFWyTS2I
Amministrazione    (2025-10-22 08:36:07)
Avuto il dettaglio il 22/10/2025</t>
        </r>
      </text>
    </comment>
    <comment ref="B14" authorId="0" shapeId="0" xr:uid="{00000000-0006-0000-0A00-000002000000}">
      <text>
        <r>
          <rPr>
            <sz val="12"/>
            <color theme="1"/>
            <rFont val="Aptos Narrow"/>
            <scheme val="minor"/>
          </rPr>
          <t>======
ID#AAACFWyTS1o
Economato Panorama Group    (2025-01-24 11:21:30)
Valore indicativo di € 8000,00 divisi per trimestri</t>
        </r>
      </text>
    </comment>
  </commentList>
</comments>
</file>

<file path=xl/sharedStrings.xml><?xml version="1.0" encoding="utf-8"?>
<sst xmlns="http://schemas.openxmlformats.org/spreadsheetml/2006/main" count="520" uniqueCount="303">
  <si>
    <t>CONTROLLI PIANO FINANZIARIO — ORTI</t>
  </si>
  <si>
    <t>1. SALDO PARTENZA</t>
  </si>
  <si>
    <t>C4:E4 = saldi iniziali hardcoded (mesi chiusi)?</t>
  </si>
  <si>
    <t>F4 = E37 (luglio parte da saldo reale giugno)?</t>
  </si>
  <si>
    <t>Catena F4:K4 = mese prec riga 37?</t>
  </si>
  <si>
    <t>(non applicabile — mesi passati rimossi)</t>
  </si>
  <si>
    <t>OK</t>
  </si>
  <si>
    <t>2. TOTALE ENTRATE (riga 12)</t>
  </si>
  <si>
    <t>Riga 12 = SUM(6:11) per mesi C:K?</t>
  </si>
  <si>
    <t>3. TOTALE USCITE (riga 27)</t>
  </si>
  <si>
    <t>Riga 27 = SUM(14:26) per mesi C:K?</t>
  </si>
  <si>
    <t>4. CASH FLOW (riga 29)</t>
  </si>
  <si>
    <t>Riga 29 = Entrate - Uscite per mesi C:K?</t>
  </si>
  <si>
    <t>6. RIFERIMENTI USCITE — FOGLI DETTAGLIO (mesi I:R)</t>
  </si>
  <si>
    <t>Riga 14 — Salari e Stipendi</t>
  </si>
  <si>
    <t>Riga 15 — Utenze</t>
  </si>
  <si>
    <t>Riga 16 — Materie Prime/Consumo</t>
  </si>
  <si>
    <t>Riga 17 — Tasse e Imposte</t>
  </si>
  <si>
    <t>Riga 18 — Commissioni Portali</t>
  </si>
  <si>
    <t>Riga 19 — Mutui e Finanziamenti</t>
  </si>
  <si>
    <t>Riga 20 — Consulenze</t>
  </si>
  <si>
    <t>Riga 21 — Godimento Beni di Terzi</t>
  </si>
  <si>
    <t>Riga 22 — Varie ed Eventuali</t>
  </si>
  <si>
    <t>Riga 23 — Canoni e servizi</t>
  </si>
  <si>
    <t>7. SALDO PROIETTATO (riga 37)</t>
  </si>
  <si>
    <t>Riga 37 = riga 4 + riga 29 per mesi attivi I:R?</t>
  </si>
  <si>
    <t>8. CASH FLOW CON AFFIDAMENTI (riga 45)</t>
  </si>
  <si>
    <t>Riga 45 = riga 37 + riga 43 per mesi attivi I:R?</t>
  </si>
  <si>
    <t>9. COLONNA TOTALI (T)</t>
  </si>
  <si>
    <t>L12 Totale Entrate = SUM(C12:K12)?</t>
  </si>
  <si>
    <t>L27 Totale Uscite = SUM(C27:K27)?</t>
  </si>
  <si>
    <t>L29 Cash Flow = L12 - L27?</t>
  </si>
  <si>
    <t>ORTI S.R.L.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</si>
  <si>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</si>
  <si>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</si>
  <si>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</si>
  <si>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</si>
  <si>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</si>
  <si>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</si>
  <si>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</si>
  <si>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</si>
  <si>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</si>
  <si>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</si>
  <si>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</si>
  <si>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</si>
  <si>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TOTALI</t>
  </si>
  <si>
    <t>SALDO MESE PRECED</t>
  </si>
  <si>
    <t xml:space="preserve">Entrate Hotel </t>
  </si>
  <si>
    <t>Entrate Residence</t>
  </si>
  <si>
    <t>Entrate CVM</t>
  </si>
  <si>
    <t>Entrate Supermercato</t>
  </si>
  <si>
    <t>Rientro Sospesi</t>
  </si>
  <si>
    <t>Caparre Intur</t>
  </si>
  <si>
    <t>TOTALE ENTRATE</t>
  </si>
  <si>
    <t>Salari e Stipendi</t>
  </si>
  <si>
    <t>Utenze</t>
  </si>
  <si>
    <t>Materie Prime/Consumo</t>
  </si>
  <si>
    <t>Tasse e Imposte</t>
  </si>
  <si>
    <t>Commissioni Portali</t>
  </si>
  <si>
    <t>Mutui e Finaziamenti</t>
  </si>
  <si>
    <t>Consulenze</t>
  </si>
  <si>
    <t>Godimento Beni di Terzi</t>
  </si>
  <si>
    <t>Varie ed Eventuali</t>
  </si>
  <si>
    <t>Canoni e servizi</t>
  </si>
  <si>
    <t>Deposito Fitto</t>
  </si>
  <si>
    <t xml:space="preserve">TOTALE USCITE </t>
  </si>
  <si>
    <t>Cash Flow</t>
  </si>
  <si>
    <t>30/04/2026</t>
  </si>
  <si>
    <t>31/05/2026</t>
  </si>
  <si>
    <t>30/06/2026</t>
  </si>
  <si>
    <t>Saldo MPS</t>
  </si>
  <si>
    <t>726,946.18 €</t>
  </si>
  <si>
    <t>Saldo Intesa</t>
  </si>
  <si>
    <t>136,312.45 €</t>
  </si>
  <si>
    <t xml:space="preserve">TOTALE BANCHE </t>
  </si>
  <si>
    <t xml:space="preserve">Saldo di Periodo/Proiettato </t>
  </si>
  <si>
    <t xml:space="preserve">Fin. MPS 60 mesi </t>
  </si>
  <si>
    <t xml:space="preserve">TOTALE AFFIDAMENTI  </t>
  </si>
  <si>
    <t>CASH FLOW CON AFFID.</t>
  </si>
  <si>
    <t>CODICE</t>
  </si>
  <si>
    <t xml:space="preserve">SALARI </t>
  </si>
  <si>
    <t xml:space="preserve">F24 </t>
  </si>
  <si>
    <t>Energia elettrica</t>
  </si>
  <si>
    <t>Gas</t>
  </si>
  <si>
    <t>Acqua - Ausino</t>
  </si>
  <si>
    <t>Vodafone (intur)</t>
  </si>
  <si>
    <t xml:space="preserve">Connectivia  </t>
  </si>
  <si>
    <t>PREVISIONALE</t>
  </si>
  <si>
    <t xml:space="preserve">Materie Prime e Consumo </t>
  </si>
  <si>
    <t>A. Migliore srl</t>
  </si>
  <si>
    <t>Abiti da lavoro Cavaliere srls</t>
  </si>
  <si>
    <t>Adra srl</t>
  </si>
  <si>
    <t>Alberto D'Urso</t>
  </si>
  <si>
    <t>Alnumar di Garofalo Massimiliano</t>
  </si>
  <si>
    <t>Amalfi sei esse</t>
  </si>
  <si>
    <t>Amalfi ghiaccio</t>
  </si>
  <si>
    <t>Amalfi Web</t>
  </si>
  <si>
    <t>Amato Filippo</t>
  </si>
  <si>
    <t>Alfera srl</t>
  </si>
  <si>
    <t>Allestimenti Di Palo</t>
  </si>
  <si>
    <t>Amato Prisco pane</t>
  </si>
  <si>
    <t>Aniello Bisogno &amp; Figli</t>
  </si>
  <si>
    <t>Attianese Frutta e Verdura</t>
  </si>
  <si>
    <t>Apicella Lorenzo</t>
  </si>
  <si>
    <t>B&amp;G Di Palo Commercio</t>
  </si>
  <si>
    <t>Bellagaia</t>
  </si>
  <si>
    <t>Campitiello Fabio</t>
  </si>
  <si>
    <t>Capuano Raffaele</t>
  </si>
  <si>
    <t>Casa Vinicola Sammarco</t>
  </si>
  <si>
    <t>Coccorullo Falegnamenria</t>
  </si>
  <si>
    <t>Centro Distribuzione Maglio</t>
  </si>
  <si>
    <t>Centro service Snc</t>
  </si>
  <si>
    <t>Cica</t>
  </si>
  <si>
    <t>Cimmini Filomena</t>
  </si>
  <si>
    <t>Creative Idea</t>
  </si>
  <si>
    <t>Ditta Pansa</t>
  </si>
  <si>
    <t>De Luca</t>
  </si>
  <si>
    <t>DG Network</t>
  </si>
  <si>
    <t>Di Sarno Coffee</t>
  </si>
  <si>
    <t>Ditta Apicella</t>
  </si>
  <si>
    <t>Fabbrocino Michele</t>
  </si>
  <si>
    <t>Barela Farmacia</t>
  </si>
  <si>
    <t>Feio Srl</t>
  </si>
  <si>
    <t>Ferrigno Maria</t>
  </si>
  <si>
    <t>Gallo Giovanni</t>
  </si>
  <si>
    <t>Giacinto Di Palma</t>
  </si>
  <si>
    <t>Granato Vincenzo</t>
  </si>
  <si>
    <t>Granato Nino</t>
  </si>
  <si>
    <t>Hospitality Project</t>
  </si>
  <si>
    <t>Hotel Service</t>
  </si>
  <si>
    <t>I.C.P srl</t>
  </si>
  <si>
    <t>Il centro CSC</t>
  </si>
  <si>
    <t>Il piacere della tavola</t>
  </si>
  <si>
    <t>Ingrosso frutta di Michele e Vincenzo</t>
  </si>
  <si>
    <t>IPEI SRL</t>
  </si>
  <si>
    <t>La Contadina Srl</t>
  </si>
  <si>
    <t>La Floreale</t>
  </si>
  <si>
    <t xml:space="preserve">La Nuova Autocarrozzaria </t>
  </si>
  <si>
    <t>Le Croissant srl</t>
  </si>
  <si>
    <t>Lovali d'autore</t>
  </si>
  <si>
    <t>L'Europea</t>
  </si>
  <si>
    <t>Napolamp</t>
  </si>
  <si>
    <t>Ninni</t>
  </si>
  <si>
    <t>Oceano Distribuzione</t>
  </si>
  <si>
    <t>Paolillo Aldo</t>
  </si>
  <si>
    <t>Paravia Srl</t>
  </si>
  <si>
    <t>Primavera Servizi</t>
  </si>
  <si>
    <t>Pisacane Raffaele</t>
  </si>
  <si>
    <t>Pregis</t>
  </si>
  <si>
    <t>Prodotti tipici di CarloTagliafierro</t>
  </si>
  <si>
    <t>Pepe Mastro dolciario</t>
  </si>
  <si>
    <t>Prisa</t>
  </si>
  <si>
    <t>Reidos srl</t>
  </si>
  <si>
    <t>Salzano Tiziano</t>
  </si>
  <si>
    <t>Santelia Antonio</t>
  </si>
  <si>
    <t>Serverplan srl</t>
  </si>
  <si>
    <t>Studio quattro</t>
  </si>
  <si>
    <t>Tur.Com</t>
  </si>
  <si>
    <t>Valgarda Srl</t>
  </si>
  <si>
    <t>Vicart</t>
  </si>
  <si>
    <t>Vitagliano</t>
  </si>
  <si>
    <t>Pietra di luna</t>
  </si>
  <si>
    <t>Bianco Bufala</t>
  </si>
  <si>
    <t>Croce Rossa Italiana (trasporto sujith)</t>
  </si>
  <si>
    <t>Costieraagrumi</t>
  </si>
  <si>
    <t>Finsal</t>
  </si>
  <si>
    <t>Gambardella</t>
  </si>
  <si>
    <t>Mammato Anna</t>
  </si>
  <si>
    <t>Fioraio Santelia</t>
  </si>
  <si>
    <t>Arch. Marigliano Savio</t>
  </si>
  <si>
    <t>Mint Architettura</t>
  </si>
  <si>
    <t>Musica totale</t>
  </si>
  <si>
    <t>Romano Ciro</t>
  </si>
  <si>
    <t>Sal de Riso</t>
  </si>
  <si>
    <t>Samar</t>
  </si>
  <si>
    <t>Sistemi ESolver</t>
  </si>
  <si>
    <t>Tappezzeria Cent'anni</t>
  </si>
  <si>
    <t>AFFINITO SRL</t>
  </si>
  <si>
    <t>ALBERGO SANTA CHIARA</t>
  </si>
  <si>
    <t>AMAZON EU S.A R.L.</t>
  </si>
  <si>
    <t>AP COMMERCIALE S.R.L.</t>
  </si>
  <si>
    <t>C&amp;C S.p.A.</t>
  </si>
  <si>
    <t>Dr. Vranjes Firenze S.p.A.</t>
  </si>
  <si>
    <t>EXORH DI CHIESA PAOLA</t>
  </si>
  <si>
    <t>Gest. D.M.F. Srl</t>
  </si>
  <si>
    <t>HAPPY CASA STORE S.R.L.</t>
  </si>
  <si>
    <t>IDRO-TOP S.R.L.</t>
  </si>
  <si>
    <t>KING CATERING S.R.L.</t>
  </si>
  <si>
    <t>LE SETTE SORELLE SOCIETA' A</t>
  </si>
  <si>
    <t>MIELE GIUSEPPE E FIGLI SPA</t>
  </si>
  <si>
    <t>PEPPINO RISTORAZIONE S.R.L.</t>
  </si>
  <si>
    <t>RISALITI SRL</t>
  </si>
  <si>
    <t>SOCIETA' INGROSSO TELEVISORI ELETTRODOMESTICI AFFINI S.R.L.</t>
  </si>
  <si>
    <t>ACQUAVERDE SRL</t>
  </si>
  <si>
    <t>GENERAL BEVERAGE S.R.L.</t>
  </si>
  <si>
    <t>MARR SPA</t>
  </si>
  <si>
    <t>Casalinghi Sicignano</t>
  </si>
  <si>
    <t>Foraggio Srl</t>
  </si>
  <si>
    <t>Minieri Mariano</t>
  </si>
  <si>
    <t>Oip Srl</t>
  </si>
  <si>
    <t>Pirotecnica Platinum S.R.L.S</t>
  </si>
  <si>
    <t>Sorrentino Giovanni S.N.C. Di Sorrentino Pasquale &amp; C.</t>
  </si>
  <si>
    <t>Zurli Maurizio</t>
  </si>
  <si>
    <t>Pietra Di Luna</t>
  </si>
  <si>
    <t>Tecno Piscine</t>
  </si>
  <si>
    <t>IMU</t>
  </si>
  <si>
    <t>IMPOSTE</t>
  </si>
  <si>
    <t>NOVEMBRE I ACCONTO E II ACCONTO TOTALI</t>
  </si>
  <si>
    <t xml:space="preserve">TARI HOTEL </t>
  </si>
  <si>
    <t>IVA</t>
  </si>
  <si>
    <t>RITENUTE PROFESSIONISTI (1040)</t>
  </si>
  <si>
    <t>IMPOSTA DI SOGGIORNO HP</t>
  </si>
  <si>
    <t>IMPOSTA DI SOGGIORNO AR</t>
  </si>
  <si>
    <t>IMPOSTA DI SOGGIORNO CVM</t>
  </si>
  <si>
    <t>IMPOSTA DI SOGGIORNO APT</t>
  </si>
  <si>
    <t>TARI RESIDENCE</t>
  </si>
  <si>
    <t>TARI CVM</t>
  </si>
  <si>
    <t>IRES/IRAP</t>
  </si>
  <si>
    <t>Commisisoni Portali</t>
  </si>
  <si>
    <t xml:space="preserve">Commissioni Booking </t>
  </si>
  <si>
    <t xml:space="preserve">Commissioni Expedia </t>
  </si>
  <si>
    <t>NEXI PAYMENTS S.p.A.</t>
  </si>
  <si>
    <t>Mutui e Finanaziamenti</t>
  </si>
  <si>
    <t xml:space="preserve">Mutuo MPS </t>
  </si>
  <si>
    <t>EX Muto Intesa (mps)</t>
  </si>
  <si>
    <t>Finanziamento MPS 75k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</si>
  <si>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</si>
  <si>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</si>
  <si>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</si>
  <si>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</si>
  <si>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</si>
  <si>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</si>
  <si>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JoAnne Dunn Photographers</t>
  </si>
  <si>
    <t>Creative Idea S.N.C. Di De Martino Diodato &amp; C.</t>
  </si>
  <si>
    <t>STUDIO QUATTRO S.R.L.</t>
  </si>
  <si>
    <t>Gofimento Beni di Terzi</t>
  </si>
  <si>
    <t>Fitto Ramo d' Azienda</t>
  </si>
  <si>
    <t>Fitto AR</t>
  </si>
  <si>
    <t>Fitto CVM</t>
  </si>
  <si>
    <t>Proxima Service</t>
  </si>
  <si>
    <t>Hoxell</t>
  </si>
  <si>
    <t>Sistemi (E_solver)</t>
  </si>
  <si>
    <t xml:space="preserve">Zucchetti 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</si>
  <si>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</si>
  <si>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</si>
  <si>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</si>
  <si>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</si>
  <si>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</si>
  <si>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</si>
  <si>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</si>
  <si>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</si>
  <si>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</si>
  <si>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Aruba</t>
  </si>
  <si>
    <t>GOOGLE CLOUD ITALY S.R.L.</t>
  </si>
  <si>
    <t>Pietra Di Luna Hotel - S.R.L.</t>
  </si>
  <si>
    <t>VALLOUFFICIO SOLUZIONI di Zavaglia Nicola &amp; C. S.A.S.</t>
  </si>
  <si>
    <t>Variee ed Eventuali</t>
  </si>
  <si>
    <t>Spese Condominiali</t>
  </si>
  <si>
    <t>AUTOSTRADE PER L'ITALIA S.P.A.</t>
  </si>
  <si>
    <t>DEL RISPARMIO</t>
  </si>
  <si>
    <t>EDILIZIA ED</t>
  </si>
  <si>
    <t>FEIO S.R.L.</t>
  </si>
  <si>
    <t>H &amp; M HENNES &amp; MAURITZ S.R.L.</t>
  </si>
  <si>
    <t>Mana  srls</t>
  </si>
  <si>
    <t>ROSANTO S.R.L.</t>
  </si>
  <si>
    <t>CENTRO MODA S.R.L.</t>
  </si>
  <si>
    <t>DIECI S.R.L.S.</t>
  </si>
  <si>
    <t>HAIR GALLERY EUROPE SRL</t>
  </si>
  <si>
    <t>FERRIGNO MARIA C S N C</t>
  </si>
  <si>
    <t>Nola Ferramenta Srl</t>
  </si>
  <si>
    <t>Re Denari di Marco Oliva &amp; C. Sas</t>
  </si>
  <si>
    <t>MAGALDI LIFE SRL SOC. UNIP.</t>
  </si>
  <si>
    <t>READYPRINT DI PIPITONE BRUNO</t>
  </si>
  <si>
    <t>Leroy Merlin Italia srl</t>
  </si>
  <si>
    <t>MEDIAMARKET S.P.A. CON SOCIO UNICO</t>
  </si>
  <si>
    <t>PREGIS S.P.A.</t>
  </si>
  <si>
    <t>ADRA S.R.L.</t>
  </si>
  <si>
    <t>Apple Retail Italia</t>
  </si>
  <si>
    <t>D.L. Brothers</t>
  </si>
  <si>
    <t>Doctor Spy Societa' A Responsabilita' Limitata</t>
  </si>
  <si>
    <t>Gruppo Adam s.r.l.</t>
  </si>
  <si>
    <t>I.R.P.S. Srl</t>
  </si>
  <si>
    <t>Ikea Italia Retail Srl</t>
  </si>
  <si>
    <t>Lo Scoglio Dei F.Lli De Simone S.R.L.</t>
  </si>
  <si>
    <t>Nila S.R.L.</t>
  </si>
  <si>
    <t>Propac S.R.L.</t>
  </si>
  <si>
    <t>Puntoffice Di Cardarelli Rita</t>
  </si>
  <si>
    <t>Ristorante O Padrone Do'Mare Di De Siano Giacinto &amp; C. Snc</t>
  </si>
  <si>
    <t>Fornitori NON mappati in d_fornitori.csv — assegnare una voce (hotelops fornitori) e rigenerare</t>
  </si>
  <si>
    <t>Cod</t>
  </si>
  <si>
    <t>Nome (da export)</t>
  </si>
  <si>
    <t>Fornitori ESCLUSI dalla cassa per scelta (is_excluded) — fuori dal saldo proiettato. NON sono un TODO: il motivo è in colonna Motivo.</t>
  </si>
  <si>
    <t>Nome (da CSV)</t>
  </si>
  <si>
    <t>Motivo</t>
  </si>
  <si>
    <t>AL MORO DI ROMAGNOLI ANDREA SAS</t>
  </si>
  <si>
    <t>escluso da app cashflow</t>
  </si>
  <si>
    <t>BRILY DI AVETA VINCENZO</t>
  </si>
  <si>
    <t>Fercolor s.r.l.</t>
  </si>
  <si>
    <t>POPPITI ALDO</t>
  </si>
  <si>
    <t>VARZI GENERATION SRL</t>
  </si>
  <si>
    <t>ALBA NEON S.R.L.</t>
  </si>
  <si>
    <t>ASSOCIAZIONE SOUL FOOD</t>
  </si>
  <si>
    <t>LEIDIVA DI SEPE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</si>
</sst>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1" x14ac:knownFonts="1">
    <font>
      <sz val="12"/>
      <color theme="1"/>
      <name val="Aptos Narrow"/>
      <scheme val="minor"/>
    </font>
    <font>
      <sz val="11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</font>
    <font>
      <b/>
      <sz val="20"/>
      <color rgb="FF1F3864"/>
      <name val="Calibri"/>
      <family val="2"/>
    </font>
    <font>
      <b/>
      <sz val="14"/>
      <color rgb="FF1F3864"/>
      <name val="Arial"/>
      <family val="2"/>
    </font>
    <font>
      <sz val="12"/>
      <color theme="1"/>
      <name val="Calibri"/>
      <family val="2"/>
    </font>
    <font>
      <b/>
      <sz val="14"/>
      <color rgb="FF1F3864"/>
      <name val="Calibri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sz val="14"/>
      <color rgb="FF4472C4"/>
      <name val="Calibri"/>
      <family val="2"/>
    </font>
    <font>
      <b/>
      <sz val="12"/>
      <color rgb="FFFFFFFF"/>
      <name val="Calibri"/>
      <family val="2"/>
    </font>
    <font>
      <sz val="11"/>
      <color rgb="FF333333"/>
      <name val="Arial"/>
      <family val="2"/>
    </font>
    <font>
      <b/>
      <sz val="11"/>
      <color rgb="FF006100"/>
      <name val="Arial"/>
      <family val="2"/>
    </font>
    <font>
      <sz val="12"/>
      <color rgb="FFFFFFFF"/>
      <name val="Calibri"/>
      <family val="2"/>
    </font>
    <font>
      <b/>
      <sz val="12"/>
      <color rgb="FFC00000"/>
      <name val="Calibri"/>
      <family val="2"/>
    </font>
    <font>
      <b/>
      <sz val="12"/>
      <color theme="1"/>
      <name val="Aptos Narrow"/>
    </font>
    <font>
      <b/>
      <sz val="12"/>
      <color rgb="FF1F3864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rgb="FF006100"/>
      <name val="Calibri"/>
      <family val="2"/>
    </font>
    <font>
      <b/>
      <u/>
      <sz val="12"/>
      <color theme="1"/>
      <name val="Aptos Narrow"/>
    </font>
    <font>
      <sz val="11"/>
      <color rgb="FF0061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rgb="FFC00000"/>
      <name val="Calibri"/>
      <family val="2"/>
    </font>
    <font>
      <b/>
      <u/>
      <sz val="12"/>
      <color rgb="FF1F3864"/>
      <name val="Calibri"/>
      <family val="2"/>
    </font>
    <font>
      <b/>
      <i/>
      <sz val="12"/>
      <color rgb="FF0070C0"/>
      <name val="Calibri"/>
      <family val="2"/>
    </font>
    <font>
      <sz val="12"/>
      <color rgb="FF0000FF"/>
      <name val="Calibri"/>
      <family val="2"/>
    </font>
    <font>
      <b/>
      <u/>
      <sz val="12"/>
      <color rgb="FF006100"/>
      <name val="Calibri"/>
      <family val="2"/>
    </font>
    <font>
      <b/>
      <sz val="12"/>
      <color rgb="FF006100"/>
      <name val="Calibri"/>
      <family val="2"/>
    </font>
    <font>
      <b/>
      <sz val="13"/>
      <color rgb="FF1F3864"/>
      <name val="Calibri"/>
      <family val="2"/>
    </font>
    <font>
      <b/>
      <u/>
      <sz val="13"/>
      <color theme="1"/>
      <name val="Calibri"/>
      <family val="2"/>
    </font>
    <font>
      <b/>
      <sz val="13"/>
      <color theme="1"/>
      <name val="Calibri"/>
      <family val="2"/>
    </font>
    <font>
      <sz val="12"/>
      <color rgb="FFFF0000"/>
      <name val="Calibri"/>
      <family val="2"/>
    </font>
    <font>
      <b/>
      <u/>
      <sz val="12"/>
      <color rgb="FF7030A0"/>
      <name val="Calibri"/>
      <family val="2"/>
    </font>
    <font>
      <b/>
      <sz val="12"/>
      <color rgb="FF7030A0"/>
      <name val="Calibri"/>
      <family val="2"/>
    </font>
    <font>
      <b/>
      <sz val="14"/>
      <color rgb="FF006100"/>
      <name val="Arial"/>
      <family val="2"/>
    </font>
    <font>
      <b/>
      <sz val="11"/>
      <color rgb="FF7F6000"/>
      <name val="Arial"/>
      <family val="2"/>
    </font>
    <font>
      <b/>
      <i/>
      <sz val="11"/>
      <color rgb="FF7F6000"/>
      <name val="Arial"/>
      <family val="2"/>
    </font>
    <font>
      <b/>
      <sz val="11"/>
      <color rgb="FFFF0000"/>
      <name val="Arial"/>
      <family val="2"/>
    </font>
    <font>
      <u/>
      <sz val="11"/>
      <color rgb="FF0000FF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2" fillId="5" borderId="5" xfId="0" applyFont="1" applyFill="1" applyBorder="1"/>
    <xf numFmtId="0" fontId="14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5" fillId="2" borderId="1" xfId="0" applyFont="1" applyFill="1" applyBorder="1"/>
    <xf numFmtId="0" fontId="16" fillId="6" borderId="8" xfId="0" applyFont="1" applyFill="1" applyBorder="1"/>
    <xf numFmtId="0" fontId="14" fillId="4" borderId="9" xfId="0" applyFont="1" applyFill="1" applyBorder="1" applyAlignment="1">
      <alignment horizontal="center"/>
    </xf>
    <xf numFmtId="164" fontId="16" fillId="6" borderId="8" xfId="0" applyNumberFormat="1" applyFont="1" applyFill="1" applyBorder="1"/>
    <xf numFmtId="0" fontId="3" fillId="0" borderId="10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164" fontId="16" fillId="6" borderId="12" xfId="0" applyNumberFormat="1" applyFont="1" applyFill="1" applyBorder="1" applyAlignment="1">
      <alignment horizontal="right"/>
    </xf>
    <xf numFmtId="0" fontId="14" fillId="2" borderId="1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left"/>
    </xf>
    <xf numFmtId="0" fontId="19" fillId="0" borderId="0" xfId="0" applyFont="1"/>
    <xf numFmtId="0" fontId="20" fillId="5" borderId="1" xfId="0" applyFont="1" applyFill="1" applyBorder="1"/>
    <xf numFmtId="164" fontId="16" fillId="6" borderId="8" xfId="0" applyNumberFormat="1" applyFont="1" applyFill="1" applyBorder="1" applyAlignment="1">
      <alignment horizontal="right"/>
    </xf>
    <xf numFmtId="164" fontId="20" fillId="5" borderId="14" xfId="0" applyNumberFormat="1" applyFont="1" applyFill="1" applyBorder="1" applyAlignment="1">
      <alignment horizontal="right"/>
    </xf>
    <xf numFmtId="164" fontId="20" fillId="5" borderId="15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4" fontId="3" fillId="0" borderId="16" xfId="0" applyNumberFormat="1" applyFont="1" applyBorder="1"/>
    <xf numFmtId="164" fontId="12" fillId="8" borderId="17" xfId="0" applyNumberFormat="1" applyFont="1" applyFill="1" applyBorder="1" applyAlignment="1">
      <alignment horizontal="right"/>
    </xf>
    <xf numFmtId="164" fontId="1" fillId="0" borderId="16" xfId="0" applyNumberFormat="1" applyFont="1" applyBorder="1" applyAlignment="1">
      <alignment horizontal="right"/>
    </xf>
    <xf numFmtId="164" fontId="20" fillId="5" borderId="18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164" fontId="21" fillId="0" borderId="16" xfId="0" applyNumberFormat="1" applyFont="1" applyBorder="1" applyAlignment="1">
      <alignment horizontal="left"/>
    </xf>
    <xf numFmtId="0" fontId="9" fillId="2" borderId="1" xfId="0" applyFont="1" applyFill="1" applyBorder="1"/>
    <xf numFmtId="0" fontId="7" fillId="9" borderId="1" xfId="0" applyFont="1" applyFill="1" applyBorder="1" applyAlignment="1">
      <alignment horizontal="left"/>
    </xf>
    <xf numFmtId="0" fontId="7" fillId="9" borderId="1" xfId="0" applyFont="1" applyFill="1" applyBorder="1"/>
    <xf numFmtId="164" fontId="3" fillId="0" borderId="19" xfId="0" applyNumberFormat="1" applyFont="1" applyBorder="1"/>
    <xf numFmtId="164" fontId="7" fillId="9" borderId="20" xfId="0" applyNumberFormat="1" applyFont="1" applyFill="1" applyBorder="1" applyAlignment="1">
      <alignment horizontal="right"/>
    </xf>
    <xf numFmtId="164" fontId="7" fillId="9" borderId="21" xfId="0" applyNumberFormat="1" applyFont="1" applyFill="1" applyBorder="1" applyAlignment="1">
      <alignment horizontal="right"/>
    </xf>
    <xf numFmtId="164" fontId="12" fillId="8" borderId="19" xfId="0" applyNumberFormat="1" applyFont="1" applyFill="1" applyBorder="1" applyAlignment="1">
      <alignment horizontal="right"/>
    </xf>
    <xf numFmtId="164" fontId="1" fillId="10" borderId="17" xfId="0" applyNumberFormat="1" applyFont="1" applyFill="1" applyBorder="1" applyAlignment="1">
      <alignment horizontal="right"/>
    </xf>
    <xf numFmtId="164" fontId="1" fillId="0" borderId="19" xfId="0" applyNumberFormat="1" applyFont="1" applyBorder="1" applyAlignment="1">
      <alignment horizontal="right"/>
    </xf>
    <xf numFmtId="164" fontId="7" fillId="9" borderId="22" xfId="0" applyNumberFormat="1" applyFont="1" applyFill="1" applyBorder="1" applyAlignment="1">
      <alignment horizontal="right"/>
    </xf>
    <xf numFmtId="0" fontId="4" fillId="11" borderId="1" xfId="0" applyFont="1" applyFill="1" applyBorder="1"/>
    <xf numFmtId="164" fontId="10" fillId="0" borderId="16" xfId="0" applyNumberFormat="1" applyFont="1" applyBorder="1" applyAlignment="1">
      <alignment horizontal="right"/>
    </xf>
    <xf numFmtId="0" fontId="22" fillId="2" borderId="1" xfId="0" applyFont="1" applyFill="1" applyBorder="1" applyAlignment="1">
      <alignment horizontal="left"/>
    </xf>
    <xf numFmtId="0" fontId="7" fillId="0" borderId="0" xfId="0" applyFont="1"/>
    <xf numFmtId="164" fontId="7" fillId="0" borderId="20" xfId="0" applyNumberFormat="1" applyFont="1" applyBorder="1" applyAlignment="1">
      <alignment horizontal="right"/>
    </xf>
    <xf numFmtId="164" fontId="7" fillId="0" borderId="21" xfId="0" applyNumberFormat="1" applyFont="1" applyBorder="1" applyAlignment="1">
      <alignment horizontal="right"/>
    </xf>
    <xf numFmtId="164" fontId="21" fillId="0" borderId="19" xfId="0" applyNumberFormat="1" applyFont="1" applyBorder="1" applyAlignment="1">
      <alignment horizontal="left"/>
    </xf>
    <xf numFmtId="164" fontId="1" fillId="10" borderId="19" xfId="0" applyNumberFormat="1" applyFont="1" applyFill="1" applyBorder="1" applyAlignment="1">
      <alignment horizontal="right"/>
    </xf>
    <xf numFmtId="164" fontId="7" fillId="0" borderId="23" xfId="0" applyNumberFormat="1" applyFont="1" applyBorder="1" applyAlignment="1">
      <alignment horizontal="right"/>
    </xf>
    <xf numFmtId="164" fontId="10" fillId="0" borderId="19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164" fontId="1" fillId="0" borderId="19" xfId="0" applyNumberFormat="1" applyFont="1" applyBorder="1"/>
    <xf numFmtId="164" fontId="23" fillId="6" borderId="12" xfId="0" applyNumberFormat="1" applyFont="1" applyFill="1" applyBorder="1" applyAlignment="1">
      <alignment horizontal="left"/>
    </xf>
    <xf numFmtId="164" fontId="24" fillId="6" borderId="12" xfId="0" applyNumberFormat="1" applyFont="1" applyFill="1" applyBorder="1"/>
    <xf numFmtId="164" fontId="25" fillId="6" borderId="24" xfId="0" applyNumberFormat="1" applyFont="1" applyFill="1" applyBorder="1" applyAlignment="1">
      <alignment horizontal="right"/>
    </xf>
    <xf numFmtId="164" fontId="26" fillId="6" borderId="21" xfId="0" applyNumberFormat="1" applyFont="1" applyFill="1" applyBorder="1" applyAlignment="1">
      <alignment horizontal="right"/>
    </xf>
    <xf numFmtId="164" fontId="27" fillId="6" borderId="22" xfId="0" applyNumberFormat="1" applyFont="1" applyFill="1" applyBorder="1" applyAlignment="1">
      <alignment horizontal="right"/>
    </xf>
    <xf numFmtId="0" fontId="29" fillId="0" borderId="0" xfId="0" applyFont="1"/>
    <xf numFmtId="164" fontId="7" fillId="9" borderId="24" xfId="0" applyNumberFormat="1" applyFont="1" applyFill="1" applyBorder="1" applyAlignment="1">
      <alignment horizontal="right"/>
    </xf>
    <xf numFmtId="0" fontId="30" fillId="2" borderId="1" xfId="0" applyFont="1" applyFill="1" applyBorder="1"/>
    <xf numFmtId="0" fontId="7" fillId="0" borderId="23" xfId="0" applyFont="1" applyBorder="1" applyAlignment="1">
      <alignment horizontal="right"/>
    </xf>
    <xf numFmtId="0" fontId="31" fillId="2" borderId="1" xfId="0" applyFont="1" applyFill="1" applyBorder="1" applyAlignment="1">
      <alignment horizontal="left"/>
    </xf>
    <xf numFmtId="0" fontId="32" fillId="0" borderId="0" xfId="0" applyFont="1"/>
    <xf numFmtId="164" fontId="32" fillId="0" borderId="20" xfId="0" applyNumberFormat="1" applyFont="1" applyBorder="1" applyAlignment="1">
      <alignment horizontal="right"/>
    </xf>
    <xf numFmtId="164" fontId="32" fillId="0" borderId="21" xfId="0" applyNumberFormat="1" applyFont="1" applyBorder="1" applyAlignment="1">
      <alignment horizontal="right"/>
    </xf>
    <xf numFmtId="164" fontId="32" fillId="0" borderId="23" xfId="0" applyNumberFormat="1" applyFont="1" applyBorder="1" applyAlignment="1">
      <alignment horizontal="right"/>
    </xf>
    <xf numFmtId="164" fontId="33" fillId="12" borderId="25" xfId="0" applyNumberFormat="1" applyFont="1" applyFill="1" applyBorder="1" applyAlignment="1">
      <alignment horizontal="left"/>
    </xf>
    <xf numFmtId="164" fontId="18" fillId="12" borderId="25" xfId="0" applyNumberFormat="1" applyFont="1" applyFill="1" applyBorder="1"/>
    <xf numFmtId="164" fontId="18" fillId="12" borderId="24" xfId="0" applyNumberFormat="1" applyFont="1" applyFill="1" applyBorder="1" applyAlignment="1">
      <alignment horizontal="right"/>
    </xf>
    <xf numFmtId="164" fontId="18" fillId="12" borderId="21" xfId="0" applyNumberFormat="1" applyFont="1" applyFill="1" applyBorder="1" applyAlignment="1">
      <alignment horizontal="right"/>
    </xf>
    <xf numFmtId="164" fontId="18" fillId="12" borderId="22" xfId="0" applyNumberFormat="1" applyFont="1" applyFill="1" applyBorder="1" applyAlignment="1">
      <alignment horizontal="right"/>
    </xf>
    <xf numFmtId="164" fontId="34" fillId="5" borderId="26" xfId="0" applyNumberFormat="1" applyFont="1" applyFill="1" applyBorder="1" applyAlignment="1">
      <alignment horizontal="left"/>
    </xf>
    <xf numFmtId="164" fontId="20" fillId="5" borderId="26" xfId="0" applyNumberFormat="1" applyFont="1" applyFill="1" applyBorder="1"/>
    <xf numFmtId="164" fontId="20" fillId="5" borderId="24" xfId="0" applyNumberFormat="1" applyFont="1" applyFill="1" applyBorder="1" applyAlignment="1">
      <alignment horizontal="right"/>
    </xf>
    <xf numFmtId="164" fontId="20" fillId="5" borderId="21" xfId="0" applyNumberFormat="1" applyFont="1" applyFill="1" applyBorder="1" applyAlignment="1">
      <alignment horizontal="right"/>
    </xf>
    <xf numFmtId="164" fontId="20" fillId="5" borderId="22" xfId="0" applyNumberFormat="1" applyFont="1" applyFill="1" applyBorder="1" applyAlignment="1">
      <alignment horizontal="right"/>
    </xf>
    <xf numFmtId="165" fontId="3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5" fontId="36" fillId="0" borderId="0" xfId="0" applyNumberFormat="1" applyFont="1" applyAlignment="1">
      <alignment horizontal="right"/>
    </xf>
    <xf numFmtId="166" fontId="7" fillId="0" borderId="27" xfId="0" applyNumberFormat="1" applyFont="1" applyBorder="1" applyAlignment="1">
      <alignment horizontal="right"/>
    </xf>
    <xf numFmtId="167" fontId="7" fillId="0" borderId="21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37" fillId="3" borderId="28" xfId="0" applyNumberFormat="1" applyFont="1" applyFill="1" applyBorder="1" applyAlignment="1">
      <alignment horizontal="left"/>
    </xf>
    <xf numFmtId="164" fontId="38" fillId="3" borderId="28" xfId="0" applyNumberFormat="1" applyFont="1" applyFill="1" applyBorder="1"/>
    <xf numFmtId="164" fontId="38" fillId="3" borderId="24" xfId="0" applyNumberFormat="1" applyFont="1" applyFill="1" applyBorder="1" applyAlignment="1">
      <alignment horizontal="right"/>
    </xf>
    <xf numFmtId="164" fontId="38" fillId="3" borderId="21" xfId="0" applyNumberFormat="1" applyFont="1" applyFill="1" applyBorder="1" applyAlignment="1">
      <alignment horizontal="right"/>
    </xf>
    <xf numFmtId="164" fontId="38" fillId="3" borderId="22" xfId="0" applyNumberFormat="1" applyFont="1" applyFill="1" applyBorder="1" applyAlignment="1">
      <alignment horizontal="right"/>
    </xf>
    <xf numFmtId="164" fontId="39" fillId="0" borderId="29" xfId="0" applyNumberFormat="1" applyFont="1" applyBorder="1" applyAlignment="1">
      <alignment horizontal="left"/>
    </xf>
    <xf numFmtId="164" fontId="40" fillId="0" borderId="29" xfId="0" applyNumberFormat="1" applyFont="1" applyBorder="1"/>
    <xf numFmtId="164" fontId="41" fillId="0" borderId="27" xfId="0" applyNumberFormat="1" applyFont="1" applyBorder="1" applyAlignment="1">
      <alignment horizontal="right"/>
    </xf>
    <xf numFmtId="164" fontId="41" fillId="0" borderId="21" xfId="0" applyNumberFormat="1" applyFont="1" applyBorder="1" applyAlignment="1">
      <alignment horizontal="right"/>
    </xf>
    <xf numFmtId="164" fontId="41" fillId="0" borderId="23" xfId="0" applyNumberFormat="1" applyFont="1" applyBorder="1" applyAlignment="1">
      <alignment horizontal="right"/>
    </xf>
    <xf numFmtId="0" fontId="42" fillId="9" borderId="1" xfId="0" applyFont="1" applyFill="1" applyBorder="1" applyAlignment="1">
      <alignment horizontal="left"/>
    </xf>
    <xf numFmtId="164" fontId="43" fillId="13" borderId="30" xfId="0" applyNumberFormat="1" applyFont="1" applyFill="1" applyBorder="1" applyAlignment="1">
      <alignment horizontal="left"/>
    </xf>
    <xf numFmtId="164" fontId="44" fillId="13" borderId="30" xfId="0" applyNumberFormat="1" applyFont="1" applyFill="1" applyBorder="1"/>
    <xf numFmtId="164" fontId="44" fillId="13" borderId="24" xfId="0" applyNumberFormat="1" applyFont="1" applyFill="1" applyBorder="1" applyAlignment="1">
      <alignment horizontal="right"/>
    </xf>
    <xf numFmtId="164" fontId="44" fillId="13" borderId="21" xfId="0" applyNumberFormat="1" applyFont="1" applyFill="1" applyBorder="1" applyAlignment="1">
      <alignment horizontal="right"/>
    </xf>
    <xf numFmtId="164" fontId="44" fillId="13" borderId="22" xfId="0" applyNumberFormat="1" applyFont="1" applyFill="1" applyBorder="1" applyAlignment="1">
      <alignment horizontal="right"/>
    </xf>
    <xf numFmtId="164" fontId="41" fillId="0" borderId="31" xfId="0" applyNumberFormat="1" applyFont="1" applyBorder="1" applyAlignment="1">
      <alignment horizontal="right"/>
    </xf>
    <xf numFmtId="164" fontId="41" fillId="0" borderId="32" xfId="0" applyNumberFormat="1" applyFont="1" applyBorder="1" applyAlignment="1">
      <alignment horizontal="right"/>
    </xf>
    <xf numFmtId="164" fontId="41" fillId="0" borderId="33" xfId="0" applyNumberFormat="1" applyFont="1" applyBorder="1" applyAlignment="1">
      <alignment horizontal="right"/>
    </xf>
    <xf numFmtId="164" fontId="4" fillId="0" borderId="0" xfId="0" applyNumberFormat="1" applyFont="1"/>
    <xf numFmtId="0" fontId="45" fillId="6" borderId="34" xfId="0" applyFont="1" applyFill="1" applyBorder="1"/>
    <xf numFmtId="164" fontId="10" fillId="0" borderId="0" xfId="0" applyNumberFormat="1" applyFont="1" applyAlignment="1">
      <alignment horizontal="left"/>
    </xf>
    <xf numFmtId="164" fontId="1" fillId="0" borderId="0" xfId="0" applyNumberFormat="1" applyFont="1"/>
    <xf numFmtId="0" fontId="11" fillId="4" borderId="35" xfId="0" applyFont="1" applyFill="1" applyBorder="1" applyAlignment="1">
      <alignment horizontal="center"/>
    </xf>
    <xf numFmtId="0" fontId="46" fillId="14" borderId="1" xfId="0" applyFont="1" applyFill="1" applyBorder="1" applyAlignment="1">
      <alignment horizontal="center"/>
    </xf>
    <xf numFmtId="0" fontId="47" fillId="14" borderId="1" xfId="0" applyFont="1" applyFill="1" applyBorder="1" applyAlignment="1">
      <alignment horizontal="center"/>
    </xf>
    <xf numFmtId="166" fontId="46" fillId="14" borderId="1" xfId="0" applyNumberFormat="1" applyFont="1" applyFill="1" applyBorder="1" applyAlignment="1">
      <alignment horizontal="center"/>
    </xf>
    <xf numFmtId="166" fontId="46" fillId="14" borderId="36" xfId="0" applyNumberFormat="1" applyFont="1" applyFill="1" applyBorder="1" applyAlignment="1">
      <alignment horizontal="right"/>
    </xf>
    <xf numFmtId="164" fontId="10" fillId="0" borderId="37" xfId="0" applyNumberFormat="1" applyFont="1" applyBorder="1" applyAlignment="1">
      <alignment horizontal="right"/>
    </xf>
    <xf numFmtId="164" fontId="1" fillId="2" borderId="19" xfId="0" applyNumberFormat="1" applyFont="1" applyFill="1" applyBorder="1" applyAlignment="1">
      <alignment horizontal="right"/>
    </xf>
    <xf numFmtId="0" fontId="4" fillId="2" borderId="1" xfId="0" applyFont="1" applyFill="1" applyBorder="1"/>
    <xf numFmtId="164" fontId="1" fillId="2" borderId="17" xfId="0" applyNumberFormat="1" applyFont="1" applyFill="1" applyBorder="1" applyAlignment="1">
      <alignment horizontal="right"/>
    </xf>
    <xf numFmtId="164" fontId="49" fillId="0" borderId="0" xfId="0" applyNumberFormat="1" applyFont="1"/>
    <xf numFmtId="0" fontId="3" fillId="0" borderId="38" xfId="0" applyFont="1" applyBorder="1" applyAlignment="1">
      <alignment horizontal="center"/>
    </xf>
    <xf numFmtId="0" fontId="3" fillId="0" borderId="0" xfId="0" applyFont="1"/>
    <xf numFmtId="164" fontId="1" fillId="0" borderId="16" xfId="0" applyNumberFormat="1" applyFont="1" applyBorder="1"/>
    <xf numFmtId="164" fontId="1" fillId="0" borderId="0" xfId="0" applyNumberFormat="1" applyFont="1" applyAlignment="1">
      <alignment horizontal="right"/>
    </xf>
    <xf numFmtId="0" fontId="50" fillId="0" borderId="0" xfId="0" applyFont="1"/>
    <xf numFmtId="4" fontId="4" fillId="0" borderId="0" xfId="0" applyNumberFormat="1" applyFont="1"/>
    <xf numFmtId="0" fontId="8" fillId="2" borderId="39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3" fillId="3" borderId="1" xfId="0" applyFont="1" applyFill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left"/>
    </xf>
    <xf numFmtId="0" fontId="8" fillId="15" borderId="40" xfId="0" applyFont="1" applyFill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0" fillId="0" borderId="39" xfId="0" applyBorder="1"/>
    <xf numFmtId="0" fontId="14" fillId="4" borderId="42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right"/>
    </xf>
    <xf numFmtId="164" fontId="7" fillId="9" borderId="43" xfId="0" applyNumberFormat="1" applyFont="1" applyFill="1" applyBorder="1" applyAlignment="1">
      <alignment horizontal="right"/>
    </xf>
    <xf numFmtId="164" fontId="7" fillId="9" borderId="44" xfId="0" applyNumberFormat="1" applyFont="1" applyFill="1" applyBorder="1" applyAlignment="1">
      <alignment horizontal="right"/>
    </xf>
    <xf numFmtId="164" fontId="28" fillId="9" borderId="12" xfId="0" applyNumberFormat="1" applyFont="1" applyFill="1" applyBorder="1" applyAlignment="1">
      <alignment horizontal="right"/>
    </xf>
    <xf numFmtId="164" fontId="7" fillId="9" borderId="1" xfId="0" applyNumberFormat="1" applyFont="1" applyFill="1" applyBorder="1" applyAlignment="1">
      <alignment horizontal="right"/>
    </xf>
    <xf numFmtId="164" fontId="32" fillId="9" borderId="44" xfId="0" applyNumberFormat="1" applyFont="1" applyFill="1" applyBorder="1" applyAlignment="1">
      <alignment horizontal="right"/>
    </xf>
    <xf numFmtId="164" fontId="18" fillId="9" borderId="25" xfId="0" applyNumberFormat="1" applyFont="1" applyFill="1" applyBorder="1" applyAlignment="1">
      <alignment horizontal="right"/>
    </xf>
    <xf numFmtId="164" fontId="20" fillId="9" borderId="26" xfId="0" applyNumberFormat="1" applyFont="1" applyFill="1" applyBorder="1" applyAlignment="1">
      <alignment horizontal="right"/>
    </xf>
    <xf numFmtId="164" fontId="38" fillId="9" borderId="28" xfId="0" applyNumberFormat="1" applyFont="1" applyFill="1" applyBorder="1" applyAlignment="1">
      <alignment horizontal="right"/>
    </xf>
    <xf numFmtId="164" fontId="41" fillId="9" borderId="29" xfId="0" applyNumberFormat="1" applyFont="1" applyFill="1" applyBorder="1" applyAlignment="1">
      <alignment horizontal="right"/>
    </xf>
    <xf numFmtId="164" fontId="44" fillId="9" borderId="30" xfId="0" applyNumberFormat="1" applyFont="1" applyFill="1" applyBorder="1" applyAlignment="1">
      <alignment horizontal="right"/>
    </xf>
    <xf numFmtId="0" fontId="14" fillId="2" borderId="45" xfId="0" applyFont="1" applyFill="1" applyBorder="1" applyAlignment="1">
      <alignment horizontal="center"/>
    </xf>
    <xf numFmtId="164" fontId="20" fillId="5" borderId="46" xfId="0" applyNumberFormat="1" applyFont="1" applyFill="1" applyBorder="1" applyAlignment="1">
      <alignment horizontal="right"/>
    </xf>
    <xf numFmtId="164" fontId="7" fillId="9" borderId="47" xfId="0" applyNumberFormat="1" applyFont="1" applyFill="1" applyBorder="1" applyAlignment="1">
      <alignment horizontal="right"/>
    </xf>
    <xf numFmtId="164" fontId="7" fillId="0" borderId="47" xfId="0" applyNumberFormat="1" applyFont="1" applyBorder="1" applyAlignment="1">
      <alignment horizontal="right"/>
    </xf>
    <xf numFmtId="164" fontId="27" fillId="6" borderId="47" xfId="0" applyNumberFormat="1" applyFont="1" applyFill="1" applyBorder="1" applyAlignment="1">
      <alignment horizontal="right"/>
    </xf>
    <xf numFmtId="164" fontId="32" fillId="0" borderId="47" xfId="0" applyNumberFormat="1" applyFont="1" applyBorder="1" applyAlignment="1">
      <alignment horizontal="right"/>
    </xf>
    <xf numFmtId="164" fontId="18" fillId="12" borderId="47" xfId="0" applyNumberFormat="1" applyFont="1" applyFill="1" applyBorder="1" applyAlignment="1">
      <alignment horizontal="right"/>
    </xf>
    <xf numFmtId="164" fontId="20" fillId="5" borderId="47" xfId="0" applyNumberFormat="1" applyFont="1" applyFill="1" applyBorder="1" applyAlignment="1">
      <alignment horizontal="right"/>
    </xf>
    <xf numFmtId="164" fontId="38" fillId="3" borderId="47" xfId="0" applyNumberFormat="1" applyFont="1" applyFill="1" applyBorder="1" applyAlignment="1">
      <alignment horizontal="right"/>
    </xf>
    <xf numFmtId="164" fontId="41" fillId="0" borderId="47" xfId="0" applyNumberFormat="1" applyFont="1" applyBorder="1" applyAlignment="1">
      <alignment horizontal="right"/>
    </xf>
    <xf numFmtId="164" fontId="44" fillId="13" borderId="47" xfId="0" applyNumberFormat="1" applyFont="1" applyFill="1" applyBorder="1" applyAlignment="1">
      <alignment horizontal="right"/>
    </xf>
    <xf numFmtId="164" fontId="41" fillId="0" borderId="48" xfId="0" applyNumberFormat="1" applyFont="1" applyBorder="1" applyAlignment="1">
      <alignment horizontal="right"/>
    </xf>
    <xf numFmtId="0" fontId="6" fillId="15" borderId="0" xfId="0" applyFont="1" applyFill="1" applyAlignment="1">
      <alignment horizontal="center"/>
    </xf>
    <xf numFmtId="0" fontId="6" fillId="15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947183-5BCB-3E4E-8682-C79C0C29660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04cf292-d097-4f33-b791-83f1cff3542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tur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58.33203125" customWidth="1"/>
    <col min="2" max="2" width="41.6640625" customWidth="1"/>
    <col min="3" max="6" width="10.5" customWidth="1"/>
    <col min="7" max="26" width="11.1640625" customWidth="1"/>
  </cols>
  <sheetData>
    <row r="1" spans="1:26" ht="15.75" customHeight="1" x14ac:dyDescent="0.2">
      <c r="A1" s="2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9"/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3" t="s">
        <v>1</v>
      </c>
      <c r="B3" s="1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16" t="s">
        <v>2</v>
      </c>
      <c r="B4" s="21" t="str">
        <f>IF(OR(_xlfn.ISFORMULA('Piano Finanziario'!C4),_xlfn.ISFORMULA('Piano Finanziario'!D4),_xlfn.ISFORMULA('Piano Finanziario'!E4)),"ERRORE","OK")</f>
        <v>OK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16" t="s">
        <v>3</v>
      </c>
      <c r="B5" s="21" t="str">
        <f>IF('Piano Finanziario'!F4='Piano Finanziario'!E37,"OK","ERRORE")</f>
        <v>OK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16" t="s">
        <v>4</v>
      </c>
      <c r="B6" s="21" t="str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>OK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9" t="s">
        <v>5</v>
      </c>
      <c r="B7" s="21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9"/>
      <c r="B8" s="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13" t="s">
        <v>7</v>
      </c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16" t="s">
        <v>8</v>
      </c>
      <c r="B10" s="21" t="str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>OK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9"/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13" t="s">
        <v>9</v>
      </c>
      <c r="B12" s="1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16" t="s">
        <v>10</v>
      </c>
      <c r="B13" s="21" t="str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>OK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9"/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13" t="s">
        <v>11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16" t="s">
        <v>12</v>
      </c>
      <c r="B16" s="21" t="str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>OK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9"/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13"/>
      <c r="B18" s="1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9"/>
      <c r="B19" s="6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13" t="s">
        <v>13</v>
      </c>
      <c r="B21" s="1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16" t="s">
        <v>14</v>
      </c>
      <c r="B22" s="21" t="str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>OK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16" t="s">
        <v>15</v>
      </c>
      <c r="B23" s="21" t="str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>OK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16" t="s">
        <v>16</v>
      </c>
      <c r="B24" s="21" t="str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>OK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16" t="s">
        <v>17</v>
      </c>
      <c r="B25" s="21" t="str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>OK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16" t="s">
        <v>18</v>
      </c>
      <c r="B26" s="21" t="str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>OK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16" t="s">
        <v>19</v>
      </c>
      <c r="B27" s="21" t="str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>OK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16" t="s">
        <v>20</v>
      </c>
      <c r="B28" s="21" t="str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>OK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16" t="s">
        <v>21</v>
      </c>
      <c r="B29" s="21" t="str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>OK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16" t="s">
        <v>22</v>
      </c>
      <c r="B30" s="21" t="str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>OK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16" t="s">
        <v>23</v>
      </c>
      <c r="B31" s="21" t="str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>OK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9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13" t="s">
        <v>24</v>
      </c>
      <c r="B33" s="1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16" t="s">
        <v>25</v>
      </c>
      <c r="B34" s="21" t="str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>OK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9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13" t="s">
        <v>26</v>
      </c>
      <c r="B36" s="1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16" t="s">
        <v>27</v>
      </c>
      <c r="B37" s="21" t="str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>OK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9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13" t="s">
        <v>28</v>
      </c>
      <c r="B39" s="1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16" t="s">
        <v>29</v>
      </c>
      <c r="B40" s="21" t="str">
        <f>IF('Piano Finanziario'!L12=SUM('Piano Finanziario'!C12:'Piano Finanziario'!K12),"OK","ERRORE")</f>
        <v>ERRORE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16" t="s">
        <v>30</v>
      </c>
      <c r="B41" s="21" t="str">
        <f>IF('Piano Finanziario'!L27=SUM('Piano Finanziario'!C27:'Piano Finanziario'!K27),"OK","ERRORE")</f>
        <v>ERRORE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16" t="s">
        <v>31</v>
      </c>
      <c r="B42" s="21" t="str">
        <f>IF('Piano Finanziario'!L29='Piano Finanziario'!L12-'Piano Finanziario'!L27,"OK","ERRORE")</f>
        <v>OK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9"/>
      <c r="B43" s="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111" t="str">
        <f>CONCATENATE("RISULTATO COMPLESSIVO")</f>
        <v>RISULTATO COMPLESSIVO</v>
      </c>
      <c r="B44" s="111" t="str">
        <f>IF(COUNTIF(B4:B42,"ERRORE")=0,"✓ TUTTI I "&amp;COUNTA(B4:B42)&amp;" CONTROLLI OK","✗ "&amp;COUNTIF(B4:B42,"ERRORE")&amp;" ERRORI TROVATI su "&amp;COUNTA(B4:B42)&amp;" verifiche")</f>
        <v>✗ 2 ERRORI TROVATI su 22 verifiche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/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AF1000"/>
  <sheetViews>
    <sheetView workbookViewId="0">
      <pane xSplit="1" ySplit="3" topLeftCell="D10" activePane="bottomRight" state="frozen"/>
      <selection pane="topRight" activeCell="B1" sqref="B1"/>
      <selection pane="bottomLeft" activeCell="A4" sqref="A4"/>
      <selection pane="bottomRight" activeCell="N32" sqref="N32"/>
    </sheetView>
  </sheetViews>
  <sheetFormatPr baseColWidth="10" defaultColWidth="11.1640625" defaultRowHeight="15" customHeight="1" x14ac:dyDescent="0.2"/>
  <cols>
    <col min="1" max="6" width="15.33203125" customWidth="1"/>
    <col min="7" max="9" width="16.33203125" customWidth="1"/>
    <col min="10" max="10" width="14.83203125" customWidth="1"/>
    <col min="11" max="11" width="15.33203125" customWidth="1"/>
    <col min="12" max="17" width="14.83203125" customWidth="1"/>
    <col min="18" max="18" width="14.5" bestFit="1" customWidth="1"/>
    <col min="19" max="26" width="11.1640625" customWidth="1"/>
  </cols>
  <sheetData>
    <row r="1" spans="1:32" ht="30" customHeight="1" x14ac:dyDescent="0.25">
      <c r="A1" s="6" t="s">
        <v>32</v>
      </c>
      <c r="B1" s="7"/>
      <c r="C1" s="130">
        <v>2026</v>
      </c>
      <c r="D1" s="131"/>
      <c r="E1" s="131"/>
      <c r="F1" s="131"/>
      <c r="G1" s="131"/>
      <c r="H1" s="131"/>
      <c r="I1" s="131"/>
      <c r="J1" s="131"/>
      <c r="K1" s="131"/>
      <c r="L1" s="137">
        <v>2027</v>
      </c>
      <c r="M1" s="131"/>
      <c r="N1" s="131"/>
      <c r="O1" s="131"/>
      <c r="P1" s="131"/>
      <c r="Q1" s="139"/>
      <c r="R1" s="131"/>
      <c r="S1" s="131"/>
      <c r="T1" s="132"/>
      <c r="U1" s="8"/>
      <c r="V1" s="8"/>
      <c r="W1" s="8"/>
      <c r="X1" s="5"/>
      <c r="Y1" s="5"/>
      <c r="Z1" s="5"/>
      <c r="AA1" s="5"/>
      <c r="AB1" s="5"/>
      <c r="AC1" s="5"/>
      <c r="AD1" s="5"/>
      <c r="AE1" s="5"/>
      <c r="AF1" s="5"/>
    </row>
    <row r="2" spans="1:32" ht="24" customHeight="1" thickBot="1" x14ac:dyDescent="0.25">
      <c r="A2" s="133"/>
      <c r="B2" s="7"/>
      <c r="C2" s="14" t="s">
        <v>33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 t="s">
        <v>40</v>
      </c>
      <c r="K2" s="18" t="s">
        <v>41</v>
      </c>
      <c r="L2" s="15" t="s">
        <v>42</v>
      </c>
      <c r="M2" s="15" t="s">
        <v>43</v>
      </c>
      <c r="N2" s="15" t="s">
        <v>44</v>
      </c>
      <c r="O2" s="15" t="s">
        <v>33</v>
      </c>
      <c r="P2" s="18" t="s">
        <v>34</v>
      </c>
      <c r="Q2" s="140" t="s">
        <v>35</v>
      </c>
      <c r="R2" s="138" t="s">
        <v>45</v>
      </c>
      <c r="S2" s="8"/>
      <c r="T2" s="8"/>
      <c r="U2" s="8"/>
      <c r="V2" s="8"/>
      <c r="W2" s="8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 x14ac:dyDescent="0.2">
      <c r="A3" s="134"/>
      <c r="B3" s="22"/>
      <c r="C3" s="23"/>
      <c r="D3" s="23"/>
      <c r="E3" s="23"/>
      <c r="F3" s="23"/>
      <c r="G3" s="23"/>
      <c r="H3" s="23"/>
      <c r="I3" s="23"/>
      <c r="J3" s="23"/>
      <c r="K3" s="25"/>
      <c r="L3" s="23"/>
      <c r="M3" s="23"/>
      <c r="N3" s="23"/>
      <c r="O3" s="23"/>
      <c r="P3" s="25"/>
      <c r="Q3" s="152"/>
      <c r="R3" s="22"/>
      <c r="S3" s="8"/>
      <c r="T3" s="8"/>
      <c r="U3" s="8"/>
      <c r="V3" s="8"/>
      <c r="W3" s="8"/>
      <c r="X3" s="5"/>
      <c r="Y3" s="5"/>
      <c r="Z3" s="5"/>
      <c r="AA3" s="5"/>
      <c r="AB3" s="5"/>
      <c r="AC3" s="5"/>
      <c r="AD3" s="5"/>
      <c r="AE3" s="5"/>
      <c r="AF3" s="5"/>
    </row>
    <row r="4" spans="1:32" ht="21.75" customHeight="1" x14ac:dyDescent="0.2">
      <c r="A4" s="26" t="s">
        <v>46</v>
      </c>
      <c r="B4" s="28"/>
      <c r="C4" s="30">
        <v>339337.46</v>
      </c>
      <c r="D4" s="31">
        <v>581125.86</v>
      </c>
      <c r="E4" s="31">
        <v>863258.63000000012</v>
      </c>
      <c r="F4" s="31">
        <f t="shared" ref="F4:Q4" si="0">E37</f>
        <v>863258.63000000012</v>
      </c>
      <c r="G4" s="31">
        <f t="shared" si="0"/>
        <v>891491.20000000019</v>
      </c>
      <c r="H4" s="31">
        <f t="shared" si="0"/>
        <v>1406533.6300000001</v>
      </c>
      <c r="I4" s="31">
        <f t="shared" si="0"/>
        <v>1643733.09</v>
      </c>
      <c r="J4" s="36">
        <f t="shared" si="0"/>
        <v>1372057.0100000002</v>
      </c>
      <c r="K4" s="36">
        <f t="shared" si="0"/>
        <v>952782.05000000028</v>
      </c>
      <c r="L4" s="36">
        <f t="shared" si="0"/>
        <v>-120323.94999999972</v>
      </c>
      <c r="M4" s="36">
        <f t="shared" si="0"/>
        <v>-120702.14999999972</v>
      </c>
      <c r="N4" s="36">
        <f t="shared" si="0"/>
        <v>-121080.34999999971</v>
      </c>
      <c r="O4" s="36">
        <f t="shared" si="0"/>
        <v>-121458.54999999971</v>
      </c>
      <c r="P4" s="36">
        <f t="shared" si="0"/>
        <v>-121836.74999999971</v>
      </c>
      <c r="Q4" s="153">
        <f t="shared" si="0"/>
        <v>-122214.94999999971</v>
      </c>
      <c r="R4" s="141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7.5" customHeight="1" x14ac:dyDescent="0.2">
      <c r="A5" s="40"/>
      <c r="B5" s="41"/>
      <c r="C5" s="43"/>
      <c r="D5" s="44"/>
      <c r="E5" s="44"/>
      <c r="F5" s="44"/>
      <c r="G5" s="44"/>
      <c r="H5" s="44"/>
      <c r="I5" s="44"/>
      <c r="J5" s="48"/>
      <c r="K5" s="48"/>
      <c r="L5" s="48"/>
      <c r="M5" s="48"/>
      <c r="N5" s="48"/>
      <c r="O5" s="48"/>
      <c r="P5" s="48"/>
      <c r="Q5" s="154"/>
      <c r="R5" s="142"/>
      <c r="S5" s="49"/>
      <c r="T5" s="49"/>
      <c r="U5" s="49"/>
      <c r="V5" s="49"/>
      <c r="W5" s="49"/>
      <c r="X5" s="5"/>
      <c r="Y5" s="5"/>
      <c r="Z5" s="5"/>
      <c r="AA5" s="5"/>
      <c r="AB5" s="5"/>
      <c r="AC5" s="5"/>
      <c r="AD5" s="5"/>
      <c r="AE5" s="5"/>
      <c r="AF5" s="5"/>
    </row>
    <row r="6" spans="1:32" ht="21.75" customHeight="1" x14ac:dyDescent="0.2">
      <c r="A6" s="51" t="s">
        <v>47</v>
      </c>
      <c r="B6" s="52"/>
      <c r="C6" s="53"/>
      <c r="D6" s="54"/>
      <c r="E6" s="54"/>
      <c r="F6" s="54">
        <v>750000</v>
      </c>
      <c r="G6" s="54">
        <v>830000</v>
      </c>
      <c r="H6" s="54">
        <v>580000</v>
      </c>
      <c r="I6" s="54">
        <f>110000+160000</f>
        <v>270000</v>
      </c>
      <c r="J6" s="57"/>
      <c r="K6" s="57"/>
      <c r="L6" s="57"/>
      <c r="M6" s="57"/>
      <c r="N6" s="57"/>
      <c r="O6" s="57"/>
      <c r="P6" s="57"/>
      <c r="Q6" s="155"/>
      <c r="R6" s="142">
        <f t="shared" ref="R6:R12" si="1">SUM(C6:Q6)</f>
        <v>2430000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21.75" customHeight="1" x14ac:dyDescent="0.2">
      <c r="A7" s="51" t="s">
        <v>48</v>
      </c>
      <c r="B7" s="52"/>
      <c r="C7" s="53"/>
      <c r="D7" s="54"/>
      <c r="E7" s="54"/>
      <c r="F7" s="54">
        <v>120000</v>
      </c>
      <c r="G7" s="54">
        <v>140000</v>
      </c>
      <c r="H7" s="54">
        <v>100000</v>
      </c>
      <c r="I7" s="54">
        <f>26000+17000</f>
        <v>43000</v>
      </c>
      <c r="J7" s="57"/>
      <c r="K7" s="57"/>
      <c r="L7" s="57"/>
      <c r="M7" s="57"/>
      <c r="N7" s="57"/>
      <c r="O7" s="57"/>
      <c r="P7" s="57"/>
      <c r="Q7" s="155"/>
      <c r="R7" s="142">
        <f t="shared" si="1"/>
        <v>403000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1.75" customHeight="1" x14ac:dyDescent="0.2">
      <c r="A8" s="51" t="s">
        <v>49</v>
      </c>
      <c r="B8" s="52"/>
      <c r="C8" s="53"/>
      <c r="D8" s="54"/>
      <c r="E8" s="54"/>
      <c r="F8" s="54">
        <v>45000</v>
      </c>
      <c r="G8" s="54">
        <v>48000</v>
      </c>
      <c r="H8" s="54">
        <v>30000</v>
      </c>
      <c r="I8" s="54">
        <f>5798+10000</f>
        <v>15798</v>
      </c>
      <c r="J8" s="57"/>
      <c r="K8" s="57"/>
      <c r="L8" s="57"/>
      <c r="M8" s="57"/>
      <c r="N8" s="57"/>
      <c r="O8" s="57"/>
      <c r="P8" s="57"/>
      <c r="Q8" s="155"/>
      <c r="R8" s="142">
        <f t="shared" si="1"/>
        <v>138798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1.75" customHeight="1" x14ac:dyDescent="0.2">
      <c r="A9" s="51" t="s">
        <v>50</v>
      </c>
      <c r="B9" s="52"/>
      <c r="C9" s="53"/>
      <c r="D9" s="54"/>
      <c r="E9" s="54"/>
      <c r="F9" s="54">
        <v>25620</v>
      </c>
      <c r="G9" s="54">
        <v>25620</v>
      </c>
      <c r="H9" s="54">
        <v>25620</v>
      </c>
      <c r="I9" s="54">
        <v>25620</v>
      </c>
      <c r="J9" s="57">
        <v>25620</v>
      </c>
      <c r="K9" s="57">
        <v>25620</v>
      </c>
      <c r="L9" s="57"/>
      <c r="M9" s="57"/>
      <c r="N9" s="57"/>
      <c r="O9" s="57"/>
      <c r="P9" s="57"/>
      <c r="Q9" s="155"/>
      <c r="R9" s="143">
        <f t="shared" si="1"/>
        <v>153720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1.75" customHeight="1" x14ac:dyDescent="0.2">
      <c r="A10" s="51" t="s">
        <v>51</v>
      </c>
      <c r="B10" s="52"/>
      <c r="C10" s="53"/>
      <c r="D10" s="54"/>
      <c r="E10" s="54"/>
      <c r="F10" s="54"/>
      <c r="G10" s="54"/>
      <c r="H10" s="54"/>
      <c r="I10" s="54"/>
      <c r="J10" s="57"/>
      <c r="K10" s="57"/>
      <c r="L10" s="57"/>
      <c r="M10" s="57"/>
      <c r="N10" s="57"/>
      <c r="O10" s="57"/>
      <c r="P10" s="57"/>
      <c r="Q10" s="155"/>
      <c r="R10" s="143">
        <f t="shared" si="1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1.75" customHeight="1" x14ac:dyDescent="0.2">
      <c r="A11" s="51" t="s">
        <v>52</v>
      </c>
      <c r="B11" s="52"/>
      <c r="C11" s="53"/>
      <c r="D11" s="54"/>
      <c r="E11" s="54"/>
      <c r="F11" s="54"/>
      <c r="G11" s="54"/>
      <c r="H11" s="54"/>
      <c r="I11" s="54"/>
      <c r="J11" s="57"/>
      <c r="K11" s="57"/>
      <c r="L11" s="57"/>
      <c r="M11" s="57"/>
      <c r="N11" s="57"/>
      <c r="O11" s="57"/>
      <c r="P11" s="57"/>
      <c r="Q11" s="155"/>
      <c r="R11" s="143">
        <f t="shared" si="1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1.75" customHeight="1" thickBot="1" x14ac:dyDescent="0.25">
      <c r="A12" s="61" t="s">
        <v>53</v>
      </c>
      <c r="B12" s="62"/>
      <c r="C12" s="63">
        <f t="shared" ref="C12:Q12" si="2">SUM(C6:C11)</f>
        <v>0</v>
      </c>
      <c r="D12" s="64">
        <f t="shared" si="2"/>
        <v>0</v>
      </c>
      <c r="E12" s="64">
        <f t="shared" si="2"/>
        <v>0</v>
      </c>
      <c r="F12" s="64">
        <f t="shared" si="2"/>
        <v>940620</v>
      </c>
      <c r="G12" s="64">
        <f t="shared" si="2"/>
        <v>1043620</v>
      </c>
      <c r="H12" s="64">
        <f t="shared" si="2"/>
        <v>735620</v>
      </c>
      <c r="I12" s="64">
        <f t="shared" si="2"/>
        <v>354418</v>
      </c>
      <c r="J12" s="65">
        <f t="shared" si="2"/>
        <v>25620</v>
      </c>
      <c r="K12" s="65">
        <f t="shared" si="2"/>
        <v>25620</v>
      </c>
      <c r="L12" s="65">
        <f t="shared" si="2"/>
        <v>0</v>
      </c>
      <c r="M12" s="65">
        <f t="shared" si="2"/>
        <v>0</v>
      </c>
      <c r="N12" s="65">
        <f t="shared" si="2"/>
        <v>0</v>
      </c>
      <c r="O12" s="65">
        <f t="shared" si="2"/>
        <v>0</v>
      </c>
      <c r="P12" s="65">
        <f t="shared" si="2"/>
        <v>0</v>
      </c>
      <c r="Q12" s="156">
        <f t="shared" si="2"/>
        <v>0</v>
      </c>
      <c r="R12" s="144">
        <f t="shared" si="1"/>
        <v>3125518</v>
      </c>
      <c r="S12" s="66"/>
      <c r="T12" s="66"/>
      <c r="U12" s="66"/>
      <c r="V12" s="66"/>
      <c r="W12" s="66"/>
      <c r="X12" s="5"/>
      <c r="Y12" s="5"/>
      <c r="Z12" s="5"/>
      <c r="AA12" s="5"/>
      <c r="AB12" s="5"/>
      <c r="AC12" s="5"/>
      <c r="AD12" s="5"/>
      <c r="AE12" s="5"/>
      <c r="AF12" s="5"/>
    </row>
    <row r="13" spans="1:32" ht="7.5" customHeight="1" thickTop="1" x14ac:dyDescent="0.2">
      <c r="A13" s="40"/>
      <c r="B13" s="41"/>
      <c r="C13" s="67"/>
      <c r="D13" s="44"/>
      <c r="E13" s="44"/>
      <c r="F13" s="44"/>
      <c r="G13" s="44"/>
      <c r="H13" s="44"/>
      <c r="I13" s="44"/>
      <c r="J13" s="48"/>
      <c r="K13" s="48"/>
      <c r="L13" s="48"/>
      <c r="M13" s="48"/>
      <c r="N13" s="48"/>
      <c r="O13" s="48"/>
      <c r="P13" s="48"/>
      <c r="Q13" s="154"/>
      <c r="R13" s="14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1.75" customHeight="1" x14ac:dyDescent="0.2">
      <c r="A14" s="51" t="s">
        <v>54</v>
      </c>
      <c r="B14" s="52"/>
      <c r="C14" s="53">
        <f>'Salari e Stipendi'!D4</f>
        <v>0</v>
      </c>
      <c r="D14" s="54">
        <f>'Salari e Stipendi'!E4</f>
        <v>0</v>
      </c>
      <c r="E14" s="54">
        <f>'Salari e Stipendi'!F4</f>
        <v>0</v>
      </c>
      <c r="F14" s="54">
        <f>'Salari e Stipendi'!G4</f>
        <v>153671.34</v>
      </c>
      <c r="G14" s="54">
        <f>'Salari e Stipendi'!H4</f>
        <v>155000</v>
      </c>
      <c r="H14" s="54">
        <f>'Salari e Stipendi'!I4</f>
        <v>140000</v>
      </c>
      <c r="I14" s="54">
        <f>'Salari e Stipendi'!J4</f>
        <v>115000</v>
      </c>
      <c r="J14" s="57">
        <f>'Salari e Stipendi'!K4</f>
        <v>175000</v>
      </c>
      <c r="K14" s="57">
        <f>'Salari e Stipendi'!L4</f>
        <v>58000</v>
      </c>
      <c r="L14" s="57">
        <f>'Salari e Stipendi'!M4</f>
        <v>0</v>
      </c>
      <c r="M14" s="57">
        <f>'Salari e Stipendi'!N4</f>
        <v>0</v>
      </c>
      <c r="N14" s="57">
        <f>'Salari e Stipendi'!O4</f>
        <v>0</v>
      </c>
      <c r="O14" s="57">
        <f>'Salari e Stipendi'!P4</f>
        <v>0</v>
      </c>
      <c r="P14" s="57">
        <f>'Salari e Stipendi'!Q4</f>
        <v>0</v>
      </c>
      <c r="Q14" s="155">
        <f>'Salari e Stipendi'!R4</f>
        <v>0</v>
      </c>
      <c r="R14" s="142">
        <f t="shared" ref="R14:R24" si="3">SUM(C14:Q14)</f>
        <v>796671.34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1.75" customHeight="1" x14ac:dyDescent="0.2">
      <c r="A15" s="51" t="s">
        <v>55</v>
      </c>
      <c r="B15" s="52"/>
      <c r="C15" s="53">
        <f>Utenze!D3</f>
        <v>0</v>
      </c>
      <c r="D15" s="54">
        <f>Utenze!E3</f>
        <v>0</v>
      </c>
      <c r="E15" s="54">
        <f>Utenze!F3</f>
        <v>0</v>
      </c>
      <c r="F15" s="54">
        <f>Utenze!G3</f>
        <v>34025.61</v>
      </c>
      <c r="G15" s="54">
        <f>Utenze!H3</f>
        <v>40779.020000000004</v>
      </c>
      <c r="H15" s="54">
        <f>Utenze!I3</f>
        <v>25500</v>
      </c>
      <c r="I15" s="54">
        <f>Utenze!J3</f>
        <v>27000</v>
      </c>
      <c r="J15" s="57">
        <f>Utenze!K3</f>
        <v>26500</v>
      </c>
      <c r="K15" s="57">
        <f>Utenze!L3</f>
        <v>37000</v>
      </c>
      <c r="L15" s="57">
        <f>Utenze!M3</f>
        <v>0</v>
      </c>
      <c r="M15" s="57">
        <f>Utenze!N3</f>
        <v>0</v>
      </c>
      <c r="N15" s="57">
        <f>Utenze!O3</f>
        <v>0</v>
      </c>
      <c r="O15" s="57">
        <f>Utenze!P3</f>
        <v>0</v>
      </c>
      <c r="P15" s="57">
        <f>Utenze!Q3</f>
        <v>0</v>
      </c>
      <c r="Q15" s="155">
        <f>Utenze!R3</f>
        <v>0</v>
      </c>
      <c r="R15" s="142">
        <f t="shared" si="3"/>
        <v>190804.63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1.75" customHeight="1" x14ac:dyDescent="0.2">
      <c r="A16" s="51" t="s">
        <v>56</v>
      </c>
      <c r="B16" s="52"/>
      <c r="C16" s="53">
        <f>MAX('Materie Prime-Consumo '!D3,'Materie Prime-Consumo '!D4)</f>
        <v>0</v>
      </c>
      <c r="D16" s="54">
        <f>MAX('Materie Prime-Consumo '!E3,'Materie Prime-Consumo '!E4)</f>
        <v>0</v>
      </c>
      <c r="E16" s="54">
        <f>MAX('Materie Prime-Consumo '!F3,'Materie Prime-Consumo '!F4)</f>
        <v>0</v>
      </c>
      <c r="F16" s="54">
        <f>MAX('Materie Prime-Consumo '!G3,'Materie Prime-Consumo '!G4)</f>
        <v>120000</v>
      </c>
      <c r="G16" s="54">
        <f>MAX('Materie Prime-Consumo '!H3,'Materie Prime-Consumo '!H4)</f>
        <v>145000</v>
      </c>
      <c r="H16" s="54">
        <f>MAX('Materie Prime-Consumo '!I3,'Materie Prime-Consumo '!I4)</f>
        <v>140000</v>
      </c>
      <c r="I16" s="54">
        <f>MAX('Materie Prime-Consumo '!J3,'Materie Prime-Consumo '!J4)</f>
        <v>135000</v>
      </c>
      <c r="J16" s="57">
        <f>MAX('Materie Prime-Consumo '!K3,'Materie Prime-Consumo '!K4)</f>
        <v>75000</v>
      </c>
      <c r="K16" s="57">
        <f>MAX('Materie Prime-Consumo '!L3,'Materie Prime-Consumo '!L4)</f>
        <v>60000</v>
      </c>
      <c r="L16" s="57">
        <f>MAX('Materie Prime-Consumo '!M3,'Materie Prime-Consumo '!M4)</f>
        <v>0</v>
      </c>
      <c r="M16" s="57">
        <f>MAX('Materie Prime-Consumo '!N3,'Materie Prime-Consumo '!N4)</f>
        <v>0</v>
      </c>
      <c r="N16" s="57">
        <f>MAX('Materie Prime-Consumo '!O3,'Materie Prime-Consumo '!O4)</f>
        <v>0</v>
      </c>
      <c r="O16" s="57">
        <f>MAX('Materie Prime-Consumo '!P3,'Materie Prime-Consumo '!P4)</f>
        <v>0</v>
      </c>
      <c r="P16" s="57">
        <f>MAX('Materie Prime-Consumo '!Q3,'Materie Prime-Consumo '!Q4)</f>
        <v>0</v>
      </c>
      <c r="Q16" s="155">
        <f>MAX('Materie Prime-Consumo '!R3,'Materie Prime-Consumo '!R4)</f>
        <v>0</v>
      </c>
      <c r="R16" s="142">
        <f t="shared" si="3"/>
        <v>675000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1.75" customHeight="1" x14ac:dyDescent="0.2">
      <c r="A17" s="51" t="s">
        <v>57</v>
      </c>
      <c r="B17" s="52"/>
      <c r="C17" s="53">
        <f>'Tasse e Imposte'!D3</f>
        <v>0</v>
      </c>
      <c r="D17" s="54">
        <f>'Tasse e Imposte'!E3</f>
        <v>0</v>
      </c>
      <c r="E17" s="54">
        <f>'Tasse e Imposte'!F3</f>
        <v>0</v>
      </c>
      <c r="F17" s="54">
        <f>'Tasse e Imposte'!G3</f>
        <v>95437.2</v>
      </c>
      <c r="G17" s="54">
        <f>'Tasse e Imposte'!H3</f>
        <v>48571.240000000005</v>
      </c>
      <c r="H17" s="54">
        <f>'Tasse e Imposte'!I3</f>
        <v>133000.94</v>
      </c>
      <c r="I17" s="54">
        <f>'Tasse e Imposte'!J3</f>
        <v>55260.639999999999</v>
      </c>
      <c r="J17" s="57">
        <f>'Tasse e Imposte'!K3</f>
        <v>82590.34</v>
      </c>
      <c r="K17" s="57">
        <f>'Tasse e Imposte'!L3</f>
        <v>0</v>
      </c>
      <c r="L17" s="57">
        <f>'Tasse e Imposte'!M3</f>
        <v>0</v>
      </c>
      <c r="M17" s="57">
        <f>'Tasse e Imposte'!N3</f>
        <v>0</v>
      </c>
      <c r="N17" s="57">
        <f>'Tasse e Imposte'!O3</f>
        <v>0</v>
      </c>
      <c r="O17" s="57">
        <f>'Tasse e Imposte'!P3</f>
        <v>0</v>
      </c>
      <c r="P17" s="57">
        <f>'Tasse e Imposte'!Q3</f>
        <v>0</v>
      </c>
      <c r="Q17" s="155">
        <f>'Tasse e Imposte'!R3</f>
        <v>0</v>
      </c>
      <c r="R17" s="142">
        <f t="shared" si="3"/>
        <v>414860.36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1.75" customHeight="1" x14ac:dyDescent="0.2">
      <c r="A18" s="51" t="s">
        <v>58</v>
      </c>
      <c r="B18" s="52"/>
      <c r="C18" s="53">
        <f>'Commisisoni Portali'!D3</f>
        <v>0</v>
      </c>
      <c r="D18" s="54">
        <f>'Commisisoni Portali'!E3</f>
        <v>0</v>
      </c>
      <c r="E18" s="54">
        <f>'Commisisoni Portali'!F3</f>
        <v>0</v>
      </c>
      <c r="F18" s="54">
        <f>'Commisisoni Portali'!G3</f>
        <v>43897</v>
      </c>
      <c r="G18" s="54">
        <f>'Commisisoni Portali'!H3</f>
        <v>44300</v>
      </c>
      <c r="H18" s="54">
        <f>'Commisisoni Portali'!I3</f>
        <v>10500</v>
      </c>
      <c r="I18" s="54">
        <f>'Commisisoni Portali'!J3</f>
        <v>28000</v>
      </c>
      <c r="J18" s="57">
        <f>'Commisisoni Portali'!K3</f>
        <v>14000</v>
      </c>
      <c r="K18" s="57">
        <f>'Commisisoni Portali'!L3</f>
        <v>8200</v>
      </c>
      <c r="L18" s="57">
        <f>'Commisisoni Portali'!M3</f>
        <v>0</v>
      </c>
      <c r="M18" s="57">
        <f>'Commisisoni Portali'!N3</f>
        <v>0</v>
      </c>
      <c r="N18" s="57">
        <f>'Commisisoni Portali'!O3</f>
        <v>0</v>
      </c>
      <c r="O18" s="57">
        <f>'Commisisoni Portali'!P3</f>
        <v>0</v>
      </c>
      <c r="P18" s="57">
        <f>'Commisisoni Portali'!Q3</f>
        <v>0</v>
      </c>
      <c r="Q18" s="155">
        <f>'Commisisoni Portali'!R3</f>
        <v>0</v>
      </c>
      <c r="R18" s="142">
        <f t="shared" si="3"/>
        <v>148897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1.75" customHeight="1" x14ac:dyDescent="0.2">
      <c r="A19" s="51" t="s">
        <v>59</v>
      </c>
      <c r="B19" s="52"/>
      <c r="C19" s="53">
        <f>'Mutui e Finaziamenti'!D3</f>
        <v>0</v>
      </c>
      <c r="D19" s="54">
        <f>'Mutui e Finaziamenti'!E3</f>
        <v>0</v>
      </c>
      <c r="E19" s="54">
        <f>'Mutui e Finaziamenti'!F3</f>
        <v>0</v>
      </c>
      <c r="F19" s="54">
        <f>'Mutui e Finaziamenti'!G3</f>
        <v>13659.3</v>
      </c>
      <c r="G19" s="54">
        <f>'Mutui e Finaziamenti'!H3</f>
        <v>13658.59</v>
      </c>
      <c r="H19" s="54">
        <f>'Mutui e Finaziamenti'!I3</f>
        <v>13627.32</v>
      </c>
      <c r="I19" s="54">
        <f>'Mutui e Finaziamenti'!J3</f>
        <v>13657.16</v>
      </c>
      <c r="J19" s="57">
        <f>'Mutui e Finaziamenti'!K3</f>
        <v>13628.34</v>
      </c>
      <c r="K19" s="57">
        <f>'Mutui e Finaziamenti'!L3</f>
        <v>179831.72</v>
      </c>
      <c r="L19" s="57">
        <f>'Mutui e Finaziamenti'!M3</f>
        <v>0</v>
      </c>
      <c r="M19" s="57">
        <f>'Mutui e Finaziamenti'!N3</f>
        <v>0</v>
      </c>
      <c r="N19" s="57">
        <f>'Mutui e Finaziamenti'!O3</f>
        <v>0</v>
      </c>
      <c r="O19" s="57">
        <f>'Mutui e Finaziamenti'!P3</f>
        <v>0</v>
      </c>
      <c r="P19" s="57">
        <f>'Mutui e Finaziamenti'!Q3</f>
        <v>0</v>
      </c>
      <c r="Q19" s="155">
        <f>'Mutui e Finaziamenti'!R3</f>
        <v>0</v>
      </c>
      <c r="R19" s="142">
        <f t="shared" si="3"/>
        <v>248062.43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1.75" customHeight="1" x14ac:dyDescent="0.2">
      <c r="A20" s="51" t="s">
        <v>60</v>
      </c>
      <c r="B20" s="52"/>
      <c r="C20" s="53">
        <f>Consulenze!D3</f>
        <v>0</v>
      </c>
      <c r="D20" s="54">
        <f>Consulenze!E3</f>
        <v>0</v>
      </c>
      <c r="E20" s="54">
        <f>Consulenze!F3</f>
        <v>0</v>
      </c>
      <c r="F20" s="54">
        <f>Consulenze!G3</f>
        <v>24754.799999999999</v>
      </c>
      <c r="G20" s="54">
        <f>Consulenze!H3</f>
        <v>3416</v>
      </c>
      <c r="H20" s="54">
        <f>Consulenze!I3</f>
        <v>27616</v>
      </c>
      <c r="I20" s="54">
        <f>Consulenze!J3</f>
        <v>0</v>
      </c>
      <c r="J20" s="57">
        <f>Consulenze!K3</f>
        <v>0</v>
      </c>
      <c r="K20" s="57">
        <f>Consulenze!L3</f>
        <v>0</v>
      </c>
      <c r="L20" s="57">
        <f>Consulenze!M3</f>
        <v>0</v>
      </c>
      <c r="M20" s="57">
        <f>Consulenze!N3</f>
        <v>0</v>
      </c>
      <c r="N20" s="57">
        <f>Consulenze!O3</f>
        <v>0</v>
      </c>
      <c r="O20" s="57">
        <f>Consulenze!P3</f>
        <v>0</v>
      </c>
      <c r="P20" s="57">
        <f>Consulenze!Q3</f>
        <v>0</v>
      </c>
      <c r="Q20" s="155">
        <f>Consulenze!R3</f>
        <v>0</v>
      </c>
      <c r="R20" s="142">
        <f t="shared" si="3"/>
        <v>55786.8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1.75" customHeight="1" x14ac:dyDescent="0.2">
      <c r="A21" s="51" t="s">
        <v>61</v>
      </c>
      <c r="B21" s="52"/>
      <c r="C21" s="53">
        <f>'Godimento Beni di Terzi'!D4</f>
        <v>0</v>
      </c>
      <c r="D21" s="54">
        <f>'Godimento Beni di Terzi'!E4</f>
        <v>0</v>
      </c>
      <c r="E21" s="54">
        <f>'Godimento Beni di Terzi'!F4</f>
        <v>0</v>
      </c>
      <c r="F21" s="54">
        <f>'Godimento Beni di Terzi'!G4</f>
        <v>404000</v>
      </c>
      <c r="G21" s="54">
        <f>'Godimento Beni di Terzi'!H4</f>
        <v>60000</v>
      </c>
      <c r="H21" s="54">
        <f>'Godimento Beni di Terzi'!I4</f>
        <v>0</v>
      </c>
      <c r="I21" s="54">
        <f>'Godimento Beni di Terzi'!J4</f>
        <v>244000</v>
      </c>
      <c r="J21" s="57">
        <f>'Godimento Beni di Terzi'!K4</f>
        <v>50000</v>
      </c>
      <c r="K21" s="57">
        <f>'Godimento Beni di Terzi'!L4</f>
        <v>730918</v>
      </c>
      <c r="L21" s="57">
        <f>'Godimento Beni di Terzi'!M4</f>
        <v>0</v>
      </c>
      <c r="M21" s="57">
        <f>'Godimento Beni di Terzi'!N4</f>
        <v>0</v>
      </c>
      <c r="N21" s="57">
        <f>'Godimento Beni di Terzi'!O4</f>
        <v>0</v>
      </c>
      <c r="O21" s="57">
        <f>'Godimento Beni di Terzi'!P4</f>
        <v>0</v>
      </c>
      <c r="P21" s="57">
        <f>'Godimento Beni di Terzi'!Q4</f>
        <v>0</v>
      </c>
      <c r="Q21" s="155">
        <f>'Godimento Beni di Terzi'!R4</f>
        <v>0</v>
      </c>
      <c r="R21" s="142">
        <f t="shared" si="3"/>
        <v>1488918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1.75" customHeight="1" x14ac:dyDescent="0.2">
      <c r="A22" s="51" t="s">
        <v>62</v>
      </c>
      <c r="B22" s="52"/>
      <c r="C22" s="53">
        <f>' Varie ed Eventuali'!D3</f>
        <v>0</v>
      </c>
      <c r="D22" s="54">
        <f>' Varie ed Eventuali'!E3</f>
        <v>0</v>
      </c>
      <c r="E22" s="54">
        <f>' Varie ed Eventuali'!F3</f>
        <v>0</v>
      </c>
      <c r="F22" s="54">
        <f>' Varie ed Eventuali'!G3</f>
        <v>3731.7</v>
      </c>
      <c r="G22" s="54">
        <f>' Varie ed Eventuali'!H3</f>
        <v>13534.88</v>
      </c>
      <c r="H22" s="54">
        <f>' Varie ed Eventuali'!I3</f>
        <v>6767.44</v>
      </c>
      <c r="I22" s="54">
        <f>' Varie ed Eventuali'!J3</f>
        <v>6767.44</v>
      </c>
      <c r="J22" s="57">
        <f>' Varie ed Eventuali'!K3</f>
        <v>6767.44</v>
      </c>
      <c r="K22" s="57">
        <f>' Varie ed Eventuali'!L3</f>
        <v>6767.44</v>
      </c>
      <c r="L22" s="57">
        <f>' Varie ed Eventuali'!M3</f>
        <v>0</v>
      </c>
      <c r="M22" s="57">
        <f>' Varie ed Eventuali'!N3</f>
        <v>0</v>
      </c>
      <c r="N22" s="57">
        <f>' Varie ed Eventuali'!O3</f>
        <v>0</v>
      </c>
      <c r="O22" s="57">
        <f>' Varie ed Eventuali'!P3</f>
        <v>0</v>
      </c>
      <c r="P22" s="57">
        <f>' Varie ed Eventuali'!Q3</f>
        <v>0</v>
      </c>
      <c r="Q22" s="155">
        <f>' Varie ed Eventuali'!R3</f>
        <v>0</v>
      </c>
      <c r="R22" s="142">
        <f t="shared" si="3"/>
        <v>44336.34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1.75" customHeight="1" x14ac:dyDescent="0.2">
      <c r="A23" s="51" t="s">
        <v>63</v>
      </c>
      <c r="B23" s="52"/>
      <c r="C23" s="53">
        <f>'Canoni e servizi'!D4</f>
        <v>0</v>
      </c>
      <c r="D23" s="54">
        <f>'Canoni e servizi'!E4</f>
        <v>0</v>
      </c>
      <c r="E23" s="54">
        <f>'Canoni e servizi'!F4</f>
        <v>0</v>
      </c>
      <c r="F23" s="54">
        <f>'Canoni e servizi'!G4</f>
        <v>19210.479999999996</v>
      </c>
      <c r="G23" s="54">
        <f>'Canoni e servizi'!H4</f>
        <v>4317.84</v>
      </c>
      <c r="H23" s="54">
        <f>'Canoni e servizi'!I4</f>
        <v>1408.8400000000001</v>
      </c>
      <c r="I23" s="54">
        <f>'Canoni e servizi'!J4</f>
        <v>1408.8400000000001</v>
      </c>
      <c r="J23" s="57">
        <f>'Canoni e servizi'!K4</f>
        <v>1408.8400000000001</v>
      </c>
      <c r="K23" s="57">
        <f>'Canoni e servizi'!L4</f>
        <v>18008.84</v>
      </c>
      <c r="L23" s="57">
        <f>'Canoni e servizi'!M4</f>
        <v>378.2</v>
      </c>
      <c r="M23" s="57">
        <f>'Canoni e servizi'!N4</f>
        <v>378.2</v>
      </c>
      <c r="N23" s="57">
        <f>'Canoni e servizi'!O4</f>
        <v>378.2</v>
      </c>
      <c r="O23" s="57">
        <f>'Canoni e servizi'!P4</f>
        <v>378.2</v>
      </c>
      <c r="P23" s="57">
        <f>'Canoni e servizi'!Q4</f>
        <v>378.2</v>
      </c>
      <c r="Q23" s="155">
        <f>'Canoni e servizi'!R4</f>
        <v>378.2</v>
      </c>
      <c r="R23" s="142">
        <f t="shared" si="3"/>
        <v>48032.879999999976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1.75" customHeight="1" x14ac:dyDescent="0.2">
      <c r="A24" s="51" t="s">
        <v>64</v>
      </c>
      <c r="B24" s="52"/>
      <c r="C24" s="53"/>
      <c r="D24" s="54"/>
      <c r="E24" s="54"/>
      <c r="F24" s="54"/>
      <c r="G24" s="54"/>
      <c r="H24" s="54"/>
      <c r="I24" s="54"/>
      <c r="J24" s="57"/>
      <c r="K24" s="57"/>
      <c r="L24" s="57"/>
      <c r="M24" s="57"/>
      <c r="N24" s="57"/>
      <c r="O24" s="57"/>
      <c r="P24" s="57"/>
      <c r="Q24" s="155"/>
      <c r="R24" s="142">
        <f t="shared" si="3"/>
        <v>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1.75" customHeight="1" x14ac:dyDescent="0.2">
      <c r="A25" s="51"/>
      <c r="B25" s="52"/>
      <c r="C25" s="53"/>
      <c r="D25" s="54"/>
      <c r="E25" s="54"/>
      <c r="F25" s="54"/>
      <c r="G25" s="54"/>
      <c r="H25" s="54"/>
      <c r="I25" s="54"/>
      <c r="J25" s="57"/>
      <c r="K25" s="69"/>
      <c r="L25" s="57"/>
      <c r="M25" s="57"/>
      <c r="N25" s="57"/>
      <c r="O25" s="57"/>
      <c r="P25" s="57"/>
      <c r="Q25" s="155"/>
      <c r="R25" s="142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1.75" customHeight="1" x14ac:dyDescent="0.2">
      <c r="A26" s="70"/>
      <c r="B26" s="71"/>
      <c r="C26" s="72"/>
      <c r="D26" s="73"/>
      <c r="E26" s="73"/>
      <c r="F26" s="73"/>
      <c r="G26" s="73"/>
      <c r="H26" s="73"/>
      <c r="I26" s="73"/>
      <c r="J26" s="74"/>
      <c r="K26" s="57"/>
      <c r="L26" s="74"/>
      <c r="M26" s="74"/>
      <c r="N26" s="74"/>
      <c r="O26" s="74"/>
      <c r="P26" s="74"/>
      <c r="Q26" s="157"/>
      <c r="R26" s="146"/>
      <c r="S26" s="27"/>
      <c r="T26" s="27"/>
      <c r="U26" s="27"/>
      <c r="V26" s="27"/>
      <c r="W26" s="27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1.75" customHeight="1" thickBot="1" x14ac:dyDescent="0.25">
      <c r="A27" s="75" t="s">
        <v>65</v>
      </c>
      <c r="B27" s="76"/>
      <c r="C27" s="77">
        <f t="shared" ref="C27:Q27" si="4">SUM(C14:C26)</f>
        <v>0</v>
      </c>
      <c r="D27" s="78">
        <f t="shared" si="4"/>
        <v>0</v>
      </c>
      <c r="E27" s="78">
        <f t="shared" si="4"/>
        <v>0</v>
      </c>
      <c r="F27" s="78">
        <f t="shared" si="4"/>
        <v>912387.42999999993</v>
      </c>
      <c r="G27" s="78">
        <f t="shared" si="4"/>
        <v>528577.57000000007</v>
      </c>
      <c r="H27" s="78">
        <f t="shared" si="4"/>
        <v>498420.54000000004</v>
      </c>
      <c r="I27" s="78">
        <f t="shared" si="4"/>
        <v>626094.07999999996</v>
      </c>
      <c r="J27" s="79">
        <f t="shared" si="4"/>
        <v>444894.96</v>
      </c>
      <c r="K27" s="79">
        <f t="shared" si="4"/>
        <v>1098726</v>
      </c>
      <c r="L27" s="79">
        <f t="shared" si="4"/>
        <v>378.2</v>
      </c>
      <c r="M27" s="79">
        <f t="shared" si="4"/>
        <v>378.2</v>
      </c>
      <c r="N27" s="79">
        <f t="shared" si="4"/>
        <v>378.2</v>
      </c>
      <c r="O27" s="79">
        <f t="shared" si="4"/>
        <v>378.2</v>
      </c>
      <c r="P27" s="79">
        <f t="shared" si="4"/>
        <v>378.2</v>
      </c>
      <c r="Q27" s="158">
        <f t="shared" si="4"/>
        <v>378.2</v>
      </c>
      <c r="R27" s="147">
        <f>SUM(C27:Q27)</f>
        <v>4111369.7800000012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7.5" customHeight="1" thickTop="1" x14ac:dyDescent="0.2">
      <c r="A28" s="40"/>
      <c r="B28" s="41"/>
      <c r="C28" s="67"/>
      <c r="D28" s="44"/>
      <c r="E28" s="44"/>
      <c r="F28" s="44"/>
      <c r="G28" s="44"/>
      <c r="H28" s="44"/>
      <c r="I28" s="44"/>
      <c r="J28" s="48"/>
      <c r="K28" s="48"/>
      <c r="L28" s="48"/>
      <c r="M28" s="48"/>
      <c r="N28" s="48"/>
      <c r="O28" s="48"/>
      <c r="P28" s="48"/>
      <c r="Q28" s="154"/>
      <c r="R28" s="14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1.75" customHeight="1" thickBot="1" x14ac:dyDescent="0.25">
      <c r="A29" s="80" t="s">
        <v>66</v>
      </c>
      <c r="B29" s="81"/>
      <c r="C29" s="82">
        <f t="shared" ref="C29:R29" si="5">C12-C27</f>
        <v>0</v>
      </c>
      <c r="D29" s="83">
        <f t="shared" si="5"/>
        <v>0</v>
      </c>
      <c r="E29" s="83">
        <f t="shared" si="5"/>
        <v>0</v>
      </c>
      <c r="F29" s="83">
        <f t="shared" si="5"/>
        <v>28232.570000000065</v>
      </c>
      <c r="G29" s="83">
        <f t="shared" si="5"/>
        <v>515042.42999999993</v>
      </c>
      <c r="H29" s="83">
        <f t="shared" si="5"/>
        <v>237199.45999999996</v>
      </c>
      <c r="I29" s="83">
        <f t="shared" si="5"/>
        <v>-271676.07999999996</v>
      </c>
      <c r="J29" s="84">
        <f t="shared" si="5"/>
        <v>-419274.96</v>
      </c>
      <c r="K29" s="84">
        <f t="shared" si="5"/>
        <v>-1073106</v>
      </c>
      <c r="L29" s="84">
        <f t="shared" si="5"/>
        <v>-378.2</v>
      </c>
      <c r="M29" s="84">
        <f t="shared" si="5"/>
        <v>-378.2</v>
      </c>
      <c r="N29" s="84">
        <f t="shared" si="5"/>
        <v>-378.2</v>
      </c>
      <c r="O29" s="84">
        <f t="shared" si="5"/>
        <v>-378.2</v>
      </c>
      <c r="P29" s="84">
        <f t="shared" si="5"/>
        <v>-378.2</v>
      </c>
      <c r="Q29" s="159">
        <f t="shared" si="5"/>
        <v>-378.2</v>
      </c>
      <c r="R29" s="148">
        <f t="shared" si="5"/>
        <v>-985851.78000000119</v>
      </c>
      <c r="S29" s="27"/>
      <c r="T29" s="27"/>
      <c r="U29" s="27"/>
      <c r="V29" s="27"/>
      <c r="W29" s="27"/>
      <c r="X29" s="5"/>
      <c r="Y29" s="5"/>
      <c r="Z29" s="5"/>
      <c r="AA29" s="5"/>
      <c r="AB29" s="5"/>
      <c r="AC29" s="5"/>
      <c r="AD29" s="5"/>
      <c r="AE29" s="5"/>
      <c r="AF29" s="5"/>
    </row>
    <row r="30" spans="1:32" ht="7.5" customHeight="1" thickTop="1" x14ac:dyDescent="0.2">
      <c r="A30" s="40"/>
      <c r="B30" s="41"/>
      <c r="C30" s="67"/>
      <c r="D30" s="44"/>
      <c r="E30" s="44"/>
      <c r="F30" s="44"/>
      <c r="G30" s="44"/>
      <c r="H30" s="44"/>
      <c r="I30" s="44"/>
      <c r="J30" s="48"/>
      <c r="K30" s="48"/>
      <c r="L30" s="48"/>
      <c r="M30" s="48"/>
      <c r="N30" s="48"/>
      <c r="O30" s="48"/>
      <c r="P30" s="48"/>
      <c r="Q30" s="154"/>
      <c r="R30" s="14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21.75" customHeight="1" x14ac:dyDescent="0.2">
      <c r="A31" s="85" t="s">
        <v>67</v>
      </c>
      <c r="B31" s="52"/>
      <c r="C31" s="53" t="s">
        <v>67</v>
      </c>
      <c r="D31" s="54" t="s">
        <v>68</v>
      </c>
      <c r="E31" s="54" t="s">
        <v>69</v>
      </c>
      <c r="F31" s="54"/>
      <c r="G31" s="54"/>
      <c r="H31" s="54"/>
      <c r="I31" s="54"/>
      <c r="J31" s="57"/>
      <c r="K31" s="57"/>
      <c r="L31" s="57"/>
      <c r="M31" s="57"/>
      <c r="N31" s="57"/>
      <c r="O31" s="57"/>
      <c r="P31" s="57"/>
      <c r="Q31" s="155"/>
      <c r="R31" s="142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21.75" customHeight="1" x14ac:dyDescent="0.2">
      <c r="A32" s="86" t="s">
        <v>70</v>
      </c>
      <c r="B32" s="87" t="s">
        <v>69</v>
      </c>
      <c r="C32" s="88" t="s">
        <v>71</v>
      </c>
      <c r="D32" s="89">
        <v>469192.55</v>
      </c>
      <c r="E32" s="54">
        <v>726946.18</v>
      </c>
      <c r="F32" s="54"/>
      <c r="G32" s="54"/>
      <c r="H32" s="54"/>
      <c r="I32" s="54"/>
      <c r="J32" s="57"/>
      <c r="K32" s="57"/>
      <c r="L32" s="57"/>
      <c r="M32" s="57"/>
      <c r="N32" s="57"/>
      <c r="O32" s="57"/>
      <c r="P32" s="57"/>
      <c r="Q32" s="155"/>
      <c r="R32" s="142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21.75" customHeight="1" x14ac:dyDescent="0.2">
      <c r="A33" s="86" t="s">
        <v>72</v>
      </c>
      <c r="B33" s="90"/>
      <c r="C33" s="88" t="s">
        <v>73</v>
      </c>
      <c r="D33" s="54">
        <v>111933.31</v>
      </c>
      <c r="E33" s="54">
        <v>136312.45000000001</v>
      </c>
      <c r="F33" s="54"/>
      <c r="G33" s="54"/>
      <c r="H33" s="54"/>
      <c r="I33" s="54"/>
      <c r="J33" s="57"/>
      <c r="K33" s="57"/>
      <c r="L33" s="57"/>
      <c r="M33" s="57"/>
      <c r="N33" s="57"/>
      <c r="O33" s="57"/>
      <c r="P33" s="57"/>
      <c r="Q33" s="155"/>
      <c r="R33" s="142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21.75" customHeight="1" x14ac:dyDescent="0.2">
      <c r="A34" s="86"/>
      <c r="B34" s="52"/>
      <c r="C34" s="53"/>
      <c r="D34" s="54"/>
      <c r="E34" s="54"/>
      <c r="F34" s="54"/>
      <c r="G34" s="54"/>
      <c r="H34" s="54"/>
      <c r="I34" s="54"/>
      <c r="J34" s="57"/>
      <c r="K34" s="57"/>
      <c r="L34" s="57"/>
      <c r="M34" s="57"/>
      <c r="N34" s="57"/>
      <c r="O34" s="57"/>
      <c r="P34" s="57"/>
      <c r="Q34" s="155"/>
      <c r="R34" s="143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21.75" customHeight="1" thickBot="1" x14ac:dyDescent="0.25">
      <c r="A35" s="91" t="s">
        <v>74</v>
      </c>
      <c r="B35" s="92"/>
      <c r="C35" s="93">
        <f>SUM(C32:C34)</f>
        <v>0</v>
      </c>
      <c r="D35" s="94"/>
      <c r="E35" s="94"/>
      <c r="F35" s="94"/>
      <c r="G35" s="94"/>
      <c r="H35" s="94"/>
      <c r="I35" s="94"/>
      <c r="J35" s="95"/>
      <c r="K35" s="95"/>
      <c r="L35" s="95"/>
      <c r="M35" s="95"/>
      <c r="N35" s="95"/>
      <c r="O35" s="95"/>
      <c r="P35" s="95"/>
      <c r="Q35" s="160"/>
      <c r="R35" s="149"/>
      <c r="S35" s="27"/>
      <c r="T35" s="27"/>
      <c r="U35" s="27"/>
      <c r="V35" s="27"/>
      <c r="W35" s="27"/>
      <c r="X35" s="5"/>
      <c r="Y35" s="5"/>
      <c r="Z35" s="5"/>
      <c r="AA35" s="5"/>
      <c r="AB35" s="5"/>
      <c r="AC35" s="5"/>
      <c r="AD35" s="5"/>
      <c r="AE35" s="5"/>
      <c r="AF35" s="5"/>
    </row>
    <row r="36" spans="1:32" ht="7.5" customHeight="1" thickTop="1" x14ac:dyDescent="0.2">
      <c r="A36" s="40"/>
      <c r="B36" s="41"/>
      <c r="C36" s="67"/>
      <c r="D36" s="44"/>
      <c r="E36" s="44"/>
      <c r="F36" s="44"/>
      <c r="G36" s="44"/>
      <c r="H36" s="44"/>
      <c r="I36" s="44"/>
      <c r="J36" s="48"/>
      <c r="K36" s="48"/>
      <c r="L36" s="48"/>
      <c r="M36" s="48"/>
      <c r="N36" s="48"/>
      <c r="O36" s="48"/>
      <c r="P36" s="48"/>
      <c r="Q36" s="154"/>
      <c r="R36" s="14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25.5" customHeight="1" thickBot="1" x14ac:dyDescent="0.25">
      <c r="A37" s="96" t="s">
        <v>75</v>
      </c>
      <c r="B37" s="97"/>
      <c r="C37" s="98">
        <f t="shared" ref="C37:Q37" si="6">C4+C29</f>
        <v>339337.46</v>
      </c>
      <c r="D37" s="99">
        <f t="shared" si="6"/>
        <v>581125.86</v>
      </c>
      <c r="E37" s="99">
        <f t="shared" si="6"/>
        <v>863258.63000000012</v>
      </c>
      <c r="F37" s="99">
        <f t="shared" si="6"/>
        <v>891491.20000000019</v>
      </c>
      <c r="G37" s="99">
        <f t="shared" si="6"/>
        <v>1406533.6300000001</v>
      </c>
      <c r="H37" s="99">
        <f t="shared" si="6"/>
        <v>1643733.09</v>
      </c>
      <c r="I37" s="99">
        <f t="shared" si="6"/>
        <v>1372057.0100000002</v>
      </c>
      <c r="J37" s="100">
        <f t="shared" si="6"/>
        <v>952782.05000000028</v>
      </c>
      <c r="K37" s="100">
        <f t="shared" si="6"/>
        <v>-120323.94999999972</v>
      </c>
      <c r="L37" s="100">
        <f t="shared" si="6"/>
        <v>-120702.14999999972</v>
      </c>
      <c r="M37" s="100">
        <f t="shared" si="6"/>
        <v>-121080.34999999971</v>
      </c>
      <c r="N37" s="100">
        <f t="shared" si="6"/>
        <v>-121458.54999999971</v>
      </c>
      <c r="O37" s="100">
        <f t="shared" si="6"/>
        <v>-121836.74999999971</v>
      </c>
      <c r="P37" s="100">
        <f t="shared" si="6"/>
        <v>-122214.94999999971</v>
      </c>
      <c r="Q37" s="161">
        <f t="shared" si="6"/>
        <v>-122593.1499999997</v>
      </c>
      <c r="R37" s="150">
        <f>Q37</f>
        <v>-122593.1499999997</v>
      </c>
      <c r="S37" s="27"/>
      <c r="T37" s="27"/>
      <c r="U37" s="27"/>
      <c r="V37" s="27"/>
      <c r="W37" s="27"/>
      <c r="X37" s="5"/>
      <c r="Y37" s="5"/>
      <c r="Z37" s="5"/>
      <c r="AA37" s="5"/>
      <c r="AB37" s="5"/>
      <c r="AC37" s="5"/>
      <c r="AD37" s="5"/>
      <c r="AE37" s="5"/>
      <c r="AF37" s="5"/>
    </row>
    <row r="38" spans="1:32" ht="7.5" customHeight="1" thickTop="1" x14ac:dyDescent="0.2">
      <c r="A38" s="101"/>
      <c r="B38" s="41"/>
      <c r="C38" s="67"/>
      <c r="D38" s="44"/>
      <c r="E38" s="44"/>
      <c r="F38" s="44"/>
      <c r="G38" s="44"/>
      <c r="H38" s="44"/>
      <c r="I38" s="44"/>
      <c r="J38" s="48"/>
      <c r="K38" s="48"/>
      <c r="L38" s="48"/>
      <c r="M38" s="48"/>
      <c r="N38" s="48"/>
      <c r="O38" s="48"/>
      <c r="P38" s="48"/>
      <c r="Q38" s="154"/>
      <c r="R38" s="14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21.75" customHeight="1" x14ac:dyDescent="0.2">
      <c r="A39" s="86" t="s">
        <v>76</v>
      </c>
      <c r="B39" s="52"/>
      <c r="C39" s="53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7">
        <v>0</v>
      </c>
      <c r="K39" s="57">
        <v>0</v>
      </c>
      <c r="L39" s="57"/>
      <c r="M39" s="57"/>
      <c r="N39" s="57"/>
      <c r="O39" s="57"/>
      <c r="P39" s="57"/>
      <c r="Q39" s="155"/>
      <c r="R39" s="142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21.75" customHeight="1" x14ac:dyDescent="0.2">
      <c r="A40" s="86"/>
      <c r="B40" s="52"/>
      <c r="C40" s="53"/>
      <c r="D40" s="54"/>
      <c r="E40" s="54"/>
      <c r="F40" s="54"/>
      <c r="G40" s="54"/>
      <c r="H40" s="54"/>
      <c r="I40" s="54"/>
      <c r="J40" s="57"/>
      <c r="K40" s="57"/>
      <c r="L40" s="57"/>
      <c r="M40" s="57"/>
      <c r="N40" s="57"/>
      <c r="O40" s="57"/>
      <c r="P40" s="57"/>
      <c r="Q40" s="155"/>
      <c r="R40" s="14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21.75" customHeight="1" x14ac:dyDescent="0.2">
      <c r="A41" s="86"/>
      <c r="B41" s="52"/>
      <c r="C41" s="53"/>
      <c r="D41" s="54"/>
      <c r="E41" s="54"/>
      <c r="F41" s="54"/>
      <c r="G41" s="54"/>
      <c r="H41" s="54"/>
      <c r="I41" s="54"/>
      <c r="J41" s="57"/>
      <c r="K41" s="57"/>
      <c r="L41" s="57"/>
      <c r="M41" s="57"/>
      <c r="N41" s="57"/>
      <c r="O41" s="57"/>
      <c r="P41" s="57"/>
      <c r="Q41" s="155"/>
      <c r="R41" s="142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21.75" customHeight="1" x14ac:dyDescent="0.2">
      <c r="A42" s="86"/>
      <c r="B42" s="52"/>
      <c r="C42" s="53"/>
      <c r="D42" s="54"/>
      <c r="E42" s="54"/>
      <c r="F42" s="54"/>
      <c r="G42" s="54"/>
      <c r="H42" s="54"/>
      <c r="I42" s="54"/>
      <c r="J42" s="57"/>
      <c r="K42" s="57"/>
      <c r="L42" s="57"/>
      <c r="M42" s="57"/>
      <c r="N42" s="57"/>
      <c r="O42" s="57"/>
      <c r="P42" s="57"/>
      <c r="Q42" s="155"/>
      <c r="R42" s="143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21.75" customHeight="1" thickBot="1" x14ac:dyDescent="0.25">
      <c r="A43" s="102" t="s">
        <v>77</v>
      </c>
      <c r="B43" s="103"/>
      <c r="C43" s="104">
        <f t="shared" ref="C43:Q43" si="7">SUM(C39:C42)</f>
        <v>0</v>
      </c>
      <c r="D43" s="105">
        <f t="shared" si="7"/>
        <v>0</v>
      </c>
      <c r="E43" s="105">
        <f t="shared" si="7"/>
        <v>0</v>
      </c>
      <c r="F43" s="105">
        <f t="shared" si="7"/>
        <v>0</v>
      </c>
      <c r="G43" s="105">
        <f t="shared" si="7"/>
        <v>0</v>
      </c>
      <c r="H43" s="105">
        <f t="shared" si="7"/>
        <v>0</v>
      </c>
      <c r="I43" s="105">
        <f t="shared" si="7"/>
        <v>0</v>
      </c>
      <c r="J43" s="106">
        <f t="shared" si="7"/>
        <v>0</v>
      </c>
      <c r="K43" s="106">
        <f t="shared" si="7"/>
        <v>0</v>
      </c>
      <c r="L43" s="106">
        <f t="shared" si="7"/>
        <v>0</v>
      </c>
      <c r="M43" s="106">
        <f t="shared" si="7"/>
        <v>0</v>
      </c>
      <c r="N43" s="106">
        <f t="shared" si="7"/>
        <v>0</v>
      </c>
      <c r="O43" s="106">
        <f t="shared" si="7"/>
        <v>0</v>
      </c>
      <c r="P43" s="106">
        <f t="shared" si="7"/>
        <v>0</v>
      </c>
      <c r="Q43" s="162">
        <f t="shared" si="7"/>
        <v>0</v>
      </c>
      <c r="R43" s="151">
        <f>SUM(C43:Q43)</f>
        <v>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7.5" customHeight="1" thickTop="1" x14ac:dyDescent="0.2">
      <c r="A44" s="40"/>
      <c r="B44" s="41"/>
      <c r="C44" s="67"/>
      <c r="D44" s="44"/>
      <c r="E44" s="44"/>
      <c r="F44" s="44"/>
      <c r="G44" s="44"/>
      <c r="H44" s="44"/>
      <c r="I44" s="44"/>
      <c r="J44" s="48"/>
      <c r="K44" s="48"/>
      <c r="L44" s="48"/>
      <c r="M44" s="48"/>
      <c r="N44" s="48"/>
      <c r="O44" s="48"/>
      <c r="P44" s="48"/>
      <c r="Q44" s="154"/>
      <c r="R44" s="14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25.5" customHeight="1" thickBot="1" x14ac:dyDescent="0.25">
      <c r="A45" s="96" t="s">
        <v>78</v>
      </c>
      <c r="B45" s="97"/>
      <c r="C45" s="107">
        <f t="shared" ref="C45:Q45" si="8">C37+C43</f>
        <v>339337.46</v>
      </c>
      <c r="D45" s="108">
        <f t="shared" si="8"/>
        <v>581125.86</v>
      </c>
      <c r="E45" s="108">
        <f t="shared" si="8"/>
        <v>863258.63000000012</v>
      </c>
      <c r="F45" s="108">
        <f t="shared" si="8"/>
        <v>891491.20000000019</v>
      </c>
      <c r="G45" s="108">
        <f t="shared" si="8"/>
        <v>1406533.6300000001</v>
      </c>
      <c r="H45" s="108">
        <f t="shared" si="8"/>
        <v>1643733.09</v>
      </c>
      <c r="I45" s="108">
        <f t="shared" si="8"/>
        <v>1372057.0100000002</v>
      </c>
      <c r="J45" s="109">
        <f t="shared" si="8"/>
        <v>952782.05000000028</v>
      </c>
      <c r="K45" s="109">
        <f t="shared" si="8"/>
        <v>-120323.94999999972</v>
      </c>
      <c r="L45" s="109">
        <f t="shared" si="8"/>
        <v>-120702.14999999972</v>
      </c>
      <c r="M45" s="109">
        <f t="shared" si="8"/>
        <v>-121080.34999999971</v>
      </c>
      <c r="N45" s="109">
        <f t="shared" si="8"/>
        <v>-121458.54999999971</v>
      </c>
      <c r="O45" s="109">
        <f t="shared" si="8"/>
        <v>-121836.74999999971</v>
      </c>
      <c r="P45" s="109">
        <f t="shared" si="8"/>
        <v>-122214.94999999971</v>
      </c>
      <c r="Q45" s="163">
        <f t="shared" si="8"/>
        <v>-122593.1499999997</v>
      </c>
      <c r="R45" s="150">
        <f>Q45</f>
        <v>-122593.1499999997</v>
      </c>
      <c r="S45" s="27"/>
      <c r="T45" s="27"/>
      <c r="U45" s="27"/>
      <c r="V45" s="27"/>
      <c r="W45" s="27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5.75" customHeight="1" thickTop="1" x14ac:dyDescent="0.2">
      <c r="A46" s="5"/>
      <c r="B46" s="5"/>
      <c r="C46" s="110"/>
      <c r="D46" s="110"/>
      <c r="E46" s="110"/>
      <c r="F46" s="110"/>
      <c r="G46" s="110"/>
      <c r="H46" s="110"/>
      <c r="I46" s="110"/>
      <c r="J46" s="110"/>
      <c r="K46" s="110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5.75" customHeight="1" x14ac:dyDescent="0.2">
      <c r="A47" s="5"/>
      <c r="B47" s="5"/>
      <c r="C47" s="110"/>
      <c r="D47" s="110"/>
      <c r="E47" s="110"/>
      <c r="F47" s="110"/>
      <c r="G47" s="110"/>
      <c r="H47" s="110"/>
      <c r="I47" s="110"/>
      <c r="J47" s="110"/>
      <c r="K47" s="110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5.75" customHeight="1" x14ac:dyDescent="0.2">
      <c r="A48" s="5"/>
      <c r="B48" s="5"/>
      <c r="C48" s="110"/>
      <c r="D48" s="110"/>
      <c r="E48" s="110"/>
      <c r="F48" s="110"/>
      <c r="G48" s="110"/>
      <c r="H48" s="110"/>
      <c r="I48" s="110"/>
      <c r="J48" s="110"/>
      <c r="K48" s="110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5.75" customHeight="1" x14ac:dyDescent="0.2">
      <c r="A49" s="5"/>
      <c r="B49" s="5"/>
      <c r="C49" s="110"/>
      <c r="D49" s="110"/>
      <c r="E49" s="110"/>
      <c r="F49" s="110"/>
      <c r="G49" s="110"/>
      <c r="H49" s="110"/>
      <c r="I49" s="110"/>
      <c r="J49" s="110"/>
      <c r="K49" s="110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5.75" customHeight="1" x14ac:dyDescent="0.2">
      <c r="A50" s="5"/>
      <c r="B50" s="5"/>
      <c r="C50" s="110"/>
      <c r="D50" s="110"/>
      <c r="E50" s="110"/>
      <c r="F50" s="110"/>
      <c r="G50" s="110"/>
      <c r="H50" s="110"/>
      <c r="I50" s="110"/>
      <c r="J50" s="110"/>
      <c r="K50" s="110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5.75" customHeight="1" x14ac:dyDescent="0.2">
      <c r="A51" s="5"/>
      <c r="B51" s="5"/>
      <c r="C51" s="110"/>
      <c r="D51" s="110"/>
      <c r="E51" s="110"/>
      <c r="F51" s="110"/>
      <c r="G51" s="110"/>
      <c r="H51" s="110"/>
      <c r="I51" s="110"/>
      <c r="J51" s="110"/>
      <c r="K51" s="110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5.75" customHeight="1" x14ac:dyDescent="0.2">
      <c r="A52" s="5"/>
      <c r="B52" s="5"/>
      <c r="C52" s="110"/>
      <c r="D52" s="110"/>
      <c r="E52" s="110"/>
      <c r="F52" s="110"/>
      <c r="G52" s="110"/>
      <c r="H52" s="110"/>
      <c r="I52" s="110"/>
      <c r="J52" s="110"/>
      <c r="K52" s="110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5.75" customHeight="1" x14ac:dyDescent="0.2">
      <c r="A53" s="5"/>
      <c r="B53" s="5"/>
      <c r="C53" s="110"/>
      <c r="D53" s="110"/>
      <c r="E53" s="110"/>
      <c r="F53" s="110"/>
      <c r="G53" s="110"/>
      <c r="H53" s="110"/>
      <c r="I53" s="110"/>
      <c r="J53" s="110"/>
      <c r="K53" s="110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5.75" customHeight="1" x14ac:dyDescent="0.2">
      <c r="A54" s="5"/>
      <c r="B54" s="5"/>
      <c r="C54" s="110"/>
      <c r="D54" s="110"/>
      <c r="E54" s="110"/>
      <c r="F54" s="110"/>
      <c r="G54" s="110"/>
      <c r="H54" s="110"/>
      <c r="I54" s="110"/>
      <c r="J54" s="110"/>
      <c r="K54" s="110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5.75" customHeight="1" x14ac:dyDescent="0.2">
      <c r="A55" s="5"/>
      <c r="B55" s="5"/>
      <c r="C55" s="110"/>
      <c r="D55" s="110"/>
      <c r="E55" s="110"/>
      <c r="F55" s="110"/>
      <c r="G55" s="110"/>
      <c r="H55" s="110"/>
      <c r="I55" s="110"/>
      <c r="J55" s="110"/>
      <c r="K55" s="110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5.75" customHeight="1" x14ac:dyDescent="0.2">
      <c r="A56" s="5"/>
      <c r="B56" s="5"/>
      <c r="C56" s="110"/>
      <c r="D56" s="110"/>
      <c r="E56" s="110"/>
      <c r="F56" s="110"/>
      <c r="G56" s="110"/>
      <c r="H56" s="110"/>
      <c r="I56" s="110"/>
      <c r="J56" s="110"/>
      <c r="K56" s="110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5.75" customHeight="1" x14ac:dyDescent="0.2">
      <c r="A57" s="5"/>
      <c r="B57" s="5"/>
      <c r="C57" s="110"/>
      <c r="D57" s="110"/>
      <c r="E57" s="110"/>
      <c r="F57" s="110"/>
      <c r="G57" s="110"/>
      <c r="H57" s="110"/>
      <c r="I57" s="110"/>
      <c r="J57" s="110"/>
      <c r="K57" s="110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5.75" customHeight="1" x14ac:dyDescent="0.2">
      <c r="A58" s="5"/>
      <c r="B58" s="5"/>
      <c r="C58" s="110"/>
      <c r="D58" s="110"/>
      <c r="E58" s="110"/>
      <c r="F58" s="110"/>
      <c r="G58" s="110"/>
      <c r="H58" s="110"/>
      <c r="I58" s="110"/>
      <c r="J58" s="110"/>
      <c r="K58" s="110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5.75" customHeight="1" x14ac:dyDescent="0.2">
      <c r="A59" s="5"/>
      <c r="B59" s="5"/>
      <c r="C59" s="110"/>
      <c r="D59" s="110"/>
      <c r="E59" s="110"/>
      <c r="F59" s="110"/>
      <c r="G59" s="110"/>
      <c r="H59" s="110"/>
      <c r="I59" s="110"/>
      <c r="J59" s="110"/>
      <c r="K59" s="110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5.75" customHeight="1" x14ac:dyDescent="0.2">
      <c r="A60" s="5"/>
      <c r="B60" s="5"/>
      <c r="C60" s="110"/>
      <c r="D60" s="110"/>
      <c r="E60" s="110"/>
      <c r="F60" s="110"/>
      <c r="G60" s="110"/>
      <c r="H60" s="110"/>
      <c r="I60" s="110"/>
      <c r="J60" s="110"/>
      <c r="K60" s="110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5.75" customHeight="1" x14ac:dyDescent="0.2">
      <c r="A61" s="5"/>
      <c r="B61" s="5"/>
      <c r="C61" s="110"/>
      <c r="D61" s="110"/>
      <c r="E61" s="110"/>
      <c r="F61" s="110"/>
      <c r="G61" s="110"/>
      <c r="H61" s="110"/>
      <c r="I61" s="110"/>
      <c r="J61" s="110"/>
      <c r="K61" s="110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5.75" customHeight="1" x14ac:dyDescent="0.2">
      <c r="A62" s="5"/>
      <c r="B62" s="5"/>
      <c r="C62" s="110"/>
      <c r="D62" s="110"/>
      <c r="E62" s="110"/>
      <c r="F62" s="110"/>
      <c r="G62" s="110"/>
      <c r="H62" s="110"/>
      <c r="I62" s="110"/>
      <c r="J62" s="110"/>
      <c r="K62" s="110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5.75" customHeight="1" x14ac:dyDescent="0.2">
      <c r="A63" s="5"/>
      <c r="B63" s="5"/>
      <c r="C63" s="110"/>
      <c r="D63" s="110"/>
      <c r="E63" s="110"/>
      <c r="F63" s="110"/>
      <c r="G63" s="110"/>
      <c r="H63" s="110"/>
      <c r="I63" s="110"/>
      <c r="J63" s="110"/>
      <c r="K63" s="110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5.75" customHeight="1" x14ac:dyDescent="0.2">
      <c r="A64" s="5"/>
      <c r="B64" s="5"/>
      <c r="C64" s="110"/>
      <c r="D64" s="110"/>
      <c r="E64" s="110"/>
      <c r="F64" s="110"/>
      <c r="G64" s="110"/>
      <c r="H64" s="110"/>
      <c r="I64" s="110"/>
      <c r="J64" s="110"/>
      <c r="K64" s="110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5.75" customHeight="1" x14ac:dyDescent="0.2">
      <c r="A65" s="5"/>
      <c r="B65" s="5"/>
      <c r="C65" s="110"/>
      <c r="D65" s="110"/>
      <c r="E65" s="110"/>
      <c r="F65" s="110"/>
      <c r="G65" s="110"/>
      <c r="H65" s="110"/>
      <c r="I65" s="110"/>
      <c r="J65" s="110"/>
      <c r="K65" s="110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5.75" customHeight="1" x14ac:dyDescent="0.2">
      <c r="A66" s="5"/>
      <c r="B66" s="5"/>
      <c r="C66" s="110"/>
      <c r="D66" s="110"/>
      <c r="E66" s="110"/>
      <c r="F66" s="110"/>
      <c r="G66" s="110"/>
      <c r="H66" s="110"/>
      <c r="I66" s="110"/>
      <c r="J66" s="110"/>
      <c r="K66" s="110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5.75" customHeight="1" x14ac:dyDescent="0.2">
      <c r="A67" s="5"/>
      <c r="B67" s="5"/>
      <c r="C67" s="110"/>
      <c r="D67" s="110"/>
      <c r="E67" s="110"/>
      <c r="F67" s="110"/>
      <c r="G67" s="110"/>
      <c r="H67" s="110"/>
      <c r="I67" s="110"/>
      <c r="J67" s="110"/>
      <c r="K67" s="110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5.75" customHeight="1" x14ac:dyDescent="0.2">
      <c r="A68" s="5"/>
      <c r="B68" s="5"/>
      <c r="C68" s="110"/>
      <c r="D68" s="110"/>
      <c r="E68" s="110"/>
      <c r="F68" s="110"/>
      <c r="G68" s="110"/>
      <c r="H68" s="110"/>
      <c r="I68" s="110"/>
      <c r="J68" s="110"/>
      <c r="K68" s="110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5.75" customHeight="1" x14ac:dyDescent="0.2">
      <c r="A69" s="5"/>
      <c r="B69" s="5"/>
      <c r="C69" s="110"/>
      <c r="D69" s="110"/>
      <c r="E69" s="110"/>
      <c r="F69" s="110"/>
      <c r="G69" s="110"/>
      <c r="H69" s="110"/>
      <c r="I69" s="110"/>
      <c r="J69" s="110"/>
      <c r="K69" s="110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5.75" customHeight="1" x14ac:dyDescent="0.2">
      <c r="A70" s="5"/>
      <c r="B70" s="5"/>
      <c r="C70" s="110"/>
      <c r="D70" s="110"/>
      <c r="E70" s="110"/>
      <c r="F70" s="110"/>
      <c r="G70" s="110"/>
      <c r="H70" s="110"/>
      <c r="I70" s="110"/>
      <c r="J70" s="110"/>
      <c r="K70" s="110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5.75" customHeight="1" x14ac:dyDescent="0.2">
      <c r="A71" s="5"/>
      <c r="B71" s="5"/>
      <c r="C71" s="110"/>
      <c r="D71" s="110"/>
      <c r="E71" s="110"/>
      <c r="F71" s="110"/>
      <c r="G71" s="110"/>
      <c r="H71" s="110"/>
      <c r="I71" s="110"/>
      <c r="J71" s="110"/>
      <c r="K71" s="110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5.75" customHeight="1" x14ac:dyDescent="0.2">
      <c r="A72" s="5"/>
      <c r="B72" s="5"/>
      <c r="C72" s="110"/>
      <c r="D72" s="110"/>
      <c r="E72" s="110"/>
      <c r="F72" s="110"/>
      <c r="G72" s="110"/>
      <c r="H72" s="110"/>
      <c r="I72" s="110"/>
      <c r="J72" s="110"/>
      <c r="K72" s="110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5.75" customHeight="1" x14ac:dyDescent="0.2">
      <c r="A73" s="5"/>
      <c r="B73" s="5"/>
      <c r="C73" s="110"/>
      <c r="D73" s="110"/>
      <c r="E73" s="110"/>
      <c r="F73" s="110"/>
      <c r="G73" s="110"/>
      <c r="H73" s="110"/>
      <c r="I73" s="110"/>
      <c r="J73" s="110"/>
      <c r="K73" s="110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5.75" customHeight="1" x14ac:dyDescent="0.2">
      <c r="A74" s="5"/>
      <c r="B74" s="5"/>
      <c r="C74" s="110"/>
      <c r="D74" s="110"/>
      <c r="E74" s="110"/>
      <c r="F74" s="110"/>
      <c r="G74" s="110"/>
      <c r="H74" s="110"/>
      <c r="I74" s="110"/>
      <c r="J74" s="110"/>
      <c r="K74" s="110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5.75" customHeight="1" x14ac:dyDescent="0.2">
      <c r="A75" s="5"/>
      <c r="B75" s="5"/>
      <c r="C75" s="110"/>
      <c r="D75" s="110"/>
      <c r="E75" s="110"/>
      <c r="F75" s="110"/>
      <c r="G75" s="110"/>
      <c r="H75" s="110"/>
      <c r="I75" s="110"/>
      <c r="J75" s="110"/>
      <c r="K75" s="110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5.75" customHeight="1" x14ac:dyDescent="0.2">
      <c r="A76" s="5"/>
      <c r="B76" s="5"/>
      <c r="C76" s="110"/>
      <c r="D76" s="110"/>
      <c r="E76" s="110"/>
      <c r="F76" s="110"/>
      <c r="G76" s="110"/>
      <c r="H76" s="110"/>
      <c r="I76" s="110"/>
      <c r="J76" s="110"/>
      <c r="K76" s="110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5.75" customHeight="1" x14ac:dyDescent="0.2">
      <c r="A77" s="5"/>
      <c r="B77" s="5"/>
      <c r="C77" s="110"/>
      <c r="D77" s="110"/>
      <c r="E77" s="110"/>
      <c r="F77" s="110"/>
      <c r="G77" s="110"/>
      <c r="H77" s="110"/>
      <c r="I77" s="110"/>
      <c r="J77" s="110"/>
      <c r="K77" s="110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5.75" customHeight="1" x14ac:dyDescent="0.2">
      <c r="A78" s="5"/>
      <c r="B78" s="5"/>
      <c r="C78" s="110"/>
      <c r="D78" s="110"/>
      <c r="E78" s="110"/>
      <c r="F78" s="110"/>
      <c r="G78" s="110"/>
      <c r="H78" s="110"/>
      <c r="I78" s="110"/>
      <c r="J78" s="110"/>
      <c r="K78" s="110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5.75" customHeight="1" x14ac:dyDescent="0.2">
      <c r="A79" s="5"/>
      <c r="B79" s="5"/>
      <c r="C79" s="110"/>
      <c r="D79" s="110"/>
      <c r="E79" s="110"/>
      <c r="F79" s="110"/>
      <c r="G79" s="110"/>
      <c r="H79" s="110"/>
      <c r="I79" s="110"/>
      <c r="J79" s="110"/>
      <c r="K79" s="110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5.75" customHeight="1" x14ac:dyDescent="0.2">
      <c r="A80" s="5"/>
      <c r="B80" s="5"/>
      <c r="C80" s="110"/>
      <c r="D80" s="110"/>
      <c r="E80" s="110"/>
      <c r="F80" s="110"/>
      <c r="G80" s="110"/>
      <c r="H80" s="110"/>
      <c r="I80" s="110"/>
      <c r="J80" s="110"/>
      <c r="K80" s="110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5.75" customHeight="1" x14ac:dyDescent="0.2">
      <c r="A81" s="5"/>
      <c r="B81" s="5"/>
      <c r="C81" s="110"/>
      <c r="D81" s="110"/>
      <c r="E81" s="110"/>
      <c r="F81" s="110"/>
      <c r="G81" s="110"/>
      <c r="H81" s="110"/>
      <c r="I81" s="110"/>
      <c r="J81" s="110"/>
      <c r="K81" s="110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5.75" customHeight="1" x14ac:dyDescent="0.2">
      <c r="A82" s="5"/>
      <c r="B82" s="5"/>
      <c r="C82" s="110"/>
      <c r="D82" s="110"/>
      <c r="E82" s="110"/>
      <c r="F82" s="110"/>
      <c r="G82" s="110"/>
      <c r="H82" s="110"/>
      <c r="I82" s="110"/>
      <c r="J82" s="110"/>
      <c r="K82" s="110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5.75" customHeight="1" x14ac:dyDescent="0.2">
      <c r="A83" s="5"/>
      <c r="B83" s="5"/>
      <c r="C83" s="110"/>
      <c r="D83" s="110"/>
      <c r="E83" s="110"/>
      <c r="F83" s="110"/>
      <c r="G83" s="110"/>
      <c r="H83" s="110"/>
      <c r="I83" s="110"/>
      <c r="J83" s="110"/>
      <c r="K83" s="110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5.75" customHeight="1" x14ac:dyDescent="0.2">
      <c r="A84" s="5"/>
      <c r="B84" s="5"/>
      <c r="C84" s="110"/>
      <c r="D84" s="110"/>
      <c r="E84" s="110"/>
      <c r="F84" s="110"/>
      <c r="G84" s="110"/>
      <c r="H84" s="110"/>
      <c r="I84" s="110"/>
      <c r="J84" s="110"/>
      <c r="K84" s="110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5.75" customHeight="1" x14ac:dyDescent="0.2">
      <c r="A85" s="5"/>
      <c r="B85" s="5"/>
      <c r="C85" s="110"/>
      <c r="D85" s="110"/>
      <c r="E85" s="110"/>
      <c r="F85" s="110"/>
      <c r="G85" s="110"/>
      <c r="H85" s="110"/>
      <c r="I85" s="110"/>
      <c r="J85" s="110"/>
      <c r="K85" s="110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5.75" customHeight="1" x14ac:dyDescent="0.2">
      <c r="A86" s="5"/>
      <c r="B86" s="5"/>
      <c r="C86" s="110"/>
      <c r="D86" s="110"/>
      <c r="E86" s="110"/>
      <c r="F86" s="110"/>
      <c r="G86" s="110"/>
      <c r="H86" s="110"/>
      <c r="I86" s="110"/>
      <c r="J86" s="110"/>
      <c r="K86" s="110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5.75" customHeight="1" x14ac:dyDescent="0.2">
      <c r="A87" s="5"/>
      <c r="B87" s="5"/>
      <c r="C87" s="110"/>
      <c r="D87" s="110"/>
      <c r="E87" s="110"/>
      <c r="F87" s="110"/>
      <c r="G87" s="110"/>
      <c r="H87" s="110"/>
      <c r="I87" s="110"/>
      <c r="J87" s="110"/>
      <c r="K87" s="110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5.75" customHeight="1" x14ac:dyDescent="0.2">
      <c r="A88" s="5"/>
      <c r="B88" s="5"/>
      <c r="C88" s="110"/>
      <c r="D88" s="110"/>
      <c r="E88" s="110"/>
      <c r="F88" s="110"/>
      <c r="G88" s="110"/>
      <c r="H88" s="110"/>
      <c r="I88" s="110"/>
      <c r="J88" s="110"/>
      <c r="K88" s="110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5.75" customHeight="1" x14ac:dyDescent="0.2">
      <c r="A89" s="5"/>
      <c r="B89" s="5"/>
      <c r="C89" s="110"/>
      <c r="D89" s="110"/>
      <c r="E89" s="110"/>
      <c r="F89" s="110"/>
      <c r="G89" s="110"/>
      <c r="H89" s="110"/>
      <c r="I89" s="110"/>
      <c r="J89" s="110"/>
      <c r="K89" s="110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5.75" customHeight="1" x14ac:dyDescent="0.2">
      <c r="A90" s="5"/>
      <c r="B90" s="5"/>
      <c r="C90" s="110"/>
      <c r="D90" s="110"/>
      <c r="E90" s="110"/>
      <c r="F90" s="110"/>
      <c r="G90" s="110"/>
      <c r="H90" s="110"/>
      <c r="I90" s="110"/>
      <c r="J90" s="110"/>
      <c r="K90" s="110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5.75" customHeight="1" x14ac:dyDescent="0.2">
      <c r="A91" s="5"/>
      <c r="B91" s="5"/>
      <c r="C91" s="110"/>
      <c r="D91" s="110"/>
      <c r="E91" s="110"/>
      <c r="F91" s="110"/>
      <c r="G91" s="110"/>
      <c r="H91" s="110"/>
      <c r="I91" s="110"/>
      <c r="J91" s="110"/>
      <c r="K91" s="110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5.75" customHeight="1" x14ac:dyDescent="0.2">
      <c r="A92" s="5"/>
      <c r="B92" s="5"/>
      <c r="C92" s="110"/>
      <c r="D92" s="110"/>
      <c r="E92" s="110"/>
      <c r="F92" s="110"/>
      <c r="G92" s="110"/>
      <c r="H92" s="110"/>
      <c r="I92" s="110"/>
      <c r="J92" s="110"/>
      <c r="K92" s="110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5.75" customHeight="1" x14ac:dyDescent="0.2">
      <c r="A93" s="5"/>
      <c r="B93" s="5"/>
      <c r="C93" s="110"/>
      <c r="D93" s="110"/>
      <c r="E93" s="110"/>
      <c r="F93" s="110"/>
      <c r="G93" s="110"/>
      <c r="H93" s="110"/>
      <c r="I93" s="110"/>
      <c r="J93" s="110"/>
      <c r="K93" s="110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5.75" customHeight="1" x14ac:dyDescent="0.2">
      <c r="A94" s="5"/>
      <c r="B94" s="5"/>
      <c r="C94" s="110"/>
      <c r="D94" s="110"/>
      <c r="E94" s="110"/>
      <c r="F94" s="110"/>
      <c r="G94" s="110"/>
      <c r="H94" s="110"/>
      <c r="I94" s="110"/>
      <c r="J94" s="110"/>
      <c r="K94" s="110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5.75" customHeight="1" x14ac:dyDescent="0.2">
      <c r="A95" s="5"/>
      <c r="B95" s="5"/>
      <c r="C95" s="110"/>
      <c r="D95" s="110"/>
      <c r="E95" s="110"/>
      <c r="F95" s="110"/>
      <c r="G95" s="110"/>
      <c r="H95" s="110"/>
      <c r="I95" s="110"/>
      <c r="J95" s="110"/>
      <c r="K95" s="110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5.75" customHeight="1" x14ac:dyDescent="0.2">
      <c r="A96" s="5"/>
      <c r="B96" s="5"/>
      <c r="C96" s="110"/>
      <c r="D96" s="110"/>
      <c r="E96" s="110"/>
      <c r="F96" s="110"/>
      <c r="G96" s="110"/>
      <c r="H96" s="110"/>
      <c r="I96" s="110"/>
      <c r="J96" s="110"/>
      <c r="K96" s="110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5.75" customHeight="1" x14ac:dyDescent="0.2">
      <c r="A97" s="5"/>
      <c r="B97" s="5"/>
      <c r="C97" s="110"/>
      <c r="D97" s="110"/>
      <c r="E97" s="110"/>
      <c r="F97" s="110"/>
      <c r="G97" s="110"/>
      <c r="H97" s="110"/>
      <c r="I97" s="110"/>
      <c r="J97" s="110"/>
      <c r="K97" s="110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5.75" customHeight="1" x14ac:dyDescent="0.2">
      <c r="A98" s="5"/>
      <c r="B98" s="5"/>
      <c r="C98" s="110"/>
      <c r="D98" s="110"/>
      <c r="E98" s="110"/>
      <c r="F98" s="110"/>
      <c r="G98" s="110"/>
      <c r="H98" s="110"/>
      <c r="I98" s="110"/>
      <c r="J98" s="110"/>
      <c r="K98" s="110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5.75" customHeight="1" x14ac:dyDescent="0.2">
      <c r="A99" s="5"/>
      <c r="B99" s="5"/>
      <c r="C99" s="110"/>
      <c r="D99" s="110"/>
      <c r="E99" s="110"/>
      <c r="F99" s="110"/>
      <c r="G99" s="110"/>
      <c r="H99" s="110"/>
      <c r="I99" s="110"/>
      <c r="J99" s="110"/>
      <c r="K99" s="110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5.75" customHeight="1" x14ac:dyDescent="0.2">
      <c r="A100" s="5"/>
      <c r="B100" s="5"/>
      <c r="C100" s="110"/>
      <c r="D100" s="110"/>
      <c r="E100" s="110"/>
      <c r="F100" s="110"/>
      <c r="G100" s="110"/>
      <c r="H100" s="110"/>
      <c r="I100" s="110"/>
      <c r="J100" s="110"/>
      <c r="K100" s="110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5.75" customHeight="1" x14ac:dyDescent="0.2">
      <c r="A101" s="5"/>
      <c r="B101" s="5"/>
      <c r="C101" s="110"/>
      <c r="D101" s="110"/>
      <c r="E101" s="110"/>
      <c r="F101" s="110"/>
      <c r="G101" s="110"/>
      <c r="H101" s="110"/>
      <c r="I101" s="110"/>
      <c r="J101" s="110"/>
      <c r="K101" s="110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5.75" customHeight="1" x14ac:dyDescent="0.2">
      <c r="A102" s="5"/>
      <c r="B102" s="5"/>
      <c r="C102" s="110"/>
      <c r="D102" s="110"/>
      <c r="E102" s="110"/>
      <c r="F102" s="110"/>
      <c r="G102" s="110"/>
      <c r="H102" s="110"/>
      <c r="I102" s="110"/>
      <c r="J102" s="110"/>
      <c r="K102" s="110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5.75" customHeight="1" x14ac:dyDescent="0.2">
      <c r="A103" s="5"/>
      <c r="B103" s="5"/>
      <c r="C103" s="110"/>
      <c r="D103" s="110"/>
      <c r="E103" s="110"/>
      <c r="F103" s="110"/>
      <c r="G103" s="110"/>
      <c r="H103" s="110"/>
      <c r="I103" s="110"/>
      <c r="J103" s="110"/>
      <c r="K103" s="110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5.75" customHeight="1" x14ac:dyDescent="0.2">
      <c r="A104" s="5"/>
      <c r="B104" s="5"/>
      <c r="C104" s="110"/>
      <c r="D104" s="110"/>
      <c r="E104" s="110"/>
      <c r="F104" s="110"/>
      <c r="G104" s="110"/>
      <c r="H104" s="110"/>
      <c r="I104" s="110"/>
      <c r="J104" s="110"/>
      <c r="K104" s="110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5.75" customHeight="1" x14ac:dyDescent="0.2">
      <c r="A105" s="5"/>
      <c r="B105" s="5"/>
      <c r="C105" s="110"/>
      <c r="D105" s="110"/>
      <c r="E105" s="110"/>
      <c r="F105" s="110"/>
      <c r="G105" s="110"/>
      <c r="H105" s="110"/>
      <c r="I105" s="110"/>
      <c r="J105" s="110"/>
      <c r="K105" s="110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5.75" customHeight="1" x14ac:dyDescent="0.2">
      <c r="A106" s="5"/>
      <c r="B106" s="5"/>
      <c r="C106" s="110"/>
      <c r="D106" s="110"/>
      <c r="E106" s="110"/>
      <c r="F106" s="110"/>
      <c r="G106" s="110"/>
      <c r="H106" s="110"/>
      <c r="I106" s="110"/>
      <c r="J106" s="110"/>
      <c r="K106" s="110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5.75" customHeight="1" x14ac:dyDescent="0.2">
      <c r="A107" s="5"/>
      <c r="B107" s="5"/>
      <c r="C107" s="110"/>
      <c r="D107" s="110"/>
      <c r="E107" s="110"/>
      <c r="F107" s="110"/>
      <c r="G107" s="110"/>
      <c r="H107" s="110"/>
      <c r="I107" s="110"/>
      <c r="J107" s="110"/>
      <c r="K107" s="110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5.75" customHeight="1" x14ac:dyDescent="0.2">
      <c r="A108" s="5"/>
      <c r="B108" s="5"/>
      <c r="C108" s="110"/>
      <c r="D108" s="110"/>
      <c r="E108" s="110"/>
      <c r="F108" s="110"/>
      <c r="G108" s="110"/>
      <c r="H108" s="110"/>
      <c r="I108" s="110"/>
      <c r="J108" s="110"/>
      <c r="K108" s="110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5.75" customHeight="1" x14ac:dyDescent="0.2">
      <c r="A109" s="5"/>
      <c r="B109" s="5"/>
      <c r="C109" s="110"/>
      <c r="D109" s="110"/>
      <c r="E109" s="110"/>
      <c r="F109" s="110"/>
      <c r="G109" s="110"/>
      <c r="H109" s="110"/>
      <c r="I109" s="110"/>
      <c r="J109" s="110"/>
      <c r="K109" s="110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5.75" customHeight="1" x14ac:dyDescent="0.2">
      <c r="A110" s="5"/>
      <c r="B110" s="5"/>
      <c r="C110" s="110"/>
      <c r="D110" s="110"/>
      <c r="E110" s="110"/>
      <c r="F110" s="110"/>
      <c r="G110" s="110"/>
      <c r="H110" s="110"/>
      <c r="I110" s="110"/>
      <c r="J110" s="110"/>
      <c r="K110" s="110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5.75" customHeight="1" x14ac:dyDescent="0.2">
      <c r="A111" s="5"/>
      <c r="B111" s="5"/>
      <c r="C111" s="110"/>
      <c r="D111" s="110"/>
      <c r="E111" s="110"/>
      <c r="F111" s="110"/>
      <c r="G111" s="110"/>
      <c r="H111" s="110"/>
      <c r="I111" s="110"/>
      <c r="J111" s="110"/>
      <c r="K111" s="110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5.75" customHeight="1" x14ac:dyDescent="0.2">
      <c r="A112" s="5"/>
      <c r="B112" s="5"/>
      <c r="C112" s="110"/>
      <c r="D112" s="110"/>
      <c r="E112" s="110"/>
      <c r="F112" s="110"/>
      <c r="G112" s="110"/>
      <c r="H112" s="110"/>
      <c r="I112" s="110"/>
      <c r="J112" s="110"/>
      <c r="K112" s="110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5.75" customHeight="1" x14ac:dyDescent="0.2">
      <c r="A113" s="5"/>
      <c r="B113" s="5"/>
      <c r="C113" s="110"/>
      <c r="D113" s="110"/>
      <c r="E113" s="110"/>
      <c r="F113" s="110"/>
      <c r="G113" s="110"/>
      <c r="H113" s="110"/>
      <c r="I113" s="110"/>
      <c r="J113" s="110"/>
      <c r="K113" s="110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5.75" customHeight="1" x14ac:dyDescent="0.2">
      <c r="A114" s="5"/>
      <c r="B114" s="5"/>
      <c r="C114" s="110"/>
      <c r="D114" s="110"/>
      <c r="E114" s="110"/>
      <c r="F114" s="110"/>
      <c r="G114" s="110"/>
      <c r="H114" s="110"/>
      <c r="I114" s="110"/>
      <c r="J114" s="110"/>
      <c r="K114" s="110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5.75" customHeight="1" x14ac:dyDescent="0.2">
      <c r="A115" s="5"/>
      <c r="B115" s="5"/>
      <c r="C115" s="110"/>
      <c r="D115" s="110"/>
      <c r="E115" s="110"/>
      <c r="F115" s="110"/>
      <c r="G115" s="110"/>
      <c r="H115" s="110"/>
      <c r="I115" s="110"/>
      <c r="J115" s="110"/>
      <c r="K115" s="110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5.75" customHeight="1" x14ac:dyDescent="0.2">
      <c r="A116" s="5"/>
      <c r="B116" s="5"/>
      <c r="C116" s="110"/>
      <c r="D116" s="110"/>
      <c r="E116" s="110"/>
      <c r="F116" s="110"/>
      <c r="G116" s="110"/>
      <c r="H116" s="110"/>
      <c r="I116" s="110"/>
      <c r="J116" s="110"/>
      <c r="K116" s="110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5.75" customHeight="1" x14ac:dyDescent="0.2">
      <c r="A117" s="5"/>
      <c r="B117" s="5"/>
      <c r="C117" s="110"/>
      <c r="D117" s="110"/>
      <c r="E117" s="110"/>
      <c r="F117" s="110"/>
      <c r="G117" s="110"/>
      <c r="H117" s="110"/>
      <c r="I117" s="110"/>
      <c r="J117" s="110"/>
      <c r="K117" s="110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5.75" customHeight="1" x14ac:dyDescent="0.2">
      <c r="A118" s="5"/>
      <c r="B118" s="5"/>
      <c r="C118" s="110"/>
      <c r="D118" s="110"/>
      <c r="E118" s="110"/>
      <c r="F118" s="110"/>
      <c r="G118" s="110"/>
      <c r="H118" s="110"/>
      <c r="I118" s="110"/>
      <c r="J118" s="110"/>
      <c r="K118" s="110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5.75" customHeight="1" x14ac:dyDescent="0.2">
      <c r="A119" s="5"/>
      <c r="B119" s="5"/>
      <c r="C119" s="110"/>
      <c r="D119" s="110"/>
      <c r="E119" s="110"/>
      <c r="F119" s="110"/>
      <c r="G119" s="110"/>
      <c r="H119" s="110"/>
      <c r="I119" s="110"/>
      <c r="J119" s="110"/>
      <c r="K119" s="110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5.75" customHeight="1" x14ac:dyDescent="0.2">
      <c r="A120" s="5"/>
      <c r="B120" s="5"/>
      <c r="C120" s="110"/>
      <c r="D120" s="110"/>
      <c r="E120" s="110"/>
      <c r="F120" s="110"/>
      <c r="G120" s="110"/>
      <c r="H120" s="110"/>
      <c r="I120" s="110"/>
      <c r="J120" s="110"/>
      <c r="K120" s="110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5.75" customHeight="1" x14ac:dyDescent="0.2">
      <c r="A121" s="5"/>
      <c r="B121" s="5"/>
      <c r="C121" s="110"/>
      <c r="D121" s="110"/>
      <c r="E121" s="110"/>
      <c r="F121" s="110"/>
      <c r="G121" s="110"/>
      <c r="H121" s="110"/>
      <c r="I121" s="110"/>
      <c r="J121" s="110"/>
      <c r="K121" s="110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5.75" customHeight="1" x14ac:dyDescent="0.2">
      <c r="A122" s="5"/>
      <c r="B122" s="5"/>
      <c r="C122" s="110"/>
      <c r="D122" s="110"/>
      <c r="E122" s="110"/>
      <c r="F122" s="110"/>
      <c r="G122" s="110"/>
      <c r="H122" s="110"/>
      <c r="I122" s="110"/>
      <c r="J122" s="110"/>
      <c r="K122" s="110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5.75" customHeight="1" x14ac:dyDescent="0.2">
      <c r="A123" s="5"/>
      <c r="B123" s="5"/>
      <c r="C123" s="110"/>
      <c r="D123" s="110"/>
      <c r="E123" s="110"/>
      <c r="F123" s="110"/>
      <c r="G123" s="110"/>
      <c r="H123" s="110"/>
      <c r="I123" s="110"/>
      <c r="J123" s="110"/>
      <c r="K123" s="110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5.75" customHeight="1" x14ac:dyDescent="0.2">
      <c r="A124" s="5"/>
      <c r="B124" s="5"/>
      <c r="C124" s="110"/>
      <c r="D124" s="110"/>
      <c r="E124" s="110"/>
      <c r="F124" s="110"/>
      <c r="G124" s="110"/>
      <c r="H124" s="110"/>
      <c r="I124" s="110"/>
      <c r="J124" s="110"/>
      <c r="K124" s="110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5.75" customHeight="1" x14ac:dyDescent="0.2">
      <c r="A125" s="5"/>
      <c r="B125" s="5"/>
      <c r="C125" s="110"/>
      <c r="D125" s="110"/>
      <c r="E125" s="110"/>
      <c r="F125" s="110"/>
      <c r="G125" s="110"/>
      <c r="H125" s="110"/>
      <c r="I125" s="110"/>
      <c r="J125" s="110"/>
      <c r="K125" s="110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5.75" customHeight="1" x14ac:dyDescent="0.2">
      <c r="A126" s="5"/>
      <c r="B126" s="5"/>
      <c r="C126" s="110"/>
      <c r="D126" s="110"/>
      <c r="E126" s="110"/>
      <c r="F126" s="110"/>
      <c r="G126" s="110"/>
      <c r="H126" s="110"/>
      <c r="I126" s="110"/>
      <c r="J126" s="110"/>
      <c r="K126" s="110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5.75" customHeight="1" x14ac:dyDescent="0.2">
      <c r="A127" s="5"/>
      <c r="B127" s="5"/>
      <c r="C127" s="110"/>
      <c r="D127" s="110"/>
      <c r="E127" s="110"/>
      <c r="F127" s="110"/>
      <c r="G127" s="110"/>
      <c r="H127" s="110"/>
      <c r="I127" s="110"/>
      <c r="J127" s="110"/>
      <c r="K127" s="110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5.75" customHeight="1" x14ac:dyDescent="0.2">
      <c r="A128" s="5"/>
      <c r="B128" s="5"/>
      <c r="C128" s="110"/>
      <c r="D128" s="110"/>
      <c r="E128" s="110"/>
      <c r="F128" s="110"/>
      <c r="G128" s="110"/>
      <c r="H128" s="110"/>
      <c r="I128" s="110"/>
      <c r="J128" s="110"/>
      <c r="K128" s="110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5.75" customHeight="1" x14ac:dyDescent="0.2">
      <c r="A129" s="5"/>
      <c r="B129" s="5"/>
      <c r="C129" s="110"/>
      <c r="D129" s="110"/>
      <c r="E129" s="110"/>
      <c r="F129" s="110"/>
      <c r="G129" s="110"/>
      <c r="H129" s="110"/>
      <c r="I129" s="110"/>
      <c r="J129" s="110"/>
      <c r="K129" s="110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5.75" customHeight="1" x14ac:dyDescent="0.2">
      <c r="A130" s="5"/>
      <c r="B130" s="5"/>
      <c r="C130" s="110"/>
      <c r="D130" s="110"/>
      <c r="E130" s="110"/>
      <c r="F130" s="110"/>
      <c r="G130" s="110"/>
      <c r="H130" s="110"/>
      <c r="I130" s="110"/>
      <c r="J130" s="110"/>
      <c r="K130" s="110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5.75" customHeight="1" x14ac:dyDescent="0.2">
      <c r="A131" s="5"/>
      <c r="B131" s="5"/>
      <c r="C131" s="110"/>
      <c r="D131" s="110"/>
      <c r="E131" s="110"/>
      <c r="F131" s="110"/>
      <c r="G131" s="110"/>
      <c r="H131" s="110"/>
      <c r="I131" s="110"/>
      <c r="J131" s="110"/>
      <c r="K131" s="110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5.75" customHeight="1" x14ac:dyDescent="0.2">
      <c r="A132" s="5"/>
      <c r="B132" s="5"/>
      <c r="C132" s="110"/>
      <c r="D132" s="110"/>
      <c r="E132" s="110"/>
      <c r="F132" s="110"/>
      <c r="G132" s="110"/>
      <c r="H132" s="110"/>
      <c r="I132" s="110"/>
      <c r="J132" s="110"/>
      <c r="K132" s="110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5.75" customHeight="1" x14ac:dyDescent="0.2">
      <c r="A133" s="5"/>
      <c r="B133" s="5"/>
      <c r="C133" s="110"/>
      <c r="D133" s="110"/>
      <c r="E133" s="110"/>
      <c r="F133" s="110"/>
      <c r="G133" s="110"/>
      <c r="H133" s="110"/>
      <c r="I133" s="110"/>
      <c r="J133" s="110"/>
      <c r="K133" s="110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5.75" customHeight="1" x14ac:dyDescent="0.2">
      <c r="A134" s="5"/>
      <c r="B134" s="5"/>
      <c r="C134" s="110"/>
      <c r="D134" s="110"/>
      <c r="E134" s="110"/>
      <c r="F134" s="110"/>
      <c r="G134" s="110"/>
      <c r="H134" s="110"/>
      <c r="I134" s="110"/>
      <c r="J134" s="110"/>
      <c r="K134" s="110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5.75" customHeight="1" x14ac:dyDescent="0.2">
      <c r="A135" s="5"/>
      <c r="B135" s="5"/>
      <c r="C135" s="110"/>
      <c r="D135" s="110"/>
      <c r="E135" s="110"/>
      <c r="F135" s="110"/>
      <c r="G135" s="110"/>
      <c r="H135" s="110"/>
      <c r="I135" s="110"/>
      <c r="J135" s="110"/>
      <c r="K135" s="110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5.75" customHeight="1" x14ac:dyDescent="0.2">
      <c r="A136" s="5"/>
      <c r="B136" s="5"/>
      <c r="C136" s="110"/>
      <c r="D136" s="110"/>
      <c r="E136" s="110"/>
      <c r="F136" s="110"/>
      <c r="G136" s="110"/>
      <c r="H136" s="110"/>
      <c r="I136" s="110"/>
      <c r="J136" s="110"/>
      <c r="K136" s="110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5.75" customHeight="1" x14ac:dyDescent="0.2">
      <c r="A137" s="5"/>
      <c r="B137" s="5"/>
      <c r="C137" s="110"/>
      <c r="D137" s="110"/>
      <c r="E137" s="110"/>
      <c r="F137" s="110"/>
      <c r="G137" s="110"/>
      <c r="H137" s="110"/>
      <c r="I137" s="110"/>
      <c r="J137" s="110"/>
      <c r="K137" s="110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5.75" customHeight="1" x14ac:dyDescent="0.2">
      <c r="A138" s="5"/>
      <c r="B138" s="5"/>
      <c r="C138" s="110"/>
      <c r="D138" s="110"/>
      <c r="E138" s="110"/>
      <c r="F138" s="110"/>
      <c r="G138" s="110"/>
      <c r="H138" s="110"/>
      <c r="I138" s="110"/>
      <c r="J138" s="110"/>
      <c r="K138" s="110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5.75" customHeight="1" x14ac:dyDescent="0.2">
      <c r="A139" s="5"/>
      <c r="B139" s="5"/>
      <c r="C139" s="110"/>
      <c r="D139" s="110"/>
      <c r="E139" s="110"/>
      <c r="F139" s="110"/>
      <c r="G139" s="110"/>
      <c r="H139" s="110"/>
      <c r="I139" s="110"/>
      <c r="J139" s="110"/>
      <c r="K139" s="110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5.75" customHeight="1" x14ac:dyDescent="0.2">
      <c r="A140" s="5"/>
      <c r="B140" s="5"/>
      <c r="C140" s="110"/>
      <c r="D140" s="110"/>
      <c r="E140" s="110"/>
      <c r="F140" s="110"/>
      <c r="G140" s="110"/>
      <c r="H140" s="110"/>
      <c r="I140" s="110"/>
      <c r="J140" s="110"/>
      <c r="K140" s="110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5.75" customHeight="1" x14ac:dyDescent="0.2">
      <c r="A141" s="5"/>
      <c r="B141" s="5"/>
      <c r="C141" s="110"/>
      <c r="D141" s="110"/>
      <c r="E141" s="110"/>
      <c r="F141" s="110"/>
      <c r="G141" s="110"/>
      <c r="H141" s="110"/>
      <c r="I141" s="110"/>
      <c r="J141" s="110"/>
      <c r="K141" s="110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5.75" customHeight="1" x14ac:dyDescent="0.2">
      <c r="A142" s="5"/>
      <c r="B142" s="5"/>
      <c r="C142" s="110"/>
      <c r="D142" s="110"/>
      <c r="E142" s="110"/>
      <c r="F142" s="110"/>
      <c r="G142" s="110"/>
      <c r="H142" s="110"/>
      <c r="I142" s="110"/>
      <c r="J142" s="110"/>
      <c r="K142" s="110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5.75" customHeight="1" x14ac:dyDescent="0.2">
      <c r="A143" s="5"/>
      <c r="B143" s="5"/>
      <c r="C143" s="110"/>
      <c r="D143" s="110"/>
      <c r="E143" s="110"/>
      <c r="F143" s="110"/>
      <c r="G143" s="110"/>
      <c r="H143" s="110"/>
      <c r="I143" s="110"/>
      <c r="J143" s="110"/>
      <c r="K143" s="110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5.75" customHeight="1" x14ac:dyDescent="0.2">
      <c r="A144" s="5"/>
      <c r="B144" s="5"/>
      <c r="C144" s="110"/>
      <c r="D144" s="110"/>
      <c r="E144" s="110"/>
      <c r="F144" s="110"/>
      <c r="G144" s="110"/>
      <c r="H144" s="110"/>
      <c r="I144" s="110"/>
      <c r="J144" s="110"/>
      <c r="K144" s="110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5.75" customHeight="1" x14ac:dyDescent="0.2">
      <c r="A145" s="5"/>
      <c r="B145" s="5"/>
      <c r="C145" s="110"/>
      <c r="D145" s="110"/>
      <c r="E145" s="110"/>
      <c r="F145" s="110"/>
      <c r="G145" s="110"/>
      <c r="H145" s="110"/>
      <c r="I145" s="110"/>
      <c r="J145" s="110"/>
      <c r="K145" s="110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5.75" customHeight="1" x14ac:dyDescent="0.2">
      <c r="A146" s="5"/>
      <c r="B146" s="5"/>
      <c r="C146" s="110"/>
      <c r="D146" s="110"/>
      <c r="E146" s="110"/>
      <c r="F146" s="110"/>
      <c r="G146" s="110"/>
      <c r="H146" s="110"/>
      <c r="I146" s="110"/>
      <c r="J146" s="110"/>
      <c r="K146" s="110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5.75" customHeight="1" x14ac:dyDescent="0.2">
      <c r="A147" s="5"/>
      <c r="B147" s="5"/>
      <c r="C147" s="110"/>
      <c r="D147" s="110"/>
      <c r="E147" s="110"/>
      <c r="F147" s="110"/>
      <c r="G147" s="110"/>
      <c r="H147" s="110"/>
      <c r="I147" s="110"/>
      <c r="J147" s="110"/>
      <c r="K147" s="110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5.75" customHeight="1" x14ac:dyDescent="0.2">
      <c r="A148" s="5"/>
      <c r="B148" s="5"/>
      <c r="C148" s="110"/>
      <c r="D148" s="110"/>
      <c r="E148" s="110"/>
      <c r="F148" s="110"/>
      <c r="G148" s="110"/>
      <c r="H148" s="110"/>
      <c r="I148" s="110"/>
      <c r="J148" s="110"/>
      <c r="K148" s="110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5.75" customHeight="1" x14ac:dyDescent="0.2">
      <c r="A149" s="5"/>
      <c r="B149" s="5"/>
      <c r="C149" s="110"/>
      <c r="D149" s="110"/>
      <c r="E149" s="110"/>
      <c r="F149" s="110"/>
      <c r="G149" s="110"/>
      <c r="H149" s="110"/>
      <c r="I149" s="110"/>
      <c r="J149" s="110"/>
      <c r="K149" s="110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5.75" customHeight="1" x14ac:dyDescent="0.2">
      <c r="A150" s="5"/>
      <c r="B150" s="5"/>
      <c r="C150" s="110"/>
      <c r="D150" s="110"/>
      <c r="E150" s="110"/>
      <c r="F150" s="110"/>
      <c r="G150" s="110"/>
      <c r="H150" s="110"/>
      <c r="I150" s="110"/>
      <c r="J150" s="110"/>
      <c r="K150" s="110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5.75" customHeight="1" x14ac:dyDescent="0.2">
      <c r="A151" s="5"/>
      <c r="B151" s="5"/>
      <c r="C151" s="110"/>
      <c r="D151" s="110"/>
      <c r="E151" s="110"/>
      <c r="F151" s="110"/>
      <c r="G151" s="110"/>
      <c r="H151" s="110"/>
      <c r="I151" s="110"/>
      <c r="J151" s="110"/>
      <c r="K151" s="110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5.75" customHeight="1" x14ac:dyDescent="0.2">
      <c r="A152" s="5"/>
      <c r="B152" s="5"/>
      <c r="C152" s="110"/>
      <c r="D152" s="110"/>
      <c r="E152" s="110"/>
      <c r="F152" s="110"/>
      <c r="G152" s="110"/>
      <c r="H152" s="110"/>
      <c r="I152" s="110"/>
      <c r="J152" s="110"/>
      <c r="K152" s="110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5.75" customHeight="1" x14ac:dyDescent="0.2">
      <c r="A153" s="5"/>
      <c r="B153" s="5"/>
      <c r="C153" s="110"/>
      <c r="D153" s="110"/>
      <c r="E153" s="110"/>
      <c r="F153" s="110"/>
      <c r="G153" s="110"/>
      <c r="H153" s="110"/>
      <c r="I153" s="110"/>
      <c r="J153" s="110"/>
      <c r="K153" s="110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5.75" customHeight="1" x14ac:dyDescent="0.2">
      <c r="A154" s="5"/>
      <c r="B154" s="5"/>
      <c r="C154" s="110"/>
      <c r="D154" s="110"/>
      <c r="E154" s="110"/>
      <c r="F154" s="110"/>
      <c r="G154" s="110"/>
      <c r="H154" s="110"/>
      <c r="I154" s="110"/>
      <c r="J154" s="110"/>
      <c r="K154" s="110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5.75" customHeight="1" x14ac:dyDescent="0.2">
      <c r="A155" s="5"/>
      <c r="B155" s="5"/>
      <c r="C155" s="110"/>
      <c r="D155" s="110"/>
      <c r="E155" s="110"/>
      <c r="F155" s="110"/>
      <c r="G155" s="110"/>
      <c r="H155" s="110"/>
      <c r="I155" s="110"/>
      <c r="J155" s="110"/>
      <c r="K155" s="110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5.75" customHeight="1" x14ac:dyDescent="0.2">
      <c r="A156" s="5"/>
      <c r="B156" s="5"/>
      <c r="C156" s="110"/>
      <c r="D156" s="110"/>
      <c r="E156" s="110"/>
      <c r="F156" s="110"/>
      <c r="G156" s="110"/>
      <c r="H156" s="110"/>
      <c r="I156" s="110"/>
      <c r="J156" s="110"/>
      <c r="K156" s="110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5.75" customHeight="1" x14ac:dyDescent="0.2">
      <c r="A157" s="5"/>
      <c r="B157" s="5"/>
      <c r="C157" s="110"/>
      <c r="D157" s="110"/>
      <c r="E157" s="110"/>
      <c r="F157" s="110"/>
      <c r="G157" s="110"/>
      <c r="H157" s="110"/>
      <c r="I157" s="110"/>
      <c r="J157" s="110"/>
      <c r="K157" s="110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5.75" customHeight="1" x14ac:dyDescent="0.2">
      <c r="A158" s="5"/>
      <c r="B158" s="5"/>
      <c r="C158" s="110"/>
      <c r="D158" s="110"/>
      <c r="E158" s="110"/>
      <c r="F158" s="110"/>
      <c r="G158" s="110"/>
      <c r="H158" s="110"/>
      <c r="I158" s="110"/>
      <c r="J158" s="110"/>
      <c r="K158" s="110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5.75" customHeight="1" x14ac:dyDescent="0.2">
      <c r="A159" s="5"/>
      <c r="B159" s="5"/>
      <c r="C159" s="110"/>
      <c r="D159" s="110"/>
      <c r="E159" s="110"/>
      <c r="F159" s="110"/>
      <c r="G159" s="110"/>
      <c r="H159" s="110"/>
      <c r="I159" s="110"/>
      <c r="J159" s="110"/>
      <c r="K159" s="110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5.75" customHeight="1" x14ac:dyDescent="0.2">
      <c r="A160" s="5"/>
      <c r="B160" s="5"/>
      <c r="C160" s="110"/>
      <c r="D160" s="110"/>
      <c r="E160" s="110"/>
      <c r="F160" s="110"/>
      <c r="G160" s="110"/>
      <c r="H160" s="110"/>
      <c r="I160" s="110"/>
      <c r="J160" s="110"/>
      <c r="K160" s="110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5.75" customHeight="1" x14ac:dyDescent="0.2">
      <c r="A161" s="5"/>
      <c r="B161" s="5"/>
      <c r="C161" s="110"/>
      <c r="D161" s="110"/>
      <c r="E161" s="110"/>
      <c r="F161" s="110"/>
      <c r="G161" s="110"/>
      <c r="H161" s="110"/>
      <c r="I161" s="110"/>
      <c r="J161" s="110"/>
      <c r="K161" s="110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5.75" customHeight="1" x14ac:dyDescent="0.2">
      <c r="A162" s="5"/>
      <c r="B162" s="5"/>
      <c r="C162" s="110"/>
      <c r="D162" s="110"/>
      <c r="E162" s="110"/>
      <c r="F162" s="110"/>
      <c r="G162" s="110"/>
      <c r="H162" s="110"/>
      <c r="I162" s="110"/>
      <c r="J162" s="110"/>
      <c r="K162" s="110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5.75" customHeight="1" x14ac:dyDescent="0.2">
      <c r="A163" s="5"/>
      <c r="B163" s="5"/>
      <c r="C163" s="110"/>
      <c r="D163" s="110"/>
      <c r="E163" s="110"/>
      <c r="F163" s="110"/>
      <c r="G163" s="110"/>
      <c r="H163" s="110"/>
      <c r="I163" s="110"/>
      <c r="J163" s="110"/>
      <c r="K163" s="110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5.75" customHeight="1" x14ac:dyDescent="0.2">
      <c r="A164" s="5"/>
      <c r="B164" s="5"/>
      <c r="C164" s="110"/>
      <c r="D164" s="110"/>
      <c r="E164" s="110"/>
      <c r="F164" s="110"/>
      <c r="G164" s="110"/>
      <c r="H164" s="110"/>
      <c r="I164" s="110"/>
      <c r="J164" s="110"/>
      <c r="K164" s="110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5.75" customHeight="1" x14ac:dyDescent="0.2">
      <c r="A165" s="5"/>
      <c r="B165" s="5"/>
      <c r="C165" s="110"/>
      <c r="D165" s="110"/>
      <c r="E165" s="110"/>
      <c r="F165" s="110"/>
      <c r="G165" s="110"/>
      <c r="H165" s="110"/>
      <c r="I165" s="110"/>
      <c r="J165" s="110"/>
      <c r="K165" s="110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5.75" customHeight="1" x14ac:dyDescent="0.2">
      <c r="A166" s="5"/>
      <c r="B166" s="5"/>
      <c r="C166" s="110"/>
      <c r="D166" s="110"/>
      <c r="E166" s="110"/>
      <c r="F166" s="110"/>
      <c r="G166" s="110"/>
      <c r="H166" s="110"/>
      <c r="I166" s="110"/>
      <c r="J166" s="110"/>
      <c r="K166" s="110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5.75" customHeight="1" x14ac:dyDescent="0.2">
      <c r="A167" s="5"/>
      <c r="B167" s="5"/>
      <c r="C167" s="110"/>
      <c r="D167" s="110"/>
      <c r="E167" s="110"/>
      <c r="F167" s="110"/>
      <c r="G167" s="110"/>
      <c r="H167" s="110"/>
      <c r="I167" s="110"/>
      <c r="J167" s="110"/>
      <c r="K167" s="110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5.75" customHeight="1" x14ac:dyDescent="0.2">
      <c r="A168" s="5"/>
      <c r="B168" s="5"/>
      <c r="C168" s="110"/>
      <c r="D168" s="110"/>
      <c r="E168" s="110"/>
      <c r="F168" s="110"/>
      <c r="G168" s="110"/>
      <c r="H168" s="110"/>
      <c r="I168" s="110"/>
      <c r="J168" s="110"/>
      <c r="K168" s="110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5.75" customHeight="1" x14ac:dyDescent="0.2">
      <c r="A169" s="5"/>
      <c r="B169" s="5"/>
      <c r="C169" s="110"/>
      <c r="D169" s="110"/>
      <c r="E169" s="110"/>
      <c r="F169" s="110"/>
      <c r="G169" s="110"/>
      <c r="H169" s="110"/>
      <c r="I169" s="110"/>
      <c r="J169" s="110"/>
      <c r="K169" s="110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5.75" customHeight="1" x14ac:dyDescent="0.2">
      <c r="A170" s="5"/>
      <c r="B170" s="5"/>
      <c r="C170" s="110"/>
      <c r="D170" s="110"/>
      <c r="E170" s="110"/>
      <c r="F170" s="110"/>
      <c r="G170" s="110"/>
      <c r="H170" s="110"/>
      <c r="I170" s="110"/>
      <c r="J170" s="110"/>
      <c r="K170" s="110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5.75" customHeight="1" x14ac:dyDescent="0.2">
      <c r="A171" s="5"/>
      <c r="B171" s="5"/>
      <c r="C171" s="110"/>
      <c r="D171" s="110"/>
      <c r="E171" s="110"/>
      <c r="F171" s="110"/>
      <c r="G171" s="110"/>
      <c r="H171" s="110"/>
      <c r="I171" s="110"/>
      <c r="J171" s="110"/>
      <c r="K171" s="110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5.75" customHeight="1" x14ac:dyDescent="0.2">
      <c r="A172" s="5"/>
      <c r="B172" s="5"/>
      <c r="C172" s="110"/>
      <c r="D172" s="110"/>
      <c r="E172" s="110"/>
      <c r="F172" s="110"/>
      <c r="G172" s="110"/>
      <c r="H172" s="110"/>
      <c r="I172" s="110"/>
      <c r="J172" s="110"/>
      <c r="K172" s="110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5.75" customHeight="1" x14ac:dyDescent="0.2">
      <c r="A173" s="5"/>
      <c r="B173" s="5"/>
      <c r="C173" s="110"/>
      <c r="D173" s="110"/>
      <c r="E173" s="110"/>
      <c r="F173" s="110"/>
      <c r="G173" s="110"/>
      <c r="H173" s="110"/>
      <c r="I173" s="110"/>
      <c r="J173" s="110"/>
      <c r="K173" s="110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5.75" customHeight="1" x14ac:dyDescent="0.2">
      <c r="A174" s="5"/>
      <c r="B174" s="5"/>
      <c r="C174" s="110"/>
      <c r="D174" s="110"/>
      <c r="E174" s="110"/>
      <c r="F174" s="110"/>
      <c r="G174" s="110"/>
      <c r="H174" s="110"/>
      <c r="I174" s="110"/>
      <c r="J174" s="110"/>
      <c r="K174" s="110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5.75" customHeight="1" x14ac:dyDescent="0.2">
      <c r="A175" s="5"/>
      <c r="B175" s="5"/>
      <c r="C175" s="110"/>
      <c r="D175" s="110"/>
      <c r="E175" s="110"/>
      <c r="F175" s="110"/>
      <c r="G175" s="110"/>
      <c r="H175" s="110"/>
      <c r="I175" s="110"/>
      <c r="J175" s="110"/>
      <c r="K175" s="110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5.75" customHeight="1" x14ac:dyDescent="0.2">
      <c r="A176" s="5"/>
      <c r="B176" s="5"/>
      <c r="C176" s="110"/>
      <c r="D176" s="110"/>
      <c r="E176" s="110"/>
      <c r="F176" s="110"/>
      <c r="G176" s="110"/>
      <c r="H176" s="110"/>
      <c r="I176" s="110"/>
      <c r="J176" s="110"/>
      <c r="K176" s="110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5.75" customHeight="1" x14ac:dyDescent="0.2">
      <c r="A177" s="5"/>
      <c r="B177" s="5"/>
      <c r="C177" s="110"/>
      <c r="D177" s="110"/>
      <c r="E177" s="110"/>
      <c r="F177" s="110"/>
      <c r="G177" s="110"/>
      <c r="H177" s="110"/>
      <c r="I177" s="110"/>
      <c r="J177" s="110"/>
      <c r="K177" s="110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5.75" customHeight="1" x14ac:dyDescent="0.2">
      <c r="A178" s="5"/>
      <c r="B178" s="5"/>
      <c r="C178" s="110"/>
      <c r="D178" s="110"/>
      <c r="E178" s="110"/>
      <c r="F178" s="110"/>
      <c r="G178" s="110"/>
      <c r="H178" s="110"/>
      <c r="I178" s="110"/>
      <c r="J178" s="110"/>
      <c r="K178" s="110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5.75" customHeight="1" x14ac:dyDescent="0.2">
      <c r="A179" s="5"/>
      <c r="B179" s="5"/>
      <c r="C179" s="110"/>
      <c r="D179" s="110"/>
      <c r="E179" s="110"/>
      <c r="F179" s="110"/>
      <c r="G179" s="110"/>
      <c r="H179" s="110"/>
      <c r="I179" s="110"/>
      <c r="J179" s="110"/>
      <c r="K179" s="110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5.75" customHeight="1" x14ac:dyDescent="0.2">
      <c r="A180" s="5"/>
      <c r="B180" s="5"/>
      <c r="C180" s="110"/>
      <c r="D180" s="110"/>
      <c r="E180" s="110"/>
      <c r="F180" s="110"/>
      <c r="G180" s="110"/>
      <c r="H180" s="110"/>
      <c r="I180" s="110"/>
      <c r="J180" s="110"/>
      <c r="K180" s="110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5.75" customHeight="1" x14ac:dyDescent="0.2">
      <c r="A181" s="5"/>
      <c r="B181" s="5"/>
      <c r="C181" s="110"/>
      <c r="D181" s="110"/>
      <c r="E181" s="110"/>
      <c r="F181" s="110"/>
      <c r="G181" s="110"/>
      <c r="H181" s="110"/>
      <c r="I181" s="110"/>
      <c r="J181" s="110"/>
      <c r="K181" s="110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5.75" customHeight="1" x14ac:dyDescent="0.2">
      <c r="A182" s="5"/>
      <c r="B182" s="5"/>
      <c r="C182" s="110"/>
      <c r="D182" s="110"/>
      <c r="E182" s="110"/>
      <c r="F182" s="110"/>
      <c r="G182" s="110"/>
      <c r="H182" s="110"/>
      <c r="I182" s="110"/>
      <c r="J182" s="110"/>
      <c r="K182" s="110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5.75" customHeight="1" x14ac:dyDescent="0.2">
      <c r="A183" s="5"/>
      <c r="B183" s="5"/>
      <c r="C183" s="110"/>
      <c r="D183" s="110"/>
      <c r="E183" s="110"/>
      <c r="F183" s="110"/>
      <c r="G183" s="110"/>
      <c r="H183" s="110"/>
      <c r="I183" s="110"/>
      <c r="J183" s="110"/>
      <c r="K183" s="110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5.75" customHeight="1" x14ac:dyDescent="0.2">
      <c r="A184" s="5"/>
      <c r="B184" s="5"/>
      <c r="C184" s="110"/>
      <c r="D184" s="110"/>
      <c r="E184" s="110"/>
      <c r="F184" s="110"/>
      <c r="G184" s="110"/>
      <c r="H184" s="110"/>
      <c r="I184" s="110"/>
      <c r="J184" s="110"/>
      <c r="K184" s="110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5.75" customHeight="1" x14ac:dyDescent="0.2">
      <c r="A185" s="5"/>
      <c r="B185" s="5"/>
      <c r="C185" s="110"/>
      <c r="D185" s="110"/>
      <c r="E185" s="110"/>
      <c r="F185" s="110"/>
      <c r="G185" s="110"/>
      <c r="H185" s="110"/>
      <c r="I185" s="110"/>
      <c r="J185" s="110"/>
      <c r="K185" s="110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5.75" customHeight="1" x14ac:dyDescent="0.2">
      <c r="A186" s="5"/>
      <c r="B186" s="5"/>
      <c r="C186" s="110"/>
      <c r="D186" s="110"/>
      <c r="E186" s="110"/>
      <c r="F186" s="110"/>
      <c r="G186" s="110"/>
      <c r="H186" s="110"/>
      <c r="I186" s="110"/>
      <c r="J186" s="110"/>
      <c r="K186" s="110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5.75" customHeight="1" x14ac:dyDescent="0.2">
      <c r="A187" s="5"/>
      <c r="B187" s="5"/>
      <c r="C187" s="110"/>
      <c r="D187" s="110"/>
      <c r="E187" s="110"/>
      <c r="F187" s="110"/>
      <c r="G187" s="110"/>
      <c r="H187" s="110"/>
      <c r="I187" s="110"/>
      <c r="J187" s="110"/>
      <c r="K187" s="110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5.75" customHeight="1" x14ac:dyDescent="0.2">
      <c r="A188" s="5"/>
      <c r="B188" s="5"/>
      <c r="C188" s="110"/>
      <c r="D188" s="110"/>
      <c r="E188" s="110"/>
      <c r="F188" s="110"/>
      <c r="G188" s="110"/>
      <c r="H188" s="110"/>
      <c r="I188" s="110"/>
      <c r="J188" s="110"/>
      <c r="K188" s="110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5.75" customHeight="1" x14ac:dyDescent="0.2">
      <c r="A189" s="5"/>
      <c r="B189" s="5"/>
      <c r="C189" s="110"/>
      <c r="D189" s="110"/>
      <c r="E189" s="110"/>
      <c r="F189" s="110"/>
      <c r="G189" s="110"/>
      <c r="H189" s="110"/>
      <c r="I189" s="110"/>
      <c r="J189" s="110"/>
      <c r="K189" s="110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5.75" customHeight="1" x14ac:dyDescent="0.2">
      <c r="A190" s="5"/>
      <c r="B190" s="5"/>
      <c r="C190" s="110"/>
      <c r="D190" s="110"/>
      <c r="E190" s="110"/>
      <c r="F190" s="110"/>
      <c r="G190" s="110"/>
      <c r="H190" s="110"/>
      <c r="I190" s="110"/>
      <c r="J190" s="110"/>
      <c r="K190" s="110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5.75" customHeight="1" x14ac:dyDescent="0.2">
      <c r="A191" s="5"/>
      <c r="B191" s="5"/>
      <c r="C191" s="110"/>
      <c r="D191" s="110"/>
      <c r="E191" s="110"/>
      <c r="F191" s="110"/>
      <c r="G191" s="110"/>
      <c r="H191" s="110"/>
      <c r="I191" s="110"/>
      <c r="J191" s="110"/>
      <c r="K191" s="110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5.75" customHeight="1" x14ac:dyDescent="0.2">
      <c r="A192" s="5"/>
      <c r="B192" s="5"/>
      <c r="C192" s="110"/>
      <c r="D192" s="110"/>
      <c r="E192" s="110"/>
      <c r="F192" s="110"/>
      <c r="G192" s="110"/>
      <c r="H192" s="110"/>
      <c r="I192" s="110"/>
      <c r="J192" s="110"/>
      <c r="K192" s="110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5.75" customHeight="1" x14ac:dyDescent="0.2">
      <c r="A193" s="5"/>
      <c r="B193" s="5"/>
      <c r="C193" s="110"/>
      <c r="D193" s="110"/>
      <c r="E193" s="110"/>
      <c r="F193" s="110"/>
      <c r="G193" s="110"/>
      <c r="H193" s="110"/>
      <c r="I193" s="110"/>
      <c r="J193" s="110"/>
      <c r="K193" s="110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5.75" customHeight="1" x14ac:dyDescent="0.2">
      <c r="A194" s="5"/>
      <c r="B194" s="5"/>
      <c r="C194" s="110"/>
      <c r="D194" s="110"/>
      <c r="E194" s="110"/>
      <c r="F194" s="110"/>
      <c r="G194" s="110"/>
      <c r="H194" s="110"/>
      <c r="I194" s="110"/>
      <c r="J194" s="110"/>
      <c r="K194" s="110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5.75" customHeight="1" x14ac:dyDescent="0.2">
      <c r="A195" s="5"/>
      <c r="B195" s="5"/>
      <c r="C195" s="110"/>
      <c r="D195" s="110"/>
      <c r="E195" s="110"/>
      <c r="F195" s="110"/>
      <c r="G195" s="110"/>
      <c r="H195" s="110"/>
      <c r="I195" s="110"/>
      <c r="J195" s="110"/>
      <c r="K195" s="110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5.75" customHeight="1" x14ac:dyDescent="0.2">
      <c r="A196" s="5"/>
      <c r="B196" s="5"/>
      <c r="C196" s="110"/>
      <c r="D196" s="110"/>
      <c r="E196" s="110"/>
      <c r="F196" s="110"/>
      <c r="G196" s="110"/>
      <c r="H196" s="110"/>
      <c r="I196" s="110"/>
      <c r="J196" s="110"/>
      <c r="K196" s="110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5.75" customHeight="1" x14ac:dyDescent="0.2">
      <c r="A197" s="5"/>
      <c r="B197" s="5"/>
      <c r="C197" s="110"/>
      <c r="D197" s="110"/>
      <c r="E197" s="110"/>
      <c r="F197" s="110"/>
      <c r="G197" s="110"/>
      <c r="H197" s="110"/>
      <c r="I197" s="110"/>
      <c r="J197" s="110"/>
      <c r="K197" s="110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5.75" customHeight="1" x14ac:dyDescent="0.2">
      <c r="A198" s="5"/>
      <c r="B198" s="5"/>
      <c r="C198" s="110"/>
      <c r="D198" s="110"/>
      <c r="E198" s="110"/>
      <c r="F198" s="110"/>
      <c r="G198" s="110"/>
      <c r="H198" s="110"/>
      <c r="I198" s="110"/>
      <c r="J198" s="110"/>
      <c r="K198" s="110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5.75" customHeight="1" x14ac:dyDescent="0.2">
      <c r="A199" s="5"/>
      <c r="B199" s="5"/>
      <c r="C199" s="110"/>
      <c r="D199" s="110"/>
      <c r="E199" s="110"/>
      <c r="F199" s="110"/>
      <c r="G199" s="110"/>
      <c r="H199" s="110"/>
      <c r="I199" s="110"/>
      <c r="J199" s="110"/>
      <c r="K199" s="110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5.75" customHeight="1" x14ac:dyDescent="0.2">
      <c r="A200" s="5"/>
      <c r="B200" s="5"/>
      <c r="C200" s="110"/>
      <c r="D200" s="110"/>
      <c r="E200" s="110"/>
      <c r="F200" s="110"/>
      <c r="G200" s="110"/>
      <c r="H200" s="110"/>
      <c r="I200" s="110"/>
      <c r="J200" s="110"/>
      <c r="K200" s="110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5.75" customHeight="1" x14ac:dyDescent="0.2">
      <c r="A201" s="5"/>
      <c r="B201" s="5"/>
      <c r="C201" s="110"/>
      <c r="D201" s="110"/>
      <c r="E201" s="110"/>
      <c r="F201" s="110"/>
      <c r="G201" s="110"/>
      <c r="H201" s="110"/>
      <c r="I201" s="110"/>
      <c r="J201" s="110"/>
      <c r="K201" s="110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5.75" customHeight="1" x14ac:dyDescent="0.2">
      <c r="A202" s="5"/>
      <c r="B202" s="5"/>
      <c r="C202" s="110"/>
      <c r="D202" s="110"/>
      <c r="E202" s="110"/>
      <c r="F202" s="110"/>
      <c r="G202" s="110"/>
      <c r="H202" s="110"/>
      <c r="I202" s="110"/>
      <c r="J202" s="110"/>
      <c r="K202" s="110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5.75" customHeight="1" x14ac:dyDescent="0.2">
      <c r="A203" s="5"/>
      <c r="B203" s="5"/>
      <c r="C203" s="110"/>
      <c r="D203" s="110"/>
      <c r="E203" s="110"/>
      <c r="F203" s="110"/>
      <c r="G203" s="110"/>
      <c r="H203" s="110"/>
      <c r="I203" s="110"/>
      <c r="J203" s="110"/>
      <c r="K203" s="110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5.75" customHeight="1" x14ac:dyDescent="0.2">
      <c r="A204" s="5"/>
      <c r="B204" s="5"/>
      <c r="C204" s="110"/>
      <c r="D204" s="110"/>
      <c r="E204" s="110"/>
      <c r="F204" s="110"/>
      <c r="G204" s="110"/>
      <c r="H204" s="110"/>
      <c r="I204" s="110"/>
      <c r="J204" s="110"/>
      <c r="K204" s="110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5.75" customHeight="1" x14ac:dyDescent="0.2">
      <c r="A205" s="5"/>
      <c r="B205" s="5"/>
      <c r="C205" s="110"/>
      <c r="D205" s="110"/>
      <c r="E205" s="110"/>
      <c r="F205" s="110"/>
      <c r="G205" s="110"/>
      <c r="H205" s="110"/>
      <c r="I205" s="110"/>
      <c r="J205" s="110"/>
      <c r="K205" s="110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5.75" customHeight="1" x14ac:dyDescent="0.2">
      <c r="A206" s="5"/>
      <c r="B206" s="5"/>
      <c r="C206" s="110"/>
      <c r="D206" s="110"/>
      <c r="E206" s="110"/>
      <c r="F206" s="110"/>
      <c r="G206" s="110"/>
      <c r="H206" s="110"/>
      <c r="I206" s="110"/>
      <c r="J206" s="110"/>
      <c r="K206" s="110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5.75" customHeight="1" x14ac:dyDescent="0.2">
      <c r="A207" s="5"/>
      <c r="B207" s="5"/>
      <c r="C207" s="110"/>
      <c r="D207" s="110"/>
      <c r="E207" s="110"/>
      <c r="F207" s="110"/>
      <c r="G207" s="110"/>
      <c r="H207" s="110"/>
      <c r="I207" s="110"/>
      <c r="J207" s="110"/>
      <c r="K207" s="110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5.75" customHeight="1" x14ac:dyDescent="0.2">
      <c r="A208" s="5"/>
      <c r="B208" s="5"/>
      <c r="C208" s="110"/>
      <c r="D208" s="110"/>
      <c r="E208" s="110"/>
      <c r="F208" s="110"/>
      <c r="G208" s="110"/>
      <c r="H208" s="110"/>
      <c r="I208" s="110"/>
      <c r="J208" s="110"/>
      <c r="K208" s="110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5.75" customHeight="1" x14ac:dyDescent="0.2">
      <c r="A209" s="5"/>
      <c r="B209" s="5"/>
      <c r="C209" s="110"/>
      <c r="D209" s="110"/>
      <c r="E209" s="110"/>
      <c r="F209" s="110"/>
      <c r="G209" s="110"/>
      <c r="H209" s="110"/>
      <c r="I209" s="110"/>
      <c r="J209" s="110"/>
      <c r="K209" s="110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5.75" customHeight="1" x14ac:dyDescent="0.2">
      <c r="A210" s="5"/>
      <c r="B210" s="5"/>
      <c r="C210" s="110"/>
      <c r="D210" s="110"/>
      <c r="E210" s="110"/>
      <c r="F210" s="110"/>
      <c r="G210" s="110"/>
      <c r="H210" s="110"/>
      <c r="I210" s="110"/>
      <c r="J210" s="110"/>
      <c r="K210" s="110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5.75" customHeight="1" x14ac:dyDescent="0.2">
      <c r="A211" s="5"/>
      <c r="B211" s="5"/>
      <c r="C211" s="110"/>
      <c r="D211" s="110"/>
      <c r="E211" s="110"/>
      <c r="F211" s="110"/>
      <c r="G211" s="110"/>
      <c r="H211" s="110"/>
      <c r="I211" s="110"/>
      <c r="J211" s="110"/>
      <c r="K211" s="110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5.75" customHeight="1" x14ac:dyDescent="0.2">
      <c r="A212" s="5"/>
      <c r="B212" s="5"/>
      <c r="C212" s="110"/>
      <c r="D212" s="110"/>
      <c r="E212" s="110"/>
      <c r="F212" s="110"/>
      <c r="G212" s="110"/>
      <c r="H212" s="110"/>
      <c r="I212" s="110"/>
      <c r="J212" s="110"/>
      <c r="K212" s="110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5.75" customHeight="1" x14ac:dyDescent="0.2">
      <c r="A213" s="5"/>
      <c r="B213" s="5"/>
      <c r="C213" s="110"/>
      <c r="D213" s="110"/>
      <c r="E213" s="110"/>
      <c r="F213" s="110"/>
      <c r="G213" s="110"/>
      <c r="H213" s="110"/>
      <c r="I213" s="110"/>
      <c r="J213" s="110"/>
      <c r="K213" s="110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5.75" customHeight="1" x14ac:dyDescent="0.2">
      <c r="A214" s="5"/>
      <c r="B214" s="5"/>
      <c r="C214" s="110"/>
      <c r="D214" s="110"/>
      <c r="E214" s="110"/>
      <c r="F214" s="110"/>
      <c r="G214" s="110"/>
      <c r="H214" s="110"/>
      <c r="I214" s="110"/>
      <c r="J214" s="110"/>
      <c r="K214" s="110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5.75" customHeight="1" x14ac:dyDescent="0.2">
      <c r="A215" s="5"/>
      <c r="B215" s="5"/>
      <c r="C215" s="110"/>
      <c r="D215" s="110"/>
      <c r="E215" s="110"/>
      <c r="F215" s="110"/>
      <c r="G215" s="110"/>
      <c r="H215" s="110"/>
      <c r="I215" s="110"/>
      <c r="J215" s="110"/>
      <c r="K215" s="110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5.75" customHeight="1" x14ac:dyDescent="0.2">
      <c r="A216" s="5"/>
      <c r="B216" s="5"/>
      <c r="C216" s="110"/>
      <c r="D216" s="110"/>
      <c r="E216" s="110"/>
      <c r="F216" s="110"/>
      <c r="G216" s="110"/>
      <c r="H216" s="110"/>
      <c r="I216" s="110"/>
      <c r="J216" s="110"/>
      <c r="K216" s="110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5.75" customHeight="1" x14ac:dyDescent="0.2">
      <c r="A217" s="5"/>
      <c r="B217" s="5"/>
      <c r="C217" s="110"/>
      <c r="D217" s="110"/>
      <c r="E217" s="110"/>
      <c r="F217" s="110"/>
      <c r="G217" s="110"/>
      <c r="H217" s="110"/>
      <c r="I217" s="110"/>
      <c r="J217" s="110"/>
      <c r="K217" s="110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5.75" customHeight="1" x14ac:dyDescent="0.2">
      <c r="A218" s="5"/>
      <c r="B218" s="5"/>
      <c r="C218" s="110"/>
      <c r="D218" s="110"/>
      <c r="E218" s="110"/>
      <c r="F218" s="110"/>
      <c r="G218" s="110"/>
      <c r="H218" s="110"/>
      <c r="I218" s="110"/>
      <c r="J218" s="110"/>
      <c r="K218" s="110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5.75" customHeight="1" x14ac:dyDescent="0.2">
      <c r="A219" s="5"/>
      <c r="B219" s="5"/>
      <c r="C219" s="110"/>
      <c r="D219" s="110"/>
      <c r="E219" s="110"/>
      <c r="F219" s="110"/>
      <c r="G219" s="110"/>
      <c r="H219" s="110"/>
      <c r="I219" s="110"/>
      <c r="J219" s="110"/>
      <c r="K219" s="110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5.75" customHeight="1" x14ac:dyDescent="0.2">
      <c r="A220" s="5"/>
      <c r="B220" s="5"/>
      <c r="C220" s="110"/>
      <c r="D220" s="110"/>
      <c r="E220" s="110"/>
      <c r="F220" s="110"/>
      <c r="G220" s="110"/>
      <c r="H220" s="110"/>
      <c r="I220" s="110"/>
      <c r="J220" s="110"/>
      <c r="K220" s="110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5.75" customHeight="1" x14ac:dyDescent="0.2">
      <c r="A221" s="5"/>
      <c r="B221" s="5"/>
      <c r="C221" s="110"/>
      <c r="D221" s="110"/>
      <c r="E221" s="110"/>
      <c r="F221" s="110"/>
      <c r="G221" s="110"/>
      <c r="H221" s="110"/>
      <c r="I221" s="110"/>
      <c r="J221" s="110"/>
      <c r="K221" s="110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5.75" customHeight="1" x14ac:dyDescent="0.2">
      <c r="A222" s="5"/>
      <c r="B222" s="5"/>
      <c r="C222" s="110"/>
      <c r="D222" s="110"/>
      <c r="E222" s="110"/>
      <c r="F222" s="110"/>
      <c r="G222" s="110"/>
      <c r="H222" s="110"/>
      <c r="I222" s="110"/>
      <c r="J222" s="110"/>
      <c r="K222" s="110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5.75" customHeight="1" x14ac:dyDescent="0.2">
      <c r="A223" s="5"/>
      <c r="B223" s="5"/>
      <c r="C223" s="110"/>
      <c r="D223" s="110"/>
      <c r="E223" s="110"/>
      <c r="F223" s="110"/>
      <c r="G223" s="110"/>
      <c r="H223" s="110"/>
      <c r="I223" s="110"/>
      <c r="J223" s="110"/>
      <c r="K223" s="110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5.75" customHeight="1" x14ac:dyDescent="0.2">
      <c r="A224" s="5"/>
      <c r="B224" s="5"/>
      <c r="C224" s="110"/>
      <c r="D224" s="110"/>
      <c r="E224" s="110"/>
      <c r="F224" s="110"/>
      <c r="G224" s="110"/>
      <c r="H224" s="110"/>
      <c r="I224" s="110"/>
      <c r="J224" s="110"/>
      <c r="K224" s="110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5.75" customHeight="1" x14ac:dyDescent="0.2">
      <c r="A225" s="5"/>
      <c r="B225" s="5"/>
      <c r="C225" s="110"/>
      <c r="D225" s="110"/>
      <c r="E225" s="110"/>
      <c r="F225" s="110"/>
      <c r="G225" s="110"/>
      <c r="H225" s="110"/>
      <c r="I225" s="110"/>
      <c r="J225" s="110"/>
      <c r="K225" s="110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5.75" customHeight="1" x14ac:dyDescent="0.2">
      <c r="A226" s="5"/>
      <c r="B226" s="5"/>
      <c r="C226" s="110"/>
      <c r="D226" s="110"/>
      <c r="E226" s="110"/>
      <c r="F226" s="110"/>
      <c r="G226" s="110"/>
      <c r="H226" s="110"/>
      <c r="I226" s="110"/>
      <c r="J226" s="110"/>
      <c r="K226" s="110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5.75" customHeight="1" x14ac:dyDescent="0.2">
      <c r="A227" s="5"/>
      <c r="B227" s="5"/>
      <c r="C227" s="110"/>
      <c r="D227" s="110"/>
      <c r="E227" s="110"/>
      <c r="F227" s="110"/>
      <c r="G227" s="110"/>
      <c r="H227" s="110"/>
      <c r="I227" s="110"/>
      <c r="J227" s="110"/>
      <c r="K227" s="110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5.75" customHeight="1" x14ac:dyDescent="0.2">
      <c r="A228" s="5"/>
      <c r="B228" s="5"/>
      <c r="C228" s="110"/>
      <c r="D228" s="110"/>
      <c r="E228" s="110"/>
      <c r="F228" s="110"/>
      <c r="G228" s="110"/>
      <c r="H228" s="110"/>
      <c r="I228" s="110"/>
      <c r="J228" s="110"/>
      <c r="K228" s="110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5.75" customHeight="1" x14ac:dyDescent="0.2">
      <c r="A229" s="5"/>
      <c r="B229" s="5"/>
      <c r="C229" s="110"/>
      <c r="D229" s="110"/>
      <c r="E229" s="110"/>
      <c r="F229" s="110"/>
      <c r="G229" s="110"/>
      <c r="H229" s="110"/>
      <c r="I229" s="110"/>
      <c r="J229" s="110"/>
      <c r="K229" s="110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5.75" customHeight="1" x14ac:dyDescent="0.2">
      <c r="A230" s="5"/>
      <c r="B230" s="5"/>
      <c r="C230" s="110"/>
      <c r="D230" s="110"/>
      <c r="E230" s="110"/>
      <c r="F230" s="110"/>
      <c r="G230" s="110"/>
      <c r="H230" s="110"/>
      <c r="I230" s="110"/>
      <c r="J230" s="110"/>
      <c r="K230" s="110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5.75" customHeight="1" x14ac:dyDescent="0.2">
      <c r="A231" s="5"/>
      <c r="B231" s="5"/>
      <c r="C231" s="110"/>
      <c r="D231" s="110"/>
      <c r="E231" s="110"/>
      <c r="F231" s="110"/>
      <c r="G231" s="110"/>
      <c r="H231" s="110"/>
      <c r="I231" s="110"/>
      <c r="J231" s="110"/>
      <c r="K231" s="110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5.75" customHeight="1" x14ac:dyDescent="0.2">
      <c r="A232" s="5"/>
      <c r="B232" s="5"/>
      <c r="C232" s="110"/>
      <c r="D232" s="110"/>
      <c r="E232" s="110"/>
      <c r="F232" s="110"/>
      <c r="G232" s="110"/>
      <c r="H232" s="110"/>
      <c r="I232" s="110"/>
      <c r="J232" s="110"/>
      <c r="K232" s="110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5.75" customHeight="1" x14ac:dyDescent="0.2">
      <c r="A233" s="5"/>
      <c r="B233" s="5"/>
      <c r="C233" s="110"/>
      <c r="D233" s="110"/>
      <c r="E233" s="110"/>
      <c r="F233" s="110"/>
      <c r="G233" s="110"/>
      <c r="H233" s="110"/>
      <c r="I233" s="110"/>
      <c r="J233" s="110"/>
      <c r="K233" s="110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5.75" customHeight="1" x14ac:dyDescent="0.2">
      <c r="A234" s="5"/>
      <c r="B234" s="5"/>
      <c r="C234" s="110"/>
      <c r="D234" s="110"/>
      <c r="E234" s="110"/>
      <c r="F234" s="110"/>
      <c r="G234" s="110"/>
      <c r="H234" s="110"/>
      <c r="I234" s="110"/>
      <c r="J234" s="110"/>
      <c r="K234" s="110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5.75" customHeight="1" x14ac:dyDescent="0.2">
      <c r="A235" s="5"/>
      <c r="B235" s="5"/>
      <c r="C235" s="110"/>
      <c r="D235" s="110"/>
      <c r="E235" s="110"/>
      <c r="F235" s="110"/>
      <c r="G235" s="110"/>
      <c r="H235" s="110"/>
      <c r="I235" s="110"/>
      <c r="J235" s="110"/>
      <c r="K235" s="110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5.75" customHeight="1" x14ac:dyDescent="0.2">
      <c r="A236" s="5"/>
      <c r="B236" s="5"/>
      <c r="C236" s="110"/>
      <c r="D236" s="110"/>
      <c r="E236" s="110"/>
      <c r="F236" s="110"/>
      <c r="G236" s="110"/>
      <c r="H236" s="110"/>
      <c r="I236" s="110"/>
      <c r="J236" s="110"/>
      <c r="K236" s="110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5.75" customHeight="1" x14ac:dyDescent="0.2">
      <c r="A237" s="5"/>
      <c r="B237" s="5"/>
      <c r="C237" s="110"/>
      <c r="D237" s="110"/>
      <c r="E237" s="110"/>
      <c r="F237" s="110"/>
      <c r="G237" s="110"/>
      <c r="H237" s="110"/>
      <c r="I237" s="110"/>
      <c r="J237" s="110"/>
      <c r="K237" s="110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5.75" customHeight="1" x14ac:dyDescent="0.2">
      <c r="A238" s="5"/>
      <c r="B238" s="5"/>
      <c r="C238" s="110"/>
      <c r="D238" s="110"/>
      <c r="E238" s="110"/>
      <c r="F238" s="110"/>
      <c r="G238" s="110"/>
      <c r="H238" s="110"/>
      <c r="I238" s="110"/>
      <c r="J238" s="110"/>
      <c r="K238" s="110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5.75" customHeight="1" x14ac:dyDescent="0.2">
      <c r="A239" s="5"/>
      <c r="B239" s="5"/>
      <c r="C239" s="110"/>
      <c r="D239" s="110"/>
      <c r="E239" s="110"/>
      <c r="F239" s="110"/>
      <c r="G239" s="110"/>
      <c r="H239" s="110"/>
      <c r="I239" s="110"/>
      <c r="J239" s="110"/>
      <c r="K239" s="110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5.75" customHeight="1" x14ac:dyDescent="0.2">
      <c r="A240" s="5"/>
      <c r="B240" s="5"/>
      <c r="C240" s="110"/>
      <c r="D240" s="110"/>
      <c r="E240" s="110"/>
      <c r="F240" s="110"/>
      <c r="G240" s="110"/>
      <c r="H240" s="110"/>
      <c r="I240" s="110"/>
      <c r="J240" s="110"/>
      <c r="K240" s="110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5.75" customHeight="1" x14ac:dyDescent="0.2">
      <c r="A241" s="5"/>
      <c r="B241" s="5"/>
      <c r="C241" s="110"/>
      <c r="D241" s="110"/>
      <c r="E241" s="110"/>
      <c r="F241" s="110"/>
      <c r="G241" s="110"/>
      <c r="H241" s="110"/>
      <c r="I241" s="110"/>
      <c r="J241" s="110"/>
      <c r="K241" s="110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5.75" customHeight="1" x14ac:dyDescent="0.2"/>
    <row r="247" spans="1:32" ht="15.75" customHeight="1" x14ac:dyDescent="0.2"/>
    <row r="248" spans="1:32" ht="15.75" customHeight="1" x14ac:dyDescent="0.2"/>
    <row r="249" spans="1:32" ht="15.75" customHeight="1" x14ac:dyDescent="0.2"/>
    <row r="250" spans="1:32" ht="15.75" customHeight="1" x14ac:dyDescent="0.2"/>
    <row r="251" spans="1:32" ht="15.75" customHeight="1" x14ac:dyDescent="0.2"/>
    <row r="252" spans="1:32" ht="15.75" customHeight="1" x14ac:dyDescent="0.2"/>
    <row r="253" spans="1:32" ht="15.75" customHeight="1" x14ac:dyDescent="0.2"/>
    <row r="254" spans="1:32" ht="15.75" customHeight="1" x14ac:dyDescent="0.2"/>
    <row r="255" spans="1:32" ht="15.75" customHeight="1" x14ac:dyDescent="0.2"/>
    <row r="256" spans="1:3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C1:K1"/>
    <mergeCell ref="A2:A3"/>
    <mergeCell ref="L1:T1"/>
  </mergeCells>
  <conditionalFormatting sqref="C29:Q29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C37:Q37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C45:Q45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6640625" customWidth="1"/>
    <col min="2" max="2" width="16.1640625" customWidth="1"/>
    <col min="3" max="3" width="12.6640625" customWidth="1"/>
    <col min="4" max="4" width="7.5" customWidth="1"/>
    <col min="5" max="6" width="8.6640625" customWidth="1"/>
    <col min="7" max="11" width="12.6640625" customWidth="1"/>
    <col min="12" max="12" width="11.6640625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54</v>
      </c>
      <c r="C4" s="19">
        <f t="shared" ref="C4:C35" si="0">SUM(D4:L4)</f>
        <v>796671.34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153671.34</v>
      </c>
      <c r="H4" s="29">
        <f t="shared" si="1"/>
        <v>155000</v>
      </c>
      <c r="I4" s="29">
        <f t="shared" si="1"/>
        <v>140000</v>
      </c>
      <c r="J4" s="29">
        <f t="shared" si="1"/>
        <v>115000</v>
      </c>
      <c r="K4" s="29">
        <f t="shared" si="1"/>
        <v>175000</v>
      </c>
      <c r="L4" s="29">
        <f t="shared" si="1"/>
        <v>58000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7">
        <v>670101</v>
      </c>
      <c r="B5" s="38" t="s">
        <v>80</v>
      </c>
      <c r="C5" s="34">
        <f t="shared" si="0"/>
        <v>519171.33999999997</v>
      </c>
      <c r="D5" s="46"/>
      <c r="E5" s="35"/>
      <c r="F5" s="35"/>
      <c r="G5" s="35">
        <v>94171.34</v>
      </c>
      <c r="H5" s="50">
        <v>95000</v>
      </c>
      <c r="I5" s="35">
        <v>90000</v>
      </c>
      <c r="J5" s="35">
        <v>80000</v>
      </c>
      <c r="K5" s="35">
        <v>120000</v>
      </c>
      <c r="L5" s="35">
        <v>40000</v>
      </c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7">
        <v>350301</v>
      </c>
      <c r="B6" s="55" t="s">
        <v>81</v>
      </c>
      <c r="C6" s="45">
        <f t="shared" si="0"/>
        <v>277500</v>
      </c>
      <c r="D6" s="56"/>
      <c r="E6" s="47"/>
      <c r="F6" s="47"/>
      <c r="G6" s="47">
        <v>59500</v>
      </c>
      <c r="H6" s="47">
        <v>60000</v>
      </c>
      <c r="I6" s="47">
        <v>50000</v>
      </c>
      <c r="J6" s="47">
        <v>35000</v>
      </c>
      <c r="K6" s="47">
        <v>55000</v>
      </c>
      <c r="L6" s="47">
        <v>18000</v>
      </c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7"/>
      <c r="B7" s="58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7"/>
      <c r="B8" s="58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7"/>
      <c r="B9" s="58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7"/>
      <c r="B10" s="58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7"/>
      <c r="B11" s="58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7"/>
      <c r="B12" s="58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7"/>
      <c r="B13" s="58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7"/>
      <c r="B14" s="58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7"/>
      <c r="B15" s="58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7"/>
      <c r="B16" s="58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7"/>
      <c r="B17" s="58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7"/>
      <c r="B18" s="58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7"/>
      <c r="B19" s="58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7"/>
      <c r="B20" s="58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7"/>
      <c r="B21" s="58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7"/>
      <c r="B22" s="58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7"/>
      <c r="B23" s="58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7"/>
      <c r="B24" s="58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7"/>
      <c r="B25" s="58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7"/>
      <c r="B26" s="58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7"/>
      <c r="B27" s="58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7"/>
      <c r="B28" s="58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7"/>
      <c r="B29" s="58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7"/>
      <c r="B30" s="58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7"/>
      <c r="B31" s="58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7"/>
      <c r="B32" s="58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7"/>
      <c r="B33" s="58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7"/>
      <c r="B34" s="58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7"/>
      <c r="B35" s="58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7"/>
      <c r="B36" s="58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7"/>
      <c r="B37" s="58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7"/>
      <c r="B38" s="58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7"/>
      <c r="B39" s="58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7"/>
      <c r="B40" s="58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7"/>
      <c r="B41" s="58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7"/>
      <c r="B42" s="58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7"/>
      <c r="B43" s="58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7"/>
      <c r="B44" s="58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7"/>
      <c r="B45" s="58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7"/>
      <c r="B46" s="58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7"/>
      <c r="B47" s="58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7"/>
      <c r="B48" s="58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7"/>
      <c r="B49" s="58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7"/>
      <c r="B50" s="58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7"/>
      <c r="B51" s="58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7"/>
      <c r="B52" s="58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7"/>
      <c r="B53" s="58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7"/>
      <c r="B54" s="58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7"/>
      <c r="B55" s="58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7"/>
      <c r="B56" s="58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7"/>
      <c r="B57" s="58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7"/>
      <c r="B58" s="58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7"/>
      <c r="B59" s="58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7"/>
      <c r="B60" s="58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7"/>
      <c r="B61" s="58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7"/>
      <c r="B62" s="58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7"/>
      <c r="B63" s="58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7"/>
      <c r="B64" s="58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7"/>
      <c r="B65" s="58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7"/>
      <c r="B66" s="58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7"/>
      <c r="B67" s="58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7"/>
      <c r="B68" s="58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7"/>
      <c r="B69" s="112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10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110"/>
      <c r="E221" s="110"/>
      <c r="F221" s="110"/>
      <c r="G221" s="110"/>
      <c r="H221" s="110"/>
      <c r="I221" s="110"/>
      <c r="J221" s="110"/>
      <c r="K221" s="110"/>
      <c r="L221" s="11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6640625" customWidth="1"/>
    <col min="2" max="2" width="16.1640625" customWidth="1"/>
    <col min="3" max="3" width="12.6640625" customWidth="1"/>
    <col min="4" max="4" width="7.5" hidden="1" customWidth="1"/>
    <col min="5" max="5" width="8.6640625" hidden="1" customWidth="1"/>
    <col min="6" max="6" width="11.6640625" hidden="1" customWidth="1"/>
    <col min="7" max="8" width="11.6640625" customWidth="1"/>
    <col min="9" max="9" width="12.6640625" customWidth="1"/>
    <col min="10" max="12" width="11.6640625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55</v>
      </c>
      <c r="C3" s="19">
        <f t="shared" ref="C3:C34" si="0">SUM(D3:L3)</f>
        <v>190804.63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34025.61</v>
      </c>
      <c r="H3" s="24">
        <f t="shared" si="1"/>
        <v>40779.020000000004</v>
      </c>
      <c r="I3" s="24">
        <f t="shared" si="1"/>
        <v>25500</v>
      </c>
      <c r="J3" s="24">
        <f t="shared" si="1"/>
        <v>27000</v>
      </c>
      <c r="K3" s="24">
        <f t="shared" si="1"/>
        <v>26500</v>
      </c>
      <c r="L3" s="24">
        <f t="shared" si="1"/>
        <v>37000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570913</v>
      </c>
      <c r="B4" s="33" t="s">
        <v>82</v>
      </c>
      <c r="C4" s="34">
        <f t="shared" si="0"/>
        <v>139161.54</v>
      </c>
      <c r="D4" s="35"/>
      <c r="E4" s="35"/>
      <c r="F4" s="35"/>
      <c r="G4" s="35">
        <v>27525.61</v>
      </c>
      <c r="H4" s="35">
        <f>635.93+28000</f>
        <v>28635.93</v>
      </c>
      <c r="I4" s="35">
        <v>19000</v>
      </c>
      <c r="J4" s="35">
        <v>17000</v>
      </c>
      <c r="K4" s="35">
        <v>20000</v>
      </c>
      <c r="L4" s="35">
        <v>27000</v>
      </c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570919</v>
      </c>
      <c r="B5" s="42" t="s">
        <v>83</v>
      </c>
      <c r="C5" s="45">
        <f t="shared" si="0"/>
        <v>39000</v>
      </c>
      <c r="D5" s="47"/>
      <c r="E5" s="47"/>
      <c r="F5" s="47"/>
      <c r="G5" s="47">
        <v>6500</v>
      </c>
      <c r="H5" s="47">
        <v>6500</v>
      </c>
      <c r="I5" s="47">
        <v>6500</v>
      </c>
      <c r="J5" s="47">
        <v>6500</v>
      </c>
      <c r="K5" s="47">
        <v>6500</v>
      </c>
      <c r="L5" s="47">
        <v>6500</v>
      </c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18</v>
      </c>
      <c r="B6" s="42" t="s">
        <v>84</v>
      </c>
      <c r="C6" s="45">
        <f t="shared" si="0"/>
        <v>2143.09</v>
      </c>
      <c r="D6" s="35"/>
      <c r="E6" s="35"/>
      <c r="F6" s="35"/>
      <c r="G6" s="35"/>
      <c r="H6" s="35">
        <v>2143.09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44</v>
      </c>
      <c r="B7" s="42" t="s">
        <v>85</v>
      </c>
      <c r="C7" s="45">
        <f t="shared" si="0"/>
        <v>0</v>
      </c>
      <c r="D7" s="59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570909</v>
      </c>
      <c r="B8" s="42" t="s">
        <v>86</v>
      </c>
      <c r="C8" s="45">
        <f t="shared" si="0"/>
        <v>10500</v>
      </c>
      <c r="D8" s="47"/>
      <c r="E8" s="47"/>
      <c r="F8" s="47"/>
      <c r="G8" s="47"/>
      <c r="H8" s="47">
        <v>3500</v>
      </c>
      <c r="I8" s="47"/>
      <c r="J8" s="47">
        <v>3500</v>
      </c>
      <c r="K8" s="47"/>
      <c r="L8" s="47">
        <v>3500</v>
      </c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3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110"/>
      <c r="J69" s="110"/>
      <c r="K69" s="110"/>
      <c r="L69" s="1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1.1640625" defaultRowHeight="15" customHeight="1" x14ac:dyDescent="0.2"/>
  <cols>
    <col min="1" max="1" width="8.6640625" customWidth="1"/>
    <col min="2" max="2" width="63.6640625" customWidth="1"/>
    <col min="3" max="3" width="12.6640625" customWidth="1"/>
    <col min="4" max="4" width="7.5" hidden="1" customWidth="1"/>
    <col min="5" max="6" width="8.6640625" customWidth="1"/>
    <col min="7" max="10" width="12.6640625" customWidth="1"/>
    <col min="11" max="12" width="11.6640625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14" t="s">
        <v>33</v>
      </c>
      <c r="E2" s="114" t="s">
        <v>34</v>
      </c>
      <c r="F2" s="114" t="s">
        <v>35</v>
      </c>
      <c r="G2" s="114" t="s">
        <v>36</v>
      </c>
      <c r="H2" s="114" t="s">
        <v>37</v>
      </c>
      <c r="I2" s="114" t="s">
        <v>38</v>
      </c>
      <c r="J2" s="114" t="s">
        <v>39</v>
      </c>
      <c r="K2" s="114" t="s">
        <v>40</v>
      </c>
      <c r="L2" s="114" t="s">
        <v>41</v>
      </c>
      <c r="M2" s="114" t="s">
        <v>42</v>
      </c>
      <c r="N2" s="114" t="s">
        <v>43</v>
      </c>
      <c r="O2" s="114" t="s">
        <v>44</v>
      </c>
      <c r="P2" s="114" t="s">
        <v>33</v>
      </c>
      <c r="Q2" s="114" t="s">
        <v>34</v>
      </c>
      <c r="R2" s="114" t="s">
        <v>35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15"/>
      <c r="B3" s="116" t="s">
        <v>87</v>
      </c>
      <c r="C3" s="117">
        <f t="shared" ref="C3:C44" si="0">SUM(D3:L3)</f>
        <v>675000</v>
      </c>
      <c r="D3" s="118"/>
      <c r="E3" s="118"/>
      <c r="F3" s="118"/>
      <c r="G3" s="118">
        <v>120000</v>
      </c>
      <c r="H3" s="118">
        <v>145000</v>
      </c>
      <c r="I3" s="118">
        <v>140000</v>
      </c>
      <c r="J3" s="118">
        <v>135000</v>
      </c>
      <c r="K3" s="118">
        <v>75000</v>
      </c>
      <c r="L3" s="118">
        <v>60000</v>
      </c>
      <c r="M3" s="118"/>
      <c r="N3" s="118"/>
      <c r="O3" s="118"/>
      <c r="P3" s="118"/>
      <c r="Q3" s="118"/>
      <c r="R3" s="118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88</v>
      </c>
      <c r="C4" s="19">
        <f t="shared" si="0"/>
        <v>206026.19999999998</v>
      </c>
      <c r="D4" s="29">
        <f t="shared" ref="D4:R4" si="1">SUM(D5:D184)</f>
        <v>0</v>
      </c>
      <c r="E4" s="29">
        <f t="shared" si="1"/>
        <v>0</v>
      </c>
      <c r="F4" s="29">
        <f t="shared" si="1"/>
        <v>0</v>
      </c>
      <c r="G4" s="29">
        <f t="shared" si="1"/>
        <v>71238.459999999992</v>
      </c>
      <c r="H4" s="29">
        <f t="shared" si="1"/>
        <v>76677.59</v>
      </c>
      <c r="I4" s="29">
        <f t="shared" si="1"/>
        <v>38647.560000000005</v>
      </c>
      <c r="J4" s="29">
        <f t="shared" si="1"/>
        <v>19426.940000000002</v>
      </c>
      <c r="K4" s="29">
        <f t="shared" si="1"/>
        <v>35.65</v>
      </c>
      <c r="L4" s="29">
        <f t="shared" si="1"/>
        <v>0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801</v>
      </c>
      <c r="B5" s="113" t="s">
        <v>89</v>
      </c>
      <c r="C5" s="34">
        <f t="shared" si="0"/>
        <v>0</v>
      </c>
      <c r="D5" s="119"/>
      <c r="E5" s="119"/>
      <c r="F5" s="119"/>
      <c r="G5" s="119"/>
      <c r="H5" s="119"/>
      <c r="I5" s="119"/>
      <c r="J5" s="119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281</v>
      </c>
      <c r="B6" s="113" t="s">
        <v>90</v>
      </c>
      <c r="C6" s="45">
        <f t="shared" si="0"/>
        <v>0</v>
      </c>
      <c r="D6" s="119"/>
      <c r="E6" s="119"/>
      <c r="F6" s="119"/>
      <c r="G6" s="119"/>
      <c r="H6" s="119"/>
      <c r="I6" s="119"/>
      <c r="J6" s="119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1183</v>
      </c>
      <c r="B7" s="113" t="s">
        <v>91</v>
      </c>
      <c r="C7" s="45">
        <f t="shared" si="0"/>
        <v>1830.18</v>
      </c>
      <c r="D7" s="119"/>
      <c r="E7" s="119"/>
      <c r="F7" s="119"/>
      <c r="G7" s="119"/>
      <c r="H7" s="119">
        <v>839.47</v>
      </c>
      <c r="I7" s="119">
        <v>990.71</v>
      </c>
      <c r="J7" s="119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412</v>
      </c>
      <c r="B8" s="113" t="s">
        <v>92</v>
      </c>
      <c r="C8" s="45">
        <f t="shared" si="0"/>
        <v>761.92</v>
      </c>
      <c r="D8" s="119"/>
      <c r="E8" s="119"/>
      <c r="F8" s="119"/>
      <c r="G8" s="119">
        <v>761.92</v>
      </c>
      <c r="H8" s="119"/>
      <c r="I8" s="119"/>
      <c r="J8" s="119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1589</v>
      </c>
      <c r="B9" s="113" t="s">
        <v>93</v>
      </c>
      <c r="C9" s="45">
        <f t="shared" si="0"/>
        <v>3816.25</v>
      </c>
      <c r="D9" s="119"/>
      <c r="E9" s="119"/>
      <c r="F9" s="119"/>
      <c r="G9" s="119">
        <v>1920.41</v>
      </c>
      <c r="H9" s="119">
        <v>1895.84</v>
      </c>
      <c r="I9" s="119"/>
      <c r="J9" s="119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92</v>
      </c>
      <c r="B10" s="113" t="s">
        <v>94</v>
      </c>
      <c r="C10" s="45">
        <f t="shared" si="0"/>
        <v>34429.33</v>
      </c>
      <c r="D10" s="119"/>
      <c r="E10" s="119"/>
      <c r="F10" s="119"/>
      <c r="G10" s="119">
        <v>6384.75</v>
      </c>
      <c r="H10" s="119">
        <v>6825.63</v>
      </c>
      <c r="I10" s="119">
        <v>9528.6299999999992</v>
      </c>
      <c r="J10" s="119">
        <v>11654.67</v>
      </c>
      <c r="K10" s="47">
        <v>35.65</v>
      </c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1720</v>
      </c>
      <c r="B11" s="113" t="s">
        <v>95</v>
      </c>
      <c r="C11" s="45">
        <f t="shared" si="0"/>
        <v>0</v>
      </c>
      <c r="D11" s="119"/>
      <c r="E11" s="119"/>
      <c r="F11" s="119"/>
      <c r="G11" s="119"/>
      <c r="H11" s="119"/>
      <c r="I11" s="119"/>
      <c r="J11" s="119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131</v>
      </c>
      <c r="B12" s="113" t="s">
        <v>96</v>
      </c>
      <c r="C12" s="45">
        <f t="shared" si="0"/>
        <v>0</v>
      </c>
      <c r="D12" s="119"/>
      <c r="E12" s="119"/>
      <c r="F12" s="119"/>
      <c r="G12" s="119"/>
      <c r="H12" s="119"/>
      <c r="I12" s="119"/>
      <c r="J12" s="119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147</v>
      </c>
      <c r="B13" s="113" t="s">
        <v>97</v>
      </c>
      <c r="C13" s="45">
        <f t="shared" si="0"/>
        <v>0</v>
      </c>
      <c r="D13" s="119"/>
      <c r="E13" s="119"/>
      <c r="F13" s="119"/>
      <c r="G13" s="119"/>
      <c r="H13" s="119"/>
      <c r="I13" s="119"/>
      <c r="J13" s="119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325</v>
      </c>
      <c r="B14" s="113" t="s">
        <v>98</v>
      </c>
      <c r="C14" s="45">
        <f t="shared" si="0"/>
        <v>5236.01</v>
      </c>
      <c r="D14" s="119"/>
      <c r="E14" s="119"/>
      <c r="F14" s="119"/>
      <c r="G14" s="119"/>
      <c r="H14" s="119">
        <v>2260</v>
      </c>
      <c r="I14" s="119">
        <v>2976.01</v>
      </c>
      <c r="J14" s="119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916</v>
      </c>
      <c r="B15" s="113" t="s">
        <v>99</v>
      </c>
      <c r="C15" s="45">
        <f t="shared" si="0"/>
        <v>0</v>
      </c>
      <c r="D15" s="119"/>
      <c r="E15" s="119"/>
      <c r="F15" s="119"/>
      <c r="G15" s="119"/>
      <c r="H15" s="119"/>
      <c r="I15" s="119"/>
      <c r="J15" s="119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790</v>
      </c>
      <c r="B16" s="113" t="s">
        <v>100</v>
      </c>
      <c r="C16" s="45">
        <f t="shared" si="0"/>
        <v>474.24</v>
      </c>
      <c r="D16" s="47"/>
      <c r="E16" s="47"/>
      <c r="F16" s="47"/>
      <c r="G16" s="47">
        <v>474.24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1260</v>
      </c>
      <c r="B17" s="113" t="s">
        <v>101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667</v>
      </c>
      <c r="B18" s="113" t="s">
        <v>102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1298</v>
      </c>
      <c r="B19" s="113" t="s">
        <v>103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758</v>
      </c>
      <c r="B20" s="113" t="s">
        <v>104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74</v>
      </c>
      <c r="B21" s="113" t="s">
        <v>105</v>
      </c>
      <c r="C21" s="45">
        <f t="shared" si="0"/>
        <v>14310.64</v>
      </c>
      <c r="D21" s="47"/>
      <c r="E21" s="47"/>
      <c r="F21" s="47"/>
      <c r="G21" s="47">
        <v>8248.92</v>
      </c>
      <c r="H21" s="47">
        <v>6061.72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399</v>
      </c>
      <c r="B22" s="113" t="s">
        <v>106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>
        <v>864</v>
      </c>
      <c r="B23" s="113" t="s">
        <v>107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>
        <v>208</v>
      </c>
      <c r="B24" s="113" t="s">
        <v>108</v>
      </c>
      <c r="C24" s="45">
        <f t="shared" si="0"/>
        <v>2745.35</v>
      </c>
      <c r="D24" s="47"/>
      <c r="E24" s="47"/>
      <c r="F24" s="47"/>
      <c r="G24" s="47">
        <v>666.12</v>
      </c>
      <c r="H24" s="47">
        <v>1141.92</v>
      </c>
      <c r="I24" s="47">
        <v>937.31</v>
      </c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>
        <v>1137</v>
      </c>
      <c r="B25" s="113" t="s">
        <v>109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>
        <v>125</v>
      </c>
      <c r="B26" s="113" t="s">
        <v>110</v>
      </c>
      <c r="C26" s="45">
        <f t="shared" si="0"/>
        <v>3093.2</v>
      </c>
      <c r="D26" s="47"/>
      <c r="E26" s="47"/>
      <c r="F26" s="47"/>
      <c r="G26" s="47">
        <v>1588.4</v>
      </c>
      <c r="H26" s="47">
        <v>1504.8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>
        <v>315</v>
      </c>
      <c r="B27" s="113" t="s">
        <v>111</v>
      </c>
      <c r="C27" s="45">
        <f t="shared" si="0"/>
        <v>513.62</v>
      </c>
      <c r="D27" s="47"/>
      <c r="E27" s="47"/>
      <c r="F27" s="47"/>
      <c r="G27" s="47"/>
      <c r="H27" s="47">
        <v>513.62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>
        <v>423</v>
      </c>
      <c r="B28" s="113" t="s">
        <v>112</v>
      </c>
      <c r="C28" s="45">
        <f t="shared" si="0"/>
        <v>5117.6899999999996</v>
      </c>
      <c r="D28" s="47"/>
      <c r="E28" s="47"/>
      <c r="F28" s="47"/>
      <c r="G28" s="47">
        <v>2062.02</v>
      </c>
      <c r="H28" s="47">
        <v>2834.35</v>
      </c>
      <c r="I28" s="47">
        <v>221.32</v>
      </c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>
        <v>417</v>
      </c>
      <c r="B29" s="113" t="s">
        <v>113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>
        <v>369</v>
      </c>
      <c r="B30" s="113" t="s">
        <v>114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>
        <v>1003</v>
      </c>
      <c r="B31" s="113" t="s">
        <v>115</v>
      </c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>
        <v>226</v>
      </c>
      <c r="B32" s="113" t="s">
        <v>116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>
        <v>7</v>
      </c>
      <c r="B33" s="113" t="s">
        <v>117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>
        <v>161</v>
      </c>
      <c r="B34" s="113" t="s">
        <v>118</v>
      </c>
      <c r="C34" s="45">
        <f t="shared" si="0"/>
        <v>14555.98</v>
      </c>
      <c r="D34" s="47"/>
      <c r="E34" s="47"/>
      <c r="F34" s="47"/>
      <c r="G34" s="47">
        <v>8248.0400000000009</v>
      </c>
      <c r="H34" s="47">
        <v>6307.94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>
        <v>32</v>
      </c>
      <c r="B35" s="113" t="s">
        <v>119</v>
      </c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>
        <v>1003</v>
      </c>
      <c r="B36" s="113" t="s">
        <v>115</v>
      </c>
      <c r="C36" s="45">
        <f t="shared" si="0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>
        <v>133</v>
      </c>
      <c r="B37" s="113" t="s">
        <v>120</v>
      </c>
      <c r="C37" s="45">
        <f t="shared" si="0"/>
        <v>24378.92</v>
      </c>
      <c r="D37" s="47"/>
      <c r="E37" s="47"/>
      <c r="F37" s="47"/>
      <c r="G37" s="47">
        <v>3183.82</v>
      </c>
      <c r="H37" s="47">
        <v>9238</v>
      </c>
      <c r="I37" s="47">
        <v>10345.23</v>
      </c>
      <c r="J37" s="47">
        <v>1611.87</v>
      </c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>
        <v>672</v>
      </c>
      <c r="B38" s="113" t="s">
        <v>121</v>
      </c>
      <c r="C38" s="45">
        <f t="shared" si="0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>
        <v>127</v>
      </c>
      <c r="B39" s="113" t="s">
        <v>122</v>
      </c>
      <c r="C39" s="45">
        <f t="shared" si="0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>
        <v>179</v>
      </c>
      <c r="B40" s="113" t="s">
        <v>123</v>
      </c>
      <c r="C40" s="45">
        <f t="shared" si="0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>
        <v>158</v>
      </c>
      <c r="B41" s="113" t="s">
        <v>124</v>
      </c>
      <c r="C41" s="45">
        <f t="shared" si="0"/>
        <v>203.91</v>
      </c>
      <c r="D41" s="47"/>
      <c r="E41" s="47"/>
      <c r="F41" s="47"/>
      <c r="G41" s="47">
        <v>85</v>
      </c>
      <c r="H41" s="47">
        <v>118.91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>
        <v>4</v>
      </c>
      <c r="B42" s="113" t="s">
        <v>125</v>
      </c>
      <c r="C42" s="45">
        <f t="shared" si="0"/>
        <v>285.33</v>
      </c>
      <c r="D42" s="47"/>
      <c r="E42" s="47"/>
      <c r="F42" s="47"/>
      <c r="G42" s="47">
        <v>285.33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>
        <v>353</v>
      </c>
      <c r="B43" s="113" t="s">
        <v>126</v>
      </c>
      <c r="C43" s="45">
        <f t="shared" si="0"/>
        <v>0</v>
      </c>
      <c r="D43" s="59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>
        <v>732</v>
      </c>
      <c r="B44" s="113" t="s">
        <v>127</v>
      </c>
      <c r="C44" s="45">
        <f t="shared" si="0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>
        <v>1091</v>
      </c>
      <c r="B45" s="113" t="s">
        <v>128</v>
      </c>
      <c r="C45" s="45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>
        <v>145</v>
      </c>
      <c r="B46" s="113" t="s">
        <v>129</v>
      </c>
      <c r="C46" s="45">
        <f t="shared" ref="C46:C65" si="2">SUM(D46:L46)</f>
        <v>31412.5</v>
      </c>
      <c r="D46" s="47"/>
      <c r="E46" s="47"/>
      <c r="F46" s="47"/>
      <c r="G46" s="47">
        <v>13798.47</v>
      </c>
      <c r="H46" s="47">
        <v>17614.03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>
        <v>1104</v>
      </c>
      <c r="B47" s="113" t="s">
        <v>130</v>
      </c>
      <c r="C47" s="45">
        <f t="shared" si="2"/>
        <v>5450.3799999999992</v>
      </c>
      <c r="D47" s="47"/>
      <c r="E47" s="47"/>
      <c r="F47" s="47"/>
      <c r="G47" s="47">
        <v>1570.21</v>
      </c>
      <c r="H47" s="47">
        <v>1685.49</v>
      </c>
      <c r="I47" s="47">
        <v>2194.6799999999998</v>
      </c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>
        <v>921</v>
      </c>
      <c r="B48" s="113" t="s">
        <v>131</v>
      </c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>
        <v>815</v>
      </c>
      <c r="B49" s="113" t="s">
        <v>132</v>
      </c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>
        <v>1706</v>
      </c>
      <c r="B50" s="113" t="s">
        <v>133</v>
      </c>
      <c r="C50" s="45">
        <f t="shared" si="2"/>
        <v>3528.2</v>
      </c>
      <c r="D50" s="47"/>
      <c r="E50" s="47"/>
      <c r="F50" s="47"/>
      <c r="G50" s="47">
        <v>1952</v>
      </c>
      <c r="H50" s="47">
        <v>1576.2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>
        <v>929</v>
      </c>
      <c r="B51" s="113" t="s">
        <v>134</v>
      </c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>
        <v>1153</v>
      </c>
      <c r="B52" s="113" t="s">
        <v>135</v>
      </c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>
        <v>718</v>
      </c>
      <c r="B53" s="113" t="s">
        <v>136</v>
      </c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>
        <v>1303</v>
      </c>
      <c r="B54" s="113" t="s">
        <v>137</v>
      </c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>
        <v>1</v>
      </c>
      <c r="B55" s="113" t="s">
        <v>138</v>
      </c>
      <c r="C55" s="45">
        <f t="shared" si="2"/>
        <v>23208.29</v>
      </c>
      <c r="D55" s="47"/>
      <c r="E55" s="47"/>
      <c r="F55" s="47"/>
      <c r="G55" s="47">
        <v>10010.25</v>
      </c>
      <c r="H55" s="47">
        <v>6549.5</v>
      </c>
      <c r="I55" s="47">
        <v>6648.54</v>
      </c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>
        <v>497</v>
      </c>
      <c r="B56" s="113" t="s">
        <v>139</v>
      </c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>
        <v>186</v>
      </c>
      <c r="B57" s="113" t="s">
        <v>140</v>
      </c>
      <c r="C57" s="45">
        <f t="shared" si="2"/>
        <v>610</v>
      </c>
      <c r="D57" s="47"/>
      <c r="E57" s="47"/>
      <c r="F57" s="47"/>
      <c r="G57" s="47">
        <v>610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>
        <v>791</v>
      </c>
      <c r="B58" s="113" t="s">
        <v>141</v>
      </c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>
        <v>146</v>
      </c>
      <c r="B59" s="113" t="s">
        <v>142</v>
      </c>
      <c r="C59" s="45">
        <f t="shared" si="2"/>
        <v>1189.5</v>
      </c>
      <c r="D59" s="47"/>
      <c r="E59" s="47"/>
      <c r="F59" s="47"/>
      <c r="G59" s="47">
        <v>1189.5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>
        <v>554</v>
      </c>
      <c r="B60" s="113" t="s">
        <v>143</v>
      </c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>
        <v>104</v>
      </c>
      <c r="B61" s="113" t="s">
        <v>144</v>
      </c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>
        <v>64</v>
      </c>
      <c r="B62" s="113" t="s">
        <v>145</v>
      </c>
      <c r="C62" s="45">
        <f t="shared" si="2"/>
        <v>689.32</v>
      </c>
      <c r="D62" s="47"/>
      <c r="E62" s="47"/>
      <c r="F62" s="47"/>
      <c r="G62" s="47"/>
      <c r="H62" s="47">
        <v>689.32</v>
      </c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>
        <v>137</v>
      </c>
      <c r="B63" s="113" t="s">
        <v>146</v>
      </c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>
        <v>80</v>
      </c>
      <c r="B64" s="113" t="s">
        <v>147</v>
      </c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>
        <v>123</v>
      </c>
      <c r="B65" s="113" t="s">
        <v>148</v>
      </c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>
        <v>1714</v>
      </c>
      <c r="B66" s="113" t="s">
        <v>149</v>
      </c>
      <c r="C66" s="45"/>
      <c r="D66" s="59"/>
      <c r="E66" s="47"/>
      <c r="F66" s="47"/>
      <c r="G66" s="47">
        <v>198.6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>
        <v>1565</v>
      </c>
      <c r="B67" s="113" t="s">
        <v>150</v>
      </c>
      <c r="C67" s="45">
        <f t="shared" ref="C67:C98" si="3">SUM(D67:L67)</f>
        <v>0</v>
      </c>
      <c r="D67" s="59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>
        <v>1156</v>
      </c>
      <c r="B68" s="113" t="s">
        <v>151</v>
      </c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>
        <v>1543</v>
      </c>
      <c r="B69" s="113" t="s">
        <v>152</v>
      </c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32">
        <v>1230</v>
      </c>
      <c r="B70" s="113" t="s">
        <v>153</v>
      </c>
      <c r="C70" s="45">
        <f t="shared" si="3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32">
        <v>83</v>
      </c>
      <c r="B71" s="113" t="s">
        <v>154</v>
      </c>
      <c r="C71" s="45">
        <f t="shared" si="3"/>
        <v>0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32">
        <v>275</v>
      </c>
      <c r="B72" s="113" t="s">
        <v>155</v>
      </c>
      <c r="C72" s="45">
        <f t="shared" si="3"/>
        <v>0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32">
        <v>132</v>
      </c>
      <c r="B73" s="113" t="s">
        <v>156</v>
      </c>
      <c r="C73" s="45">
        <f t="shared" si="3"/>
        <v>0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32">
        <v>126</v>
      </c>
      <c r="B74" s="123" t="s">
        <v>157</v>
      </c>
      <c r="C74" s="45">
        <f t="shared" si="3"/>
        <v>1182.05</v>
      </c>
      <c r="D74" s="47"/>
      <c r="E74" s="47"/>
      <c r="F74" s="47"/>
      <c r="G74" s="47">
        <v>633.86</v>
      </c>
      <c r="H74" s="47">
        <v>408.36</v>
      </c>
      <c r="I74" s="47">
        <v>139.83000000000001</v>
      </c>
      <c r="J74" s="47"/>
      <c r="K74" s="47"/>
      <c r="L74" s="47"/>
      <c r="M74" s="47"/>
      <c r="N74" s="47"/>
      <c r="O74" s="47"/>
      <c r="P74" s="47"/>
      <c r="Q74" s="47"/>
      <c r="R74" s="47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32">
        <v>1145</v>
      </c>
      <c r="B75" s="60" t="s">
        <v>158</v>
      </c>
      <c r="C75" s="45">
        <f t="shared" si="3"/>
        <v>0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32">
        <v>71</v>
      </c>
      <c r="B76" s="60" t="s">
        <v>159</v>
      </c>
      <c r="C76" s="45">
        <f t="shared" si="3"/>
        <v>14702.88</v>
      </c>
      <c r="D76" s="47"/>
      <c r="E76" s="47"/>
      <c r="F76" s="47"/>
      <c r="G76" s="47">
        <v>1686.68</v>
      </c>
      <c r="H76" s="47">
        <v>3173.94</v>
      </c>
      <c r="I76" s="47">
        <v>3681.86</v>
      </c>
      <c r="J76" s="47">
        <v>6160.4</v>
      </c>
      <c r="K76" s="47"/>
      <c r="L76" s="47"/>
      <c r="M76" s="47"/>
      <c r="N76" s="47"/>
      <c r="O76" s="47"/>
      <c r="P76" s="47"/>
      <c r="Q76" s="47"/>
      <c r="R76" s="47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32">
        <v>1306</v>
      </c>
      <c r="B77" s="60" t="s">
        <v>160</v>
      </c>
      <c r="C77" s="45">
        <f t="shared" si="3"/>
        <v>2676.7</v>
      </c>
      <c r="D77" s="47"/>
      <c r="E77" s="47"/>
      <c r="F77" s="47"/>
      <c r="G77" s="47">
        <v>1218.0999999999999</v>
      </c>
      <c r="H77" s="47">
        <v>1458.6</v>
      </c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32">
        <v>1222</v>
      </c>
      <c r="B78" s="60" t="s">
        <v>161</v>
      </c>
      <c r="C78" s="45">
        <f t="shared" si="3"/>
        <v>0</v>
      </c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32">
        <v>6</v>
      </c>
      <c r="B79" s="60" t="s">
        <v>162</v>
      </c>
      <c r="C79" s="45">
        <f t="shared" si="3"/>
        <v>0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32">
        <v>612</v>
      </c>
      <c r="B80" s="60" t="s">
        <v>163</v>
      </c>
      <c r="C80" s="45">
        <f t="shared" si="3"/>
        <v>0</v>
      </c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32">
        <v>1190</v>
      </c>
      <c r="B81" s="60" t="s">
        <v>164</v>
      </c>
      <c r="C81" s="45">
        <f t="shared" si="3"/>
        <v>0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32">
        <v>68</v>
      </c>
      <c r="B82" s="60" t="s">
        <v>165</v>
      </c>
      <c r="C82" s="45">
        <f t="shared" si="3"/>
        <v>0</v>
      </c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32">
        <v>1144</v>
      </c>
      <c r="B83" s="60" t="s">
        <v>166</v>
      </c>
      <c r="C83" s="45">
        <f t="shared" si="3"/>
        <v>0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32">
        <v>1515</v>
      </c>
      <c r="B84" s="60" t="s">
        <v>167</v>
      </c>
      <c r="C84" s="45">
        <f t="shared" si="3"/>
        <v>0</v>
      </c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32">
        <v>121</v>
      </c>
      <c r="B85" s="60" t="s">
        <v>168</v>
      </c>
      <c r="C85" s="45">
        <f t="shared" si="3"/>
        <v>0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32">
        <v>1269</v>
      </c>
      <c r="B86" s="60" t="s">
        <v>169</v>
      </c>
      <c r="C86" s="45">
        <f t="shared" si="3"/>
        <v>0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32">
        <v>1279</v>
      </c>
      <c r="B87" s="60" t="s">
        <v>170</v>
      </c>
      <c r="C87" s="45">
        <f t="shared" si="3"/>
        <v>0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32">
        <v>1058</v>
      </c>
      <c r="B88" s="60" t="s">
        <v>171</v>
      </c>
      <c r="C88" s="45">
        <f t="shared" si="3"/>
        <v>0</v>
      </c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32">
        <v>1438</v>
      </c>
      <c r="B89" s="60" t="s">
        <v>172</v>
      </c>
      <c r="C89" s="45">
        <f t="shared" si="3"/>
        <v>122</v>
      </c>
      <c r="D89" s="47"/>
      <c r="E89" s="47"/>
      <c r="F89" s="47"/>
      <c r="G89" s="47">
        <v>122</v>
      </c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32">
        <v>138</v>
      </c>
      <c r="B90" s="60" t="s">
        <v>173</v>
      </c>
      <c r="C90" s="45">
        <f t="shared" si="3"/>
        <v>0</v>
      </c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32">
        <v>82</v>
      </c>
      <c r="B91" s="60" t="s">
        <v>174</v>
      </c>
      <c r="C91" s="45">
        <f t="shared" si="3"/>
        <v>0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32">
        <v>10</v>
      </c>
      <c r="B92" s="60" t="s">
        <v>175</v>
      </c>
      <c r="C92" s="45">
        <f t="shared" si="3"/>
        <v>0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32">
        <v>1050</v>
      </c>
      <c r="B93" s="60" t="s">
        <v>176</v>
      </c>
      <c r="C93" s="45">
        <f t="shared" si="3"/>
        <v>0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32">
        <v>745</v>
      </c>
      <c r="B94" s="60" t="s">
        <v>177</v>
      </c>
      <c r="C94" s="45">
        <f t="shared" si="3"/>
        <v>0</v>
      </c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32">
        <v>985</v>
      </c>
      <c r="B95" s="60" t="s">
        <v>178</v>
      </c>
      <c r="C95" s="45">
        <f t="shared" si="3"/>
        <v>0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32">
        <v>19</v>
      </c>
      <c r="B96" s="60" t="s">
        <v>179</v>
      </c>
      <c r="C96" s="45">
        <f t="shared" si="3"/>
        <v>0</v>
      </c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32">
        <v>498</v>
      </c>
      <c r="B97" s="113" t="s">
        <v>180</v>
      </c>
      <c r="C97" s="45">
        <f t="shared" si="3"/>
        <v>0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32">
        <v>14</v>
      </c>
      <c r="B98" s="113" t="s">
        <v>181</v>
      </c>
      <c r="C98" s="45">
        <f t="shared" si="3"/>
        <v>0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32">
        <v>1595</v>
      </c>
      <c r="B99" s="113" t="s">
        <v>182</v>
      </c>
      <c r="C99" s="45">
        <f t="shared" ref="C99:C123" si="4">SUM(D99:L99)</f>
        <v>0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32">
        <v>1597</v>
      </c>
      <c r="B100" s="113" t="s">
        <v>183</v>
      </c>
      <c r="C100" s="45">
        <f t="shared" si="4"/>
        <v>148</v>
      </c>
      <c r="D100" s="47"/>
      <c r="E100" s="47"/>
      <c r="F100" s="47"/>
      <c r="G100" s="47">
        <v>148</v>
      </c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32">
        <v>1168</v>
      </c>
      <c r="B101" s="113" t="s">
        <v>184</v>
      </c>
      <c r="C101" s="45">
        <f t="shared" si="4"/>
        <v>0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32">
        <v>1557</v>
      </c>
      <c r="B102" s="113" t="s">
        <v>185</v>
      </c>
      <c r="C102" s="45">
        <f t="shared" si="4"/>
        <v>0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32">
        <v>1035</v>
      </c>
      <c r="B103" s="113" t="s">
        <v>186</v>
      </c>
      <c r="C103" s="45">
        <f t="shared" si="4"/>
        <v>0</v>
      </c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32">
        <v>1598</v>
      </c>
      <c r="B104" s="113" t="s">
        <v>187</v>
      </c>
      <c r="C104" s="45">
        <f t="shared" si="4"/>
        <v>0</v>
      </c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32">
        <v>1233</v>
      </c>
      <c r="B105" s="113" t="s">
        <v>188</v>
      </c>
      <c r="C105" s="45">
        <f t="shared" si="4"/>
        <v>0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5"/>
      <c r="T105" s="5"/>
      <c r="U105" s="5"/>
      <c r="V105" s="5"/>
      <c r="W105" s="5"/>
      <c r="X105" s="5"/>
      <c r="Y105" s="5"/>
      <c r="Z105" s="5"/>
    </row>
    <row r="106" spans="1:26" ht="15" customHeight="1" x14ac:dyDescent="0.2">
      <c r="A106" s="32">
        <v>1008</v>
      </c>
      <c r="B106" s="113" t="s">
        <v>189</v>
      </c>
      <c r="C106" s="45">
        <f t="shared" si="4"/>
        <v>0</v>
      </c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32">
        <v>1627</v>
      </c>
      <c r="B107" s="113" t="s">
        <v>190</v>
      </c>
      <c r="C107" s="45">
        <f t="shared" si="4"/>
        <v>0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32">
        <v>1603</v>
      </c>
      <c r="B108" s="113" t="s">
        <v>191</v>
      </c>
      <c r="C108" s="45">
        <f t="shared" si="4"/>
        <v>0</v>
      </c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32">
        <v>1602</v>
      </c>
      <c r="B109" s="113" t="s">
        <v>192</v>
      </c>
      <c r="C109" s="45">
        <f t="shared" si="4"/>
        <v>0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32">
        <v>1699</v>
      </c>
      <c r="B110" s="113" t="s">
        <v>193</v>
      </c>
      <c r="C110" s="45">
        <f t="shared" si="4"/>
        <v>0</v>
      </c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32">
        <v>142</v>
      </c>
      <c r="B111" s="113" t="s">
        <v>194</v>
      </c>
      <c r="C111" s="45">
        <f t="shared" si="4"/>
        <v>326.37</v>
      </c>
      <c r="D111" s="47"/>
      <c r="E111" s="47"/>
      <c r="F111" s="47"/>
      <c r="G111" s="47"/>
      <c r="H111" s="47">
        <v>165</v>
      </c>
      <c r="I111" s="47">
        <v>161.37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32">
        <v>1697</v>
      </c>
      <c r="B112" s="113" t="s">
        <v>195</v>
      </c>
      <c r="C112" s="45">
        <f t="shared" si="4"/>
        <v>7831.07</v>
      </c>
      <c r="D112" s="47"/>
      <c r="E112" s="47"/>
      <c r="F112" s="47"/>
      <c r="G112" s="47">
        <v>3194.05</v>
      </c>
      <c r="H112" s="47">
        <v>3814.95</v>
      </c>
      <c r="I112" s="47">
        <v>822.07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32">
        <v>212</v>
      </c>
      <c r="B113" s="113" t="s">
        <v>196</v>
      </c>
      <c r="C113" s="45">
        <f t="shared" si="4"/>
        <v>0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32">
        <v>499</v>
      </c>
      <c r="B114" s="113" t="s">
        <v>197</v>
      </c>
      <c r="C114" s="45">
        <f t="shared" si="4"/>
        <v>0</v>
      </c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32">
        <v>1147</v>
      </c>
      <c r="B115" s="113" t="s">
        <v>198</v>
      </c>
      <c r="C115" s="45">
        <f t="shared" si="4"/>
        <v>90.16</v>
      </c>
      <c r="D115" s="47"/>
      <c r="E115" s="47"/>
      <c r="F115" s="47"/>
      <c r="G115" s="47">
        <v>90.16</v>
      </c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32">
        <v>1764</v>
      </c>
      <c r="B116" s="113" t="s">
        <v>199</v>
      </c>
      <c r="C116" s="45">
        <f t="shared" si="4"/>
        <v>0</v>
      </c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32">
        <v>1759</v>
      </c>
      <c r="B117" s="113" t="s">
        <v>200</v>
      </c>
      <c r="C117" s="45">
        <f t="shared" si="4"/>
        <v>0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32">
        <v>1762</v>
      </c>
      <c r="B118" s="113" t="s">
        <v>201</v>
      </c>
      <c r="C118" s="45">
        <f t="shared" si="4"/>
        <v>40.9</v>
      </c>
      <c r="D118" s="47"/>
      <c r="E118" s="47"/>
      <c r="F118" s="47"/>
      <c r="G118" s="47">
        <v>40.9</v>
      </c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32">
        <v>715</v>
      </c>
      <c r="B119" s="110" t="s">
        <v>202</v>
      </c>
      <c r="C119" s="45">
        <f t="shared" si="4"/>
        <v>196.93</v>
      </c>
      <c r="D119" s="110"/>
      <c r="E119" s="110"/>
      <c r="F119" s="110"/>
      <c r="G119" s="110">
        <v>196.93</v>
      </c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32">
        <v>1222</v>
      </c>
      <c r="B120" s="110" t="s">
        <v>203</v>
      </c>
      <c r="C120" s="45">
        <f t="shared" si="4"/>
        <v>0</v>
      </c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>
        <v>128</v>
      </c>
      <c r="B121" s="110" t="s">
        <v>204</v>
      </c>
      <c r="C121" s="45">
        <f t="shared" si="4"/>
        <v>669.78</v>
      </c>
      <c r="D121" s="110"/>
      <c r="E121" s="110"/>
      <c r="F121" s="110"/>
      <c r="G121" s="110">
        <v>669.78</v>
      </c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45">
        <f t="shared" si="4"/>
        <v>0</v>
      </c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45">
        <f t="shared" si="4"/>
        <v>0</v>
      </c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10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110"/>
      <c r="C221" s="5"/>
      <c r="D221" s="110"/>
      <c r="E221" s="110"/>
      <c r="F221" s="110"/>
      <c r="G221" s="110"/>
      <c r="H221" s="110"/>
      <c r="I221" s="110"/>
      <c r="J221" s="110"/>
      <c r="K221" s="110"/>
      <c r="L221" s="11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110"/>
      <c r="C222" s="5"/>
      <c r="D222" s="110"/>
      <c r="E222" s="110"/>
      <c r="F222" s="110"/>
      <c r="G222" s="110"/>
      <c r="H222" s="110"/>
      <c r="I222" s="110"/>
      <c r="J222" s="110"/>
      <c r="K222" s="110"/>
      <c r="L222" s="110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110"/>
      <c r="C223" s="5"/>
      <c r="D223" s="110"/>
      <c r="E223" s="110"/>
      <c r="F223" s="110"/>
      <c r="G223" s="110"/>
      <c r="H223" s="110"/>
      <c r="I223" s="110"/>
      <c r="J223" s="110"/>
      <c r="K223" s="110"/>
      <c r="L223" s="110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110"/>
      <c r="C224" s="5"/>
      <c r="D224" s="110"/>
      <c r="E224" s="110"/>
      <c r="F224" s="110"/>
      <c r="G224" s="110"/>
      <c r="H224" s="110"/>
      <c r="I224" s="110"/>
      <c r="J224" s="110"/>
      <c r="K224" s="110"/>
      <c r="L224" s="110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110"/>
      <c r="C225" s="5"/>
      <c r="D225" s="110"/>
      <c r="E225" s="110"/>
      <c r="F225" s="110"/>
      <c r="G225" s="110"/>
      <c r="H225" s="110"/>
      <c r="I225" s="110"/>
      <c r="J225" s="110"/>
      <c r="K225" s="110"/>
      <c r="L225" s="110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110"/>
      <c r="C226" s="5"/>
      <c r="D226" s="110"/>
      <c r="E226" s="110"/>
      <c r="F226" s="110"/>
      <c r="G226" s="110"/>
      <c r="H226" s="110"/>
      <c r="I226" s="110"/>
      <c r="J226" s="110"/>
      <c r="K226" s="110"/>
      <c r="L226" s="110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110"/>
      <c r="C227" s="5"/>
      <c r="D227" s="110"/>
      <c r="E227" s="110"/>
      <c r="F227" s="110"/>
      <c r="G227" s="110"/>
      <c r="H227" s="110"/>
      <c r="I227" s="110"/>
      <c r="J227" s="110"/>
      <c r="K227" s="110"/>
      <c r="L227" s="110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110"/>
      <c r="C228" s="5"/>
      <c r="D228" s="110"/>
      <c r="E228" s="110"/>
      <c r="F228" s="110"/>
      <c r="G228" s="110"/>
      <c r="H228" s="110"/>
      <c r="I228" s="110"/>
      <c r="J228" s="110"/>
      <c r="K228" s="110"/>
      <c r="L228" s="110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110"/>
      <c r="E229" s="110"/>
      <c r="F229" s="110"/>
      <c r="G229" s="110"/>
      <c r="H229" s="110"/>
      <c r="I229" s="110"/>
      <c r="J229" s="110"/>
      <c r="K229" s="110"/>
      <c r="L229" s="110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110"/>
      <c r="E230" s="110"/>
      <c r="F230" s="110"/>
      <c r="G230" s="110"/>
      <c r="H230" s="110"/>
      <c r="I230" s="110"/>
      <c r="J230" s="110"/>
      <c r="K230" s="110"/>
      <c r="L230" s="110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110"/>
      <c r="E231" s="110"/>
      <c r="F231" s="110"/>
      <c r="G231" s="110"/>
      <c r="H231" s="110"/>
      <c r="I231" s="110"/>
      <c r="J231" s="110"/>
      <c r="K231" s="110"/>
      <c r="L231" s="110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110"/>
      <c r="E232" s="110"/>
      <c r="F232" s="110"/>
      <c r="G232" s="110"/>
      <c r="H232" s="110"/>
      <c r="I232" s="110"/>
      <c r="J232" s="110"/>
      <c r="K232" s="110"/>
      <c r="L232" s="1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110"/>
      <c r="E233" s="110"/>
      <c r="F233" s="110"/>
      <c r="G233" s="110"/>
      <c r="H233" s="110"/>
      <c r="I233" s="110"/>
      <c r="J233" s="110"/>
      <c r="K233" s="110"/>
      <c r="L233" s="1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110"/>
      <c r="E234" s="110"/>
      <c r="F234" s="110"/>
      <c r="G234" s="110"/>
      <c r="H234" s="110"/>
      <c r="I234" s="110"/>
      <c r="J234" s="110"/>
      <c r="K234" s="110"/>
      <c r="L234" s="1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110"/>
      <c r="E235" s="110"/>
      <c r="F235" s="110"/>
      <c r="G235" s="110"/>
      <c r="H235" s="110"/>
      <c r="I235" s="110"/>
      <c r="J235" s="110"/>
      <c r="K235" s="110"/>
      <c r="L235" s="1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110"/>
      <c r="E236" s="110"/>
      <c r="F236" s="110"/>
      <c r="G236" s="110"/>
      <c r="H236" s="110"/>
      <c r="I236" s="110"/>
      <c r="J236" s="110"/>
      <c r="K236" s="110"/>
      <c r="L236" s="1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110"/>
      <c r="E237" s="110"/>
      <c r="F237" s="110"/>
      <c r="G237" s="110"/>
      <c r="H237" s="110"/>
      <c r="I237" s="110"/>
      <c r="J237" s="110"/>
      <c r="K237" s="110"/>
      <c r="L237" s="1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110"/>
      <c r="E238" s="110"/>
      <c r="F238" s="110"/>
      <c r="G238" s="110"/>
      <c r="H238" s="110"/>
      <c r="I238" s="110"/>
      <c r="J238" s="110"/>
      <c r="K238" s="110"/>
      <c r="L238" s="110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110"/>
      <c r="E239" s="110"/>
      <c r="F239" s="110"/>
      <c r="G239" s="110"/>
      <c r="H239" s="110"/>
      <c r="I239" s="110"/>
      <c r="J239" s="110"/>
      <c r="K239" s="110"/>
      <c r="L239" s="1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110"/>
      <c r="E240" s="110"/>
      <c r="F240" s="110"/>
      <c r="G240" s="110"/>
      <c r="H240" s="110"/>
      <c r="I240" s="110"/>
      <c r="J240" s="110"/>
      <c r="K240" s="110"/>
      <c r="L240" s="1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110"/>
      <c r="E241" s="110"/>
      <c r="F241" s="110"/>
      <c r="G241" s="110"/>
      <c r="H241" s="110"/>
      <c r="I241" s="110"/>
      <c r="J241" s="110"/>
      <c r="K241" s="110"/>
      <c r="L241" s="1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110"/>
      <c r="E242" s="110"/>
      <c r="F242" s="110"/>
      <c r="G242" s="110"/>
      <c r="H242" s="110"/>
      <c r="I242" s="110"/>
      <c r="J242" s="110"/>
      <c r="K242" s="110"/>
      <c r="L242" s="1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110"/>
      <c r="E243" s="110"/>
      <c r="F243" s="110"/>
      <c r="G243" s="110"/>
      <c r="H243" s="110"/>
      <c r="I243" s="110"/>
      <c r="J243" s="110"/>
      <c r="K243" s="110"/>
      <c r="L243" s="1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110"/>
      <c r="E244" s="110"/>
      <c r="F244" s="110"/>
      <c r="G244" s="110"/>
      <c r="H244" s="110"/>
      <c r="I244" s="110"/>
      <c r="J244" s="110"/>
      <c r="K244" s="110"/>
      <c r="L244" s="110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110"/>
      <c r="E245" s="110"/>
      <c r="F245" s="110"/>
      <c r="G245" s="110"/>
      <c r="H245" s="110"/>
      <c r="I245" s="110"/>
      <c r="J245" s="110"/>
      <c r="K245" s="110"/>
      <c r="L245" s="1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110"/>
      <c r="E246" s="110"/>
      <c r="F246" s="110"/>
      <c r="G246" s="110"/>
      <c r="H246" s="110"/>
      <c r="I246" s="110"/>
      <c r="J246" s="110"/>
      <c r="K246" s="110"/>
      <c r="L246" s="1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110"/>
      <c r="E247" s="110"/>
      <c r="F247" s="110"/>
      <c r="G247" s="110"/>
      <c r="H247" s="110"/>
      <c r="I247" s="110"/>
      <c r="J247" s="110"/>
      <c r="K247" s="110"/>
      <c r="L247" s="1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110"/>
      <c r="E248" s="110"/>
      <c r="F248" s="110"/>
      <c r="G248" s="110"/>
      <c r="H248" s="110"/>
      <c r="I248" s="110"/>
      <c r="J248" s="110"/>
      <c r="K248" s="110"/>
      <c r="L248" s="110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110"/>
      <c r="E249" s="110"/>
      <c r="F249" s="110"/>
      <c r="G249" s="110"/>
      <c r="H249" s="110"/>
      <c r="I249" s="110"/>
      <c r="J249" s="110"/>
      <c r="K249" s="110"/>
      <c r="L249" s="110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110"/>
      <c r="E250" s="110"/>
      <c r="F250" s="110"/>
      <c r="G250" s="110"/>
      <c r="H250" s="110"/>
      <c r="I250" s="110"/>
      <c r="J250" s="110"/>
      <c r="K250" s="110"/>
      <c r="L250" s="110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110"/>
      <c r="E251" s="110"/>
      <c r="F251" s="110"/>
      <c r="G251" s="110"/>
      <c r="H251" s="110"/>
      <c r="I251" s="110"/>
      <c r="J251" s="110"/>
      <c r="K251" s="110"/>
      <c r="L251" s="110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110"/>
      <c r="E252" s="110"/>
      <c r="F252" s="110"/>
      <c r="G252" s="110"/>
      <c r="H252" s="110"/>
      <c r="I252" s="110"/>
      <c r="J252" s="110"/>
      <c r="K252" s="110"/>
      <c r="L252" s="110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110"/>
      <c r="E253" s="110"/>
      <c r="F253" s="110"/>
      <c r="G253" s="110"/>
      <c r="H253" s="110"/>
      <c r="I253" s="110"/>
      <c r="J253" s="110"/>
      <c r="K253" s="110"/>
      <c r="L253" s="110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110"/>
      <c r="E254" s="110"/>
      <c r="F254" s="110"/>
      <c r="G254" s="110"/>
      <c r="H254" s="110"/>
      <c r="I254" s="110"/>
      <c r="J254" s="110"/>
      <c r="K254" s="110"/>
      <c r="L254" s="110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110"/>
      <c r="E255" s="110"/>
      <c r="F255" s="110"/>
      <c r="G255" s="110"/>
      <c r="H255" s="110"/>
      <c r="I255" s="110"/>
      <c r="J255" s="110"/>
      <c r="K255" s="110"/>
      <c r="L255" s="110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110"/>
      <c r="E256" s="110"/>
      <c r="F256" s="110"/>
      <c r="G256" s="110"/>
      <c r="H256" s="110"/>
      <c r="I256" s="110"/>
      <c r="J256" s="110"/>
      <c r="K256" s="110"/>
      <c r="L256" s="110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110"/>
      <c r="E257" s="110"/>
      <c r="F257" s="110"/>
      <c r="G257" s="110"/>
      <c r="H257" s="110"/>
      <c r="I257" s="110"/>
      <c r="J257" s="110"/>
      <c r="K257" s="110"/>
      <c r="L257" s="110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110"/>
      <c r="E258" s="110"/>
      <c r="F258" s="110"/>
      <c r="G258" s="110"/>
      <c r="H258" s="110"/>
      <c r="I258" s="110"/>
      <c r="J258" s="110"/>
      <c r="K258" s="110"/>
      <c r="L258" s="110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110"/>
      <c r="E259" s="110"/>
      <c r="F259" s="110"/>
      <c r="G259" s="110"/>
      <c r="H259" s="110"/>
      <c r="I259" s="110"/>
      <c r="J259" s="110"/>
      <c r="K259" s="110"/>
      <c r="L259" s="110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110"/>
      <c r="E260" s="110"/>
      <c r="F260" s="110"/>
      <c r="G260" s="110"/>
      <c r="H260" s="110"/>
      <c r="I260" s="110"/>
      <c r="J260" s="110"/>
      <c r="K260" s="110"/>
      <c r="L260" s="110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110"/>
      <c r="E261" s="110"/>
      <c r="F261" s="110"/>
      <c r="G261" s="110"/>
      <c r="H261" s="110"/>
      <c r="I261" s="110"/>
      <c r="J261" s="110"/>
      <c r="K261" s="110"/>
      <c r="L261" s="110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110"/>
      <c r="E262" s="110"/>
      <c r="F262" s="110"/>
      <c r="G262" s="110"/>
      <c r="H262" s="110"/>
      <c r="I262" s="110"/>
      <c r="J262" s="110"/>
      <c r="K262" s="110"/>
      <c r="L262" s="110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110"/>
      <c r="E263" s="110"/>
      <c r="F263" s="110"/>
      <c r="G263" s="110"/>
      <c r="H263" s="110"/>
      <c r="I263" s="110"/>
      <c r="J263" s="110"/>
      <c r="K263" s="110"/>
      <c r="L263" s="110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110"/>
      <c r="E264" s="110"/>
      <c r="F264" s="110"/>
      <c r="G264" s="110"/>
      <c r="H264" s="110"/>
      <c r="I264" s="110"/>
      <c r="J264" s="110"/>
      <c r="K264" s="110"/>
      <c r="L264" s="110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110"/>
      <c r="E265" s="110"/>
      <c r="F265" s="110"/>
      <c r="G265" s="110"/>
      <c r="H265" s="110"/>
      <c r="I265" s="110"/>
      <c r="J265" s="110"/>
      <c r="K265" s="110"/>
      <c r="L265" s="110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110"/>
      <c r="E266" s="110"/>
      <c r="F266" s="110"/>
      <c r="G266" s="110"/>
      <c r="H266" s="110"/>
      <c r="I266" s="110"/>
      <c r="J266" s="110"/>
      <c r="K266" s="110"/>
      <c r="L266" s="110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110"/>
      <c r="E267" s="110"/>
      <c r="F267" s="110"/>
      <c r="G267" s="110"/>
      <c r="H267" s="110"/>
      <c r="I267" s="110"/>
      <c r="J267" s="110"/>
      <c r="K267" s="110"/>
      <c r="L267" s="110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110"/>
      <c r="E268" s="110"/>
      <c r="F268" s="110"/>
      <c r="G268" s="110"/>
      <c r="H268" s="110"/>
      <c r="I268" s="110"/>
      <c r="J268" s="110"/>
      <c r="K268" s="110"/>
      <c r="L268" s="110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110"/>
      <c r="E269" s="110"/>
      <c r="F269" s="110"/>
      <c r="G269" s="110"/>
      <c r="H269" s="110"/>
      <c r="I269" s="110"/>
      <c r="J269" s="110"/>
      <c r="K269" s="110"/>
      <c r="L269" s="110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110"/>
      <c r="E270" s="110"/>
      <c r="F270" s="110"/>
      <c r="G270" s="110"/>
      <c r="H270" s="110"/>
      <c r="I270" s="110"/>
      <c r="J270" s="110"/>
      <c r="K270" s="110"/>
      <c r="L270" s="110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110"/>
      <c r="E271" s="110"/>
      <c r="F271" s="110"/>
      <c r="G271" s="110"/>
      <c r="H271" s="110"/>
      <c r="I271" s="110"/>
      <c r="J271" s="110"/>
      <c r="K271" s="110"/>
      <c r="L271" s="110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/>
    <row r="325" spans="1:26" ht="15.75" customHeight="1" x14ac:dyDescent="0.2"/>
    <row r="326" spans="1:26" ht="15.75" customHeight="1" x14ac:dyDescent="0.2"/>
    <row r="327" spans="1:26" ht="15.75" customHeight="1" x14ac:dyDescent="0.2"/>
    <row r="328" spans="1:26" ht="15.75" customHeight="1" x14ac:dyDescent="0.2"/>
    <row r="329" spans="1:26" ht="15.75" customHeight="1" x14ac:dyDescent="0.2"/>
    <row r="330" spans="1:26" ht="15.75" customHeight="1" x14ac:dyDescent="0.2"/>
    <row r="331" spans="1:26" ht="15.75" customHeight="1" x14ac:dyDescent="0.2"/>
    <row r="332" spans="1:26" ht="15.75" customHeight="1" x14ac:dyDescent="0.2"/>
    <row r="333" spans="1:26" ht="15.75" customHeight="1" x14ac:dyDescent="0.2"/>
    <row r="334" spans="1:26" ht="15.75" customHeight="1" x14ac:dyDescent="0.2"/>
    <row r="335" spans="1:26" ht="15.75" customHeight="1" x14ac:dyDescent="0.2"/>
    <row r="336" spans="1:2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hyperlinks>
    <hyperlink ref="B74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1.1640625" defaultRowHeight="15" customHeight="1" x14ac:dyDescent="0.2"/>
  <cols>
    <col min="1" max="1" width="8.6640625" customWidth="1"/>
    <col min="2" max="2" width="34" customWidth="1"/>
    <col min="3" max="3" width="12.6640625" customWidth="1"/>
    <col min="4" max="4" width="7.5" hidden="1" customWidth="1"/>
    <col min="5" max="5" width="8.6640625" hidden="1" customWidth="1"/>
    <col min="6" max="6" width="12.6640625" hidden="1" customWidth="1"/>
    <col min="7" max="8" width="11.6640625" customWidth="1"/>
    <col min="9" max="9" width="12.6640625" customWidth="1"/>
    <col min="10" max="11" width="11.6640625" customWidth="1"/>
    <col min="12" max="12" width="11" customWidth="1"/>
    <col min="13" max="19" width="10.16406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57</v>
      </c>
      <c r="C3" s="19">
        <f>SUM(D3:L3)</f>
        <v>414860.36</v>
      </c>
      <c r="D3" s="24">
        <f t="shared" ref="D3:R3" si="0">SUM(D4:D136)</f>
        <v>0</v>
      </c>
      <c r="E3" s="24">
        <f t="shared" si="0"/>
        <v>0</v>
      </c>
      <c r="F3" s="24">
        <f t="shared" si="0"/>
        <v>0</v>
      </c>
      <c r="G3" s="24">
        <f t="shared" si="0"/>
        <v>95437.2</v>
      </c>
      <c r="H3" s="24">
        <f t="shared" si="0"/>
        <v>48571.240000000005</v>
      </c>
      <c r="I3" s="24">
        <f t="shared" si="0"/>
        <v>133000.94</v>
      </c>
      <c r="J3" s="24">
        <f t="shared" si="0"/>
        <v>55260.639999999999</v>
      </c>
      <c r="K3" s="24">
        <f t="shared" si="0"/>
        <v>82590.34</v>
      </c>
      <c r="L3" s="24">
        <f t="shared" si="0"/>
        <v>0</v>
      </c>
      <c r="M3" s="24">
        <f t="shared" si="0"/>
        <v>0</v>
      </c>
      <c r="N3" s="24">
        <f t="shared" si="0"/>
        <v>0</v>
      </c>
      <c r="O3" s="24">
        <f t="shared" si="0"/>
        <v>0</v>
      </c>
      <c r="P3" s="24">
        <f t="shared" si="0"/>
        <v>0</v>
      </c>
      <c r="Q3" s="24">
        <f t="shared" si="0"/>
        <v>0</v>
      </c>
      <c r="R3" s="24">
        <f t="shared" si="0"/>
        <v>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710104</v>
      </c>
      <c r="B4" s="33" t="s">
        <v>205</v>
      </c>
      <c r="C4" s="34">
        <f>SUM(D4:L4)</f>
        <v>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630511</v>
      </c>
      <c r="B5" s="42" t="s">
        <v>206</v>
      </c>
      <c r="C5" s="45">
        <f>SUM(D5:L5)</f>
        <v>167514.35999999999</v>
      </c>
      <c r="D5" s="47"/>
      <c r="E5" s="47"/>
      <c r="F5" s="47"/>
      <c r="G5" s="47">
        <v>24151.200000000001</v>
      </c>
      <c r="H5" s="47">
        <v>24221.24</v>
      </c>
      <c r="I5" s="47">
        <v>24300.94</v>
      </c>
      <c r="J5" s="47">
        <v>24380.639999999999</v>
      </c>
      <c r="K5" s="47">
        <f>24460.34+46000</f>
        <v>70460.34</v>
      </c>
      <c r="L5" s="47"/>
      <c r="M5" s="47" t="s">
        <v>207</v>
      </c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630519</v>
      </c>
      <c r="B6" s="42" t="s">
        <v>208</v>
      </c>
      <c r="C6" s="45">
        <f>SUM(D6:L6)</f>
        <v>85000</v>
      </c>
      <c r="D6" s="47"/>
      <c r="E6" s="47"/>
      <c r="F6" s="47"/>
      <c r="G6" s="47">
        <v>0</v>
      </c>
      <c r="H6" s="47"/>
      <c r="I6" s="47">
        <v>85000</v>
      </c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350101</v>
      </c>
      <c r="B7" s="42" t="s">
        <v>209</v>
      </c>
      <c r="C7" s="45">
        <f>SUM(D7:L7)</f>
        <v>60000</v>
      </c>
      <c r="D7" s="47"/>
      <c r="E7" s="47"/>
      <c r="F7" s="47"/>
      <c r="G7" s="47">
        <v>50000</v>
      </c>
      <c r="H7" s="47"/>
      <c r="I7" s="47"/>
      <c r="J7" s="47">
        <v>10000</v>
      </c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350305</v>
      </c>
      <c r="B8" s="42" t="s">
        <v>210</v>
      </c>
      <c r="C8" s="45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1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390590</v>
      </c>
      <c r="B9" s="42" t="s">
        <v>211</v>
      </c>
      <c r="C9" s="45">
        <f t="shared" ref="C9:C40" si="1">SUM(D9:L9)</f>
        <v>84796</v>
      </c>
      <c r="D9" s="47"/>
      <c r="E9" s="47"/>
      <c r="F9" s="47"/>
      <c r="G9" s="47">
        <v>18296</v>
      </c>
      <c r="H9" s="47">
        <v>20000</v>
      </c>
      <c r="I9" s="47">
        <v>19000</v>
      </c>
      <c r="J9" s="47">
        <v>17500</v>
      </c>
      <c r="K9" s="47">
        <v>10000</v>
      </c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42" t="s">
        <v>212</v>
      </c>
      <c r="C10" s="45">
        <f t="shared" si="1"/>
        <v>10844</v>
      </c>
      <c r="D10" s="47"/>
      <c r="E10" s="47"/>
      <c r="F10" s="47"/>
      <c r="G10" s="47">
        <v>1834</v>
      </c>
      <c r="H10" s="47">
        <v>2900</v>
      </c>
      <c r="I10" s="47">
        <v>2700</v>
      </c>
      <c r="J10" s="47">
        <v>2030</v>
      </c>
      <c r="K10" s="47">
        <v>1380</v>
      </c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390593</v>
      </c>
      <c r="B11" s="42" t="s">
        <v>213</v>
      </c>
      <c r="C11" s="45">
        <f t="shared" si="1"/>
        <v>5784</v>
      </c>
      <c r="D11" s="47"/>
      <c r="E11" s="47"/>
      <c r="F11" s="47"/>
      <c r="G11" s="47">
        <v>934</v>
      </c>
      <c r="H11" s="47">
        <v>1100</v>
      </c>
      <c r="I11" s="47">
        <v>1800</v>
      </c>
      <c r="J11" s="47">
        <v>1200</v>
      </c>
      <c r="K11" s="47">
        <v>750</v>
      </c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42" t="s">
        <v>214</v>
      </c>
      <c r="C12" s="45">
        <f t="shared" si="1"/>
        <v>922</v>
      </c>
      <c r="D12" s="47"/>
      <c r="E12" s="47"/>
      <c r="F12" s="47"/>
      <c r="G12" s="47">
        <v>222</v>
      </c>
      <c r="H12" s="47">
        <v>350</v>
      </c>
      <c r="I12" s="47">
        <v>200</v>
      </c>
      <c r="J12" s="47">
        <v>150</v>
      </c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136">
        <v>630519</v>
      </c>
      <c r="B13" s="60" t="s">
        <v>215</v>
      </c>
      <c r="C13" s="45">
        <f t="shared" si="1"/>
        <v>0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1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134"/>
      <c r="B14" s="60" t="s">
        <v>216</v>
      </c>
      <c r="C14" s="45">
        <f t="shared" si="1"/>
        <v>0</v>
      </c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1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134"/>
      <c r="B15" s="60" t="s">
        <v>217</v>
      </c>
      <c r="C15" s="45">
        <f t="shared" si="1"/>
        <v>0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1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1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1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1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1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1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1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1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1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1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1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1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1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1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1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1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1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1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1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1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1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1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1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1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1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1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ref="C41:C70" si="2">SUM(D41:L41)</f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60"/>
      <c r="C68" s="45">
        <f t="shared" si="2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/>
      <c r="B69" s="60"/>
      <c r="C69" s="45">
        <f t="shared" si="2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32"/>
      <c r="B70" s="113"/>
      <c r="C70" s="45">
        <f t="shared" si="2"/>
        <v>0</v>
      </c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10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110"/>
      <c r="C221" s="5"/>
      <c r="D221" s="110"/>
      <c r="E221" s="110"/>
      <c r="F221" s="110"/>
      <c r="G221" s="110"/>
      <c r="H221" s="110"/>
      <c r="I221" s="110"/>
      <c r="J221" s="110"/>
      <c r="K221" s="110"/>
      <c r="L221" s="11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110"/>
      <c r="E222" s="110"/>
      <c r="F222" s="110"/>
      <c r="G222" s="110"/>
      <c r="H222" s="110"/>
      <c r="I222" s="110"/>
      <c r="J222" s="110"/>
      <c r="K222" s="110"/>
      <c r="L222" s="110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D1:L1"/>
    <mergeCell ref="A13:A15"/>
  </mergeCell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22.6640625" customWidth="1"/>
    <col min="3" max="3" width="12.6640625" customWidth="1"/>
    <col min="4" max="4" width="7.5" hidden="1" customWidth="1"/>
    <col min="5" max="5" width="8.6640625" hidden="1" customWidth="1"/>
    <col min="6" max="6" width="8.6640625" customWidth="1"/>
    <col min="7" max="8" width="11.6640625" customWidth="1"/>
    <col min="9" max="9" width="12.6640625" customWidth="1"/>
    <col min="10" max="11" width="11.6640625" customWidth="1"/>
    <col min="12" max="12" width="11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218</v>
      </c>
      <c r="C3" s="19">
        <f t="shared" ref="C3:C34" si="0">SUM(D3:L3)</f>
        <v>148897</v>
      </c>
      <c r="D3" s="24">
        <f t="shared" ref="D3:R3" si="1">SUM(D4:D130)</f>
        <v>0</v>
      </c>
      <c r="E3" s="24">
        <f t="shared" si="1"/>
        <v>0</v>
      </c>
      <c r="F3" s="24">
        <f t="shared" si="1"/>
        <v>0</v>
      </c>
      <c r="G3" s="24">
        <f t="shared" si="1"/>
        <v>43897</v>
      </c>
      <c r="H3" s="24">
        <f t="shared" si="1"/>
        <v>44300</v>
      </c>
      <c r="I3" s="24">
        <f t="shared" si="1"/>
        <v>10500</v>
      </c>
      <c r="J3" s="24">
        <f t="shared" si="1"/>
        <v>28000</v>
      </c>
      <c r="K3" s="24">
        <f t="shared" si="1"/>
        <v>14000</v>
      </c>
      <c r="L3" s="24">
        <f t="shared" si="1"/>
        <v>8200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57010192</v>
      </c>
      <c r="B4" s="33" t="s">
        <v>219</v>
      </c>
      <c r="C4" s="34">
        <f t="shared" si="0"/>
        <v>122980</v>
      </c>
      <c r="D4" s="35"/>
      <c r="E4" s="47"/>
      <c r="F4" s="35"/>
      <c r="G4" s="35">
        <v>37280</v>
      </c>
      <c r="H4" s="35">
        <v>38000</v>
      </c>
      <c r="I4" s="35">
        <v>5000</v>
      </c>
      <c r="J4" s="35">
        <v>28000</v>
      </c>
      <c r="K4" s="122">
        <v>14000</v>
      </c>
      <c r="L4" s="35">
        <v>700</v>
      </c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57010192</v>
      </c>
      <c r="B5" s="42" t="s">
        <v>220</v>
      </c>
      <c r="C5" s="45">
        <f t="shared" si="0"/>
        <v>25917</v>
      </c>
      <c r="D5" s="47"/>
      <c r="E5" s="47"/>
      <c r="F5" s="47"/>
      <c r="G5" s="47">
        <v>6617</v>
      </c>
      <c r="H5" s="47">
        <v>6300</v>
      </c>
      <c r="I5" s="47">
        <v>5500</v>
      </c>
      <c r="J5" s="47"/>
      <c r="K5" s="47">
        <v>0</v>
      </c>
      <c r="L5" s="47">
        <v>7500</v>
      </c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414</v>
      </c>
      <c r="B6" s="42" t="s">
        <v>221</v>
      </c>
      <c r="C6" s="45">
        <f t="shared" si="0"/>
        <v>0</v>
      </c>
      <c r="D6" s="120"/>
      <c r="E6" s="47"/>
      <c r="F6" s="47"/>
      <c r="G6" s="47"/>
      <c r="H6" s="47"/>
      <c r="I6" s="47"/>
      <c r="J6" s="120"/>
      <c r="K6" s="120"/>
      <c r="L6" s="120"/>
      <c r="M6" s="120"/>
      <c r="N6" s="120"/>
      <c r="O6" s="120"/>
      <c r="P6" s="120"/>
      <c r="Q6" s="120"/>
      <c r="R6" s="120"/>
      <c r="S6" s="121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/>
      <c r="B7" s="42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4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113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110"/>
      <c r="C65" s="5"/>
      <c r="D65" s="110"/>
      <c r="E65" s="110"/>
      <c r="F65" s="110"/>
      <c r="G65" s="110"/>
      <c r="H65" s="110"/>
      <c r="I65" s="110"/>
      <c r="J65" s="110"/>
      <c r="K65" s="110"/>
      <c r="L65" s="11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110"/>
      <c r="C66" s="5"/>
      <c r="D66" s="110"/>
      <c r="E66" s="110"/>
      <c r="F66" s="110"/>
      <c r="G66" s="110"/>
      <c r="H66" s="110"/>
      <c r="I66" s="110"/>
      <c r="J66" s="110"/>
      <c r="K66" s="110"/>
      <c r="L66" s="11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110"/>
      <c r="C67" s="5"/>
      <c r="D67" s="110"/>
      <c r="E67" s="110"/>
      <c r="F67" s="110"/>
      <c r="G67" s="110"/>
      <c r="H67" s="110"/>
      <c r="I67" s="110"/>
      <c r="J67" s="110"/>
      <c r="K67" s="110"/>
      <c r="L67" s="11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10"/>
      <c r="C68" s="5"/>
      <c r="D68" s="110"/>
      <c r="E68" s="110"/>
      <c r="F68" s="110"/>
      <c r="G68" s="110"/>
      <c r="H68" s="110"/>
      <c r="I68" s="110"/>
      <c r="J68" s="110"/>
      <c r="K68" s="110"/>
      <c r="L68" s="11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110"/>
      <c r="J69" s="110"/>
      <c r="K69" s="110"/>
      <c r="L69" s="1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6640625" customWidth="1"/>
    <col min="2" max="2" width="22.83203125" customWidth="1"/>
    <col min="3" max="3" width="13" customWidth="1"/>
    <col min="4" max="4" width="7.5" hidden="1" customWidth="1"/>
    <col min="5" max="5" width="8.6640625" hidden="1" customWidth="1"/>
    <col min="6" max="6" width="8.6640625" customWidth="1"/>
    <col min="7" max="8" width="11.6640625" customWidth="1"/>
    <col min="9" max="9" width="12.6640625" customWidth="1"/>
    <col min="10" max="11" width="11.6640625" customWidth="1"/>
    <col min="12" max="12" width="12.6640625" customWidth="1"/>
    <col min="13" max="15" width="8.33203125" customWidth="1"/>
    <col min="16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5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222</v>
      </c>
      <c r="C3" s="19">
        <f t="shared" ref="C3:C34" si="0">SUM(D3:L3)</f>
        <v>248062.43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13659.3</v>
      </c>
      <c r="H3" s="24">
        <f t="shared" si="1"/>
        <v>13658.59</v>
      </c>
      <c r="I3" s="24">
        <f t="shared" si="1"/>
        <v>13627.32</v>
      </c>
      <c r="J3" s="24">
        <f t="shared" si="1"/>
        <v>13657.16</v>
      </c>
      <c r="K3" s="24">
        <f t="shared" si="1"/>
        <v>13628.34</v>
      </c>
      <c r="L3" s="24">
        <f t="shared" si="1"/>
        <v>179831.72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5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310394</v>
      </c>
      <c r="B4" s="33" t="s">
        <v>223</v>
      </c>
      <c r="C4" s="34">
        <f t="shared" si="0"/>
        <v>166176</v>
      </c>
      <c r="D4" s="35"/>
      <c r="E4" s="35"/>
      <c r="F4" s="35"/>
      <c r="G4" s="35"/>
      <c r="H4" s="35"/>
      <c r="I4" s="35"/>
      <c r="J4" s="35"/>
      <c r="K4" s="35"/>
      <c r="L4" s="35">
        <v>166176</v>
      </c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310392</v>
      </c>
      <c r="B5" s="42" t="s">
        <v>224</v>
      </c>
      <c r="C5" s="45">
        <f t="shared" si="0"/>
        <v>73522.909999999989</v>
      </c>
      <c r="D5" s="47"/>
      <c r="E5" s="47"/>
      <c r="F5" s="47"/>
      <c r="G5" s="47">
        <v>12265.38</v>
      </c>
      <c r="H5" s="47">
        <v>12264.67</v>
      </c>
      <c r="I5" s="47">
        <v>12233.4</v>
      </c>
      <c r="J5" s="47">
        <v>12263.24</v>
      </c>
      <c r="K5" s="47">
        <v>12234.42</v>
      </c>
      <c r="L5" s="47">
        <v>12261.8</v>
      </c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310305</v>
      </c>
      <c r="B6" s="42" t="s">
        <v>225</v>
      </c>
      <c r="C6" s="45">
        <f t="shared" si="0"/>
        <v>8363.52</v>
      </c>
      <c r="D6" s="47"/>
      <c r="E6" s="47"/>
      <c r="F6" s="47"/>
      <c r="G6" s="47">
        <v>1393.92</v>
      </c>
      <c r="H6" s="47">
        <v>1393.92</v>
      </c>
      <c r="I6" s="47">
        <v>1393.92</v>
      </c>
      <c r="J6" s="47">
        <v>1393.92</v>
      </c>
      <c r="K6" s="47">
        <v>1393.92</v>
      </c>
      <c r="L6" s="47">
        <v>1393.92</v>
      </c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/>
      <c r="B7" s="60"/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60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3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10"/>
      <c r="E220" s="110"/>
      <c r="F220" s="110"/>
      <c r="G220" s="110"/>
      <c r="H220" s="11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1.1640625" customWidth="1"/>
    <col min="3" max="3" width="11.6640625" customWidth="1"/>
    <col min="4" max="4" width="7.5" hidden="1" customWidth="1"/>
    <col min="5" max="5" width="8.6640625" hidden="1" customWidth="1"/>
    <col min="6" max="6" width="8.6640625" customWidth="1"/>
    <col min="7" max="7" width="11.6640625" customWidth="1"/>
    <col min="8" max="8" width="10.6640625" customWidth="1"/>
    <col min="9" max="9" width="12.6640625" customWidth="1"/>
    <col min="10" max="10" width="10.33203125" customWidth="1"/>
    <col min="11" max="11" width="11.6640625" customWidth="1"/>
    <col min="12" max="12" width="11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60</v>
      </c>
      <c r="C3" s="19">
        <f t="shared" ref="C3:C34" si="0">SUM(D3:L3)</f>
        <v>55786.8</v>
      </c>
      <c r="D3" s="24">
        <f t="shared" ref="D3:R3" si="1">SUM(D4:D134)</f>
        <v>0</v>
      </c>
      <c r="E3" s="24">
        <f t="shared" si="1"/>
        <v>0</v>
      </c>
      <c r="F3" s="24">
        <f t="shared" si="1"/>
        <v>0</v>
      </c>
      <c r="G3" s="24">
        <f t="shared" si="1"/>
        <v>24754.799999999999</v>
      </c>
      <c r="H3" s="24">
        <f t="shared" si="1"/>
        <v>3416</v>
      </c>
      <c r="I3" s="24">
        <f t="shared" si="1"/>
        <v>27616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6.5" customHeight="1" thickTop="1" x14ac:dyDescent="0.2">
      <c r="A4" s="32">
        <v>61010191</v>
      </c>
      <c r="B4" s="33" t="s">
        <v>226</v>
      </c>
      <c r="C4" s="34">
        <f t="shared" si="0"/>
        <v>5992.04</v>
      </c>
      <c r="D4" s="35"/>
      <c r="E4" s="35"/>
      <c r="F4" s="35"/>
      <c r="G4" s="35">
        <v>2292.04</v>
      </c>
      <c r="H4" s="35"/>
      <c r="I4" s="35">
        <v>3700</v>
      </c>
      <c r="J4" s="35"/>
      <c r="K4" s="35">
        <v>0</v>
      </c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610101</v>
      </c>
      <c r="B5" s="42" t="s">
        <v>227</v>
      </c>
      <c r="C5" s="45">
        <f t="shared" si="0"/>
        <v>10693.6</v>
      </c>
      <c r="D5" s="35"/>
      <c r="E5" s="35"/>
      <c r="F5" s="35"/>
      <c r="G5" s="35">
        <v>5193.6000000000004</v>
      </c>
      <c r="H5" s="35"/>
      <c r="I5" s="47">
        <v>5500</v>
      </c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610105</v>
      </c>
      <c r="B6" s="42" t="s">
        <v>228</v>
      </c>
      <c r="C6" s="45">
        <f t="shared" si="0"/>
        <v>15000</v>
      </c>
      <c r="D6" s="35"/>
      <c r="E6" s="35"/>
      <c r="F6" s="35"/>
      <c r="G6" s="35">
        <v>0</v>
      </c>
      <c r="H6" s="35">
        <v>0</v>
      </c>
      <c r="I6" s="47">
        <v>15000</v>
      </c>
      <c r="J6" s="59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610107</v>
      </c>
      <c r="B7" s="42" t="s">
        <v>229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1549</v>
      </c>
      <c r="B8" s="42" t="s">
        <v>230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630515</v>
      </c>
      <c r="B9" s="42" t="s">
        <v>231</v>
      </c>
      <c r="C9" s="45">
        <f t="shared" si="0"/>
        <v>9000</v>
      </c>
      <c r="D9" s="47"/>
      <c r="E9" s="47"/>
      <c r="F9" s="47"/>
      <c r="G9" s="47">
        <v>9000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42" t="s">
        <v>128</v>
      </c>
      <c r="C10" s="45">
        <f t="shared" si="0"/>
        <v>10248</v>
      </c>
      <c r="D10" s="47"/>
      <c r="E10" s="47"/>
      <c r="F10" s="47"/>
      <c r="G10" s="47">
        <v>3416</v>
      </c>
      <c r="H10" s="47">
        <v>3416</v>
      </c>
      <c r="I10" s="47">
        <v>3416</v>
      </c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1693</v>
      </c>
      <c r="B11" s="42" t="s">
        <v>232</v>
      </c>
      <c r="C11" s="45">
        <f t="shared" si="0"/>
        <v>0</v>
      </c>
      <c r="D11" s="59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369</v>
      </c>
      <c r="B12" s="60" t="s">
        <v>233</v>
      </c>
      <c r="C12" s="45">
        <f t="shared" si="0"/>
        <v>3111</v>
      </c>
      <c r="D12" s="47"/>
      <c r="E12" s="47"/>
      <c r="F12" s="47"/>
      <c r="G12" s="47">
        <v>3111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132</v>
      </c>
      <c r="B13" s="60" t="s">
        <v>234</v>
      </c>
      <c r="C13" s="45">
        <f t="shared" si="0"/>
        <v>1742.16</v>
      </c>
      <c r="D13" s="47"/>
      <c r="E13" s="47"/>
      <c r="F13" s="47"/>
      <c r="G13" s="47">
        <v>1742.16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ref="C35:C66" si="2">SUM(D35:L35)</f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ref="C67:C68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113"/>
      <c r="C68" s="45">
        <f t="shared" si="3"/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110"/>
      <c r="J69" s="110"/>
      <c r="K69" s="110"/>
      <c r="L69" s="1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8.6640625" customWidth="1"/>
    <col min="2" max="2" width="23" customWidth="1"/>
    <col min="3" max="3" width="14.6640625" bestFit="1" customWidth="1"/>
    <col min="4" max="4" width="7.5" customWidth="1"/>
    <col min="5" max="5" width="8.6640625" customWidth="1"/>
    <col min="6" max="11" width="12.6640625" customWidth="1"/>
    <col min="12" max="12" width="13.1640625" bestFit="1" customWidth="1"/>
    <col min="13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14" t="s">
        <v>33</v>
      </c>
      <c r="E2" s="114" t="s">
        <v>34</v>
      </c>
      <c r="F2" s="114" t="s">
        <v>35</v>
      </c>
      <c r="G2" s="114" t="s">
        <v>36</v>
      </c>
      <c r="H2" s="114" t="s">
        <v>37</v>
      </c>
      <c r="I2" s="114" t="s">
        <v>38</v>
      </c>
      <c r="J2" s="114" t="s">
        <v>39</v>
      </c>
      <c r="K2" s="114" t="s">
        <v>40</v>
      </c>
      <c r="L2" s="114" t="s">
        <v>41</v>
      </c>
      <c r="M2" s="114" t="s">
        <v>42</v>
      </c>
      <c r="N2" s="114" t="s">
        <v>43</v>
      </c>
      <c r="O2" s="114" t="s">
        <v>44</v>
      </c>
      <c r="P2" s="114" t="s">
        <v>33</v>
      </c>
      <c r="Q2" s="114" t="s">
        <v>34</v>
      </c>
      <c r="R2" s="114" t="s">
        <v>35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235</v>
      </c>
      <c r="C4" s="19">
        <f t="shared" ref="C4:C35" si="0">SUM(D4:L4)</f>
        <v>1488918</v>
      </c>
      <c r="D4" s="29">
        <f t="shared" ref="D4:R4" si="1">SUM(D5:D135)</f>
        <v>0</v>
      </c>
      <c r="E4" s="29">
        <f t="shared" si="1"/>
        <v>0</v>
      </c>
      <c r="F4" s="29">
        <f t="shared" si="1"/>
        <v>0</v>
      </c>
      <c r="G4" s="29">
        <f t="shared" si="1"/>
        <v>404000</v>
      </c>
      <c r="H4" s="29">
        <f t="shared" si="1"/>
        <v>60000</v>
      </c>
      <c r="I4" s="29">
        <f t="shared" si="1"/>
        <v>0</v>
      </c>
      <c r="J4" s="29">
        <f t="shared" si="1"/>
        <v>244000</v>
      </c>
      <c r="K4" s="29">
        <f t="shared" si="1"/>
        <v>50000</v>
      </c>
      <c r="L4" s="29">
        <f t="shared" si="1"/>
        <v>730918</v>
      </c>
      <c r="M4" s="29">
        <f t="shared" si="1"/>
        <v>0</v>
      </c>
      <c r="N4" s="29">
        <f t="shared" si="1"/>
        <v>0</v>
      </c>
      <c r="O4" s="29">
        <f t="shared" si="1"/>
        <v>0</v>
      </c>
      <c r="P4" s="29">
        <f t="shared" si="1"/>
        <v>0</v>
      </c>
      <c r="Q4" s="29">
        <f t="shared" si="1"/>
        <v>0</v>
      </c>
      <c r="R4" s="29">
        <f t="shared" si="1"/>
        <v>0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651101</v>
      </c>
      <c r="B5" s="33" t="s">
        <v>236</v>
      </c>
      <c r="C5" s="34">
        <f t="shared" si="0"/>
        <v>1218918</v>
      </c>
      <c r="D5" s="35"/>
      <c r="E5" s="35"/>
      <c r="F5" s="35"/>
      <c r="G5" s="35">
        <v>244000</v>
      </c>
      <c r="H5" s="35">
        <v>0</v>
      </c>
      <c r="I5" s="35"/>
      <c r="J5" s="35">
        <v>244000</v>
      </c>
      <c r="K5" s="35"/>
      <c r="L5" s="35">
        <v>730918</v>
      </c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651101</v>
      </c>
      <c r="B6" s="42" t="s">
        <v>237</v>
      </c>
      <c r="C6" s="45">
        <f t="shared" si="0"/>
        <v>120000</v>
      </c>
      <c r="D6" s="47"/>
      <c r="E6" s="47"/>
      <c r="F6" s="47"/>
      <c r="G6" s="47">
        <v>60000</v>
      </c>
      <c r="H6" s="47">
        <v>60000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651101</v>
      </c>
      <c r="B7" s="42" t="s">
        <v>238</v>
      </c>
      <c r="C7" s="45">
        <f t="shared" si="0"/>
        <v>150000</v>
      </c>
      <c r="D7" s="47"/>
      <c r="E7" s="47"/>
      <c r="F7" s="47"/>
      <c r="G7" s="47">
        <v>100000</v>
      </c>
      <c r="H7" s="47"/>
      <c r="I7" s="47"/>
      <c r="J7" s="47"/>
      <c r="K7" s="47">
        <v>50000</v>
      </c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/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/>
      <c r="B9" s="60"/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/>
      <c r="B10" s="60"/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60"/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/>
      <c r="B12" s="60"/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/>
      <c r="B13" s="60"/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/>
      <c r="B14" s="60"/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/>
      <c r="B15" s="60"/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/>
      <c r="B16" s="60"/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/>
      <c r="B17" s="60"/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/>
      <c r="B18" s="60"/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/>
      <c r="B19" s="60"/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/>
      <c r="B20" s="60"/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/>
      <c r="B21" s="60"/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/>
      <c r="B22" s="60"/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ref="C36:C67" si="2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60"/>
      <c r="C67" s="45">
        <f t="shared" si="2"/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32"/>
      <c r="B68" s="60"/>
      <c r="C68" s="45">
        <f t="shared" ref="C68:C69" si="3">SUM(D68:L68)</f>
        <v>0</v>
      </c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32"/>
      <c r="B69" s="113"/>
      <c r="C69" s="45">
        <f t="shared" si="3"/>
        <v>0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110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110"/>
      <c r="C220" s="5"/>
      <c r="D220" s="110"/>
      <c r="E220" s="110"/>
      <c r="F220" s="110"/>
      <c r="G220" s="110"/>
      <c r="H220" s="110"/>
      <c r="I220" s="110"/>
      <c r="J220" s="110"/>
      <c r="K220" s="110"/>
      <c r="L220" s="1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110"/>
      <c r="E221" s="110"/>
      <c r="F221" s="110"/>
      <c r="G221" s="110"/>
      <c r="H221" s="110"/>
      <c r="I221" s="110"/>
      <c r="J221" s="110"/>
      <c r="K221" s="110"/>
      <c r="L221" s="11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Z1000"/>
  <sheetViews>
    <sheetView workbookViewId="0">
      <selection activeCell="M1" sqref="M1"/>
    </sheetView>
  </sheetViews>
  <sheetFormatPr baseColWidth="10" defaultColWidth="11.1640625" defaultRowHeight="15" customHeight="1" x14ac:dyDescent="0.2"/>
  <cols>
    <col min="1" max="1" width="8.6640625" customWidth="1"/>
    <col min="2" max="2" width="73" customWidth="1"/>
    <col min="3" max="3" width="11.6640625" customWidth="1"/>
    <col min="4" max="4" width="7.5" hidden="1" customWidth="1"/>
    <col min="5" max="6" width="8.6640625" customWidth="1"/>
    <col min="7" max="7" width="11.6640625" customWidth="1"/>
    <col min="8" max="8" width="10.6640625" customWidth="1"/>
    <col min="9" max="9" width="12.6640625" customWidth="1"/>
    <col min="10" max="10" width="11" bestFit="1" customWidth="1"/>
    <col min="11" max="12" width="11.6640625" customWidth="1"/>
    <col min="13" max="13" width="9.83203125" bestFit="1" customWidth="1"/>
    <col min="14" max="14" width="10.83203125" bestFit="1" customWidth="1"/>
    <col min="15" max="18" width="9.5" bestFit="1" customWidth="1"/>
    <col min="19" max="19" width="8.33203125" customWidth="1"/>
    <col min="20" max="26" width="11.1640625" customWidth="1"/>
  </cols>
  <sheetData>
    <row r="1" spans="1:26" ht="18" customHeight="1" x14ac:dyDescent="0.2">
      <c r="A1" s="1"/>
      <c r="B1" s="3"/>
      <c r="C1" s="1"/>
      <c r="D1" s="135">
        <v>2026</v>
      </c>
      <c r="E1" s="134"/>
      <c r="F1" s="134"/>
      <c r="G1" s="134"/>
      <c r="H1" s="134"/>
      <c r="I1" s="134"/>
      <c r="J1" s="134"/>
      <c r="K1" s="134"/>
      <c r="L1" s="134"/>
      <c r="M1" s="164">
        <v>2027</v>
      </c>
      <c r="N1" s="8"/>
      <c r="O1" s="8"/>
      <c r="P1" s="8"/>
      <c r="Q1" s="8"/>
      <c r="R1" s="8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14" t="s">
        <v>33</v>
      </c>
      <c r="E2" s="114" t="s">
        <v>34</v>
      </c>
      <c r="F2" s="114" t="s">
        <v>35</v>
      </c>
      <c r="G2" s="114" t="s">
        <v>36</v>
      </c>
      <c r="H2" s="114" t="s">
        <v>37</v>
      </c>
      <c r="I2" s="114" t="s">
        <v>38</v>
      </c>
      <c r="J2" s="114" t="s">
        <v>39</v>
      </c>
      <c r="K2" s="114" t="s">
        <v>40</v>
      </c>
      <c r="L2" s="114" t="s">
        <v>41</v>
      </c>
      <c r="M2" s="114" t="s">
        <v>42</v>
      </c>
      <c r="N2" s="114" t="s">
        <v>43</v>
      </c>
      <c r="O2" s="114" t="s">
        <v>44</v>
      </c>
      <c r="P2" s="114" t="s">
        <v>33</v>
      </c>
      <c r="Q2" s="114" t="s">
        <v>34</v>
      </c>
      <c r="R2" s="114" t="s">
        <v>35</v>
      </c>
      <c r="S2" s="8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1"/>
      <c r="B3" s="3"/>
      <c r="C3" s="1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8"/>
      <c r="T3" s="5"/>
      <c r="U3" s="5"/>
      <c r="V3" s="5"/>
      <c r="W3" s="5"/>
      <c r="X3" s="5"/>
      <c r="Y3" s="5"/>
      <c r="Z3" s="5"/>
    </row>
    <row r="4" spans="1:26" ht="16.5" customHeight="1" thickBot="1" x14ac:dyDescent="0.25">
      <c r="A4" s="17"/>
      <c r="B4" s="19" t="s">
        <v>63</v>
      </c>
      <c r="C4" s="19">
        <f t="shared" ref="C4:C35" si="0">SUM(D4:L4)</f>
        <v>45763.679999999993</v>
      </c>
      <c r="D4" s="29">
        <f t="shared" ref="D4:R4" si="1">SUM(D5:D131)</f>
        <v>0</v>
      </c>
      <c r="E4" s="29">
        <f t="shared" si="1"/>
        <v>0</v>
      </c>
      <c r="F4" s="29">
        <f t="shared" si="1"/>
        <v>0</v>
      </c>
      <c r="G4" s="29">
        <f t="shared" si="1"/>
        <v>19210.479999999996</v>
      </c>
      <c r="H4" s="29">
        <f t="shared" si="1"/>
        <v>4317.84</v>
      </c>
      <c r="I4" s="29">
        <f t="shared" si="1"/>
        <v>1408.8400000000001</v>
      </c>
      <c r="J4" s="29">
        <f t="shared" si="1"/>
        <v>1408.8400000000001</v>
      </c>
      <c r="K4" s="29">
        <f t="shared" si="1"/>
        <v>1408.8400000000001</v>
      </c>
      <c r="L4" s="29">
        <f t="shared" si="1"/>
        <v>18008.84</v>
      </c>
      <c r="M4" s="29">
        <f t="shared" si="1"/>
        <v>378.2</v>
      </c>
      <c r="N4" s="29">
        <f t="shared" si="1"/>
        <v>378.2</v>
      </c>
      <c r="O4" s="29">
        <f t="shared" si="1"/>
        <v>378.2</v>
      </c>
      <c r="P4" s="29">
        <f t="shared" si="1"/>
        <v>378.2</v>
      </c>
      <c r="Q4" s="29">
        <f t="shared" si="1"/>
        <v>378.2</v>
      </c>
      <c r="R4" s="29">
        <f t="shared" si="1"/>
        <v>378.2</v>
      </c>
      <c r="S4" s="27"/>
      <c r="T4" s="5"/>
      <c r="U4" s="5"/>
      <c r="V4" s="5"/>
      <c r="W4" s="5"/>
      <c r="X4" s="5"/>
      <c r="Y4" s="5"/>
      <c r="Z4" s="5"/>
    </row>
    <row r="5" spans="1:26" ht="16.5" customHeight="1" thickTop="1" x14ac:dyDescent="0.2">
      <c r="A5" s="32">
        <v>12</v>
      </c>
      <c r="B5" s="33" t="s">
        <v>239</v>
      </c>
      <c r="C5" s="34">
        <f t="shared" si="0"/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948</v>
      </c>
      <c r="B6" s="42" t="s">
        <v>240</v>
      </c>
      <c r="C6" s="45">
        <f t="shared" si="0"/>
        <v>0</v>
      </c>
      <c r="D6" s="59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10</v>
      </c>
      <c r="B7" s="42" t="s">
        <v>241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/>
      <c r="B8" s="42" t="s">
        <v>242</v>
      </c>
      <c r="C8" s="45">
        <f t="shared" si="0"/>
        <v>16752.5</v>
      </c>
      <c r="D8" s="47"/>
      <c r="E8" s="47"/>
      <c r="F8" s="47"/>
      <c r="G8" s="47">
        <v>152.5</v>
      </c>
      <c r="H8" s="47"/>
      <c r="I8" s="47"/>
      <c r="J8" s="47"/>
      <c r="K8" s="47"/>
      <c r="L8" s="47">
        <v>16600</v>
      </c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1270</v>
      </c>
      <c r="B9" s="42" t="s">
        <v>243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81</v>
      </c>
      <c r="B10" s="42" t="s">
        <v>244</v>
      </c>
      <c r="C10" s="45">
        <f t="shared" si="0"/>
        <v>0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/>
      <c r="B11" s="42" t="s">
        <v>245</v>
      </c>
      <c r="C11" s="45">
        <f t="shared" si="0"/>
        <v>2269.1999999999998</v>
      </c>
      <c r="D11" s="47"/>
      <c r="E11" s="47"/>
      <c r="F11" s="47"/>
      <c r="G11" s="47">
        <f t="shared" ref="G11:R11" si="2">310*1.22</f>
        <v>378.2</v>
      </c>
      <c r="H11" s="47">
        <f t="shared" si="2"/>
        <v>378.2</v>
      </c>
      <c r="I11" s="47">
        <f t="shared" si="2"/>
        <v>378.2</v>
      </c>
      <c r="J11" s="47">
        <f t="shared" si="2"/>
        <v>378.2</v>
      </c>
      <c r="K11" s="47">
        <f t="shared" si="2"/>
        <v>378.2</v>
      </c>
      <c r="L11" s="47">
        <f t="shared" si="2"/>
        <v>378.2</v>
      </c>
      <c r="M11" s="47">
        <f t="shared" si="2"/>
        <v>378.2</v>
      </c>
      <c r="N11" s="47">
        <f t="shared" si="2"/>
        <v>378.2</v>
      </c>
      <c r="O11" s="47">
        <f t="shared" si="2"/>
        <v>378.2</v>
      </c>
      <c r="P11" s="47">
        <f t="shared" si="2"/>
        <v>378.2</v>
      </c>
      <c r="Q11" s="47">
        <f t="shared" si="2"/>
        <v>378.2</v>
      </c>
      <c r="R11" s="47">
        <f t="shared" si="2"/>
        <v>378.2</v>
      </c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750195</v>
      </c>
      <c r="B12" s="42" t="s">
        <v>246</v>
      </c>
      <c r="C12" s="45">
        <f t="shared" si="0"/>
        <v>8175.92</v>
      </c>
      <c r="D12" s="47"/>
      <c r="E12" s="47"/>
      <c r="F12" s="47"/>
      <c r="G12" s="47">
        <v>7362.04</v>
      </c>
      <c r="H12" s="47">
        <v>813.88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76</v>
      </c>
      <c r="B13" s="42" t="s">
        <v>247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750107</v>
      </c>
      <c r="B14" s="42" t="s">
        <v>248</v>
      </c>
      <c r="C14" s="45">
        <f t="shared" si="0"/>
        <v>2000</v>
      </c>
      <c r="D14" s="47"/>
      <c r="E14" s="47"/>
      <c r="F14" s="47"/>
      <c r="G14" s="47"/>
      <c r="H14" s="47">
        <v>2000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1076</v>
      </c>
      <c r="B15" s="125" t="s">
        <v>249</v>
      </c>
      <c r="C15" s="45">
        <f t="shared" si="0"/>
        <v>6183.8400000000011</v>
      </c>
      <c r="D15" s="47"/>
      <c r="E15" s="47"/>
      <c r="F15" s="47"/>
      <c r="G15" s="47">
        <v>1030.6400000000001</v>
      </c>
      <c r="H15" s="47">
        <v>1030.6400000000001</v>
      </c>
      <c r="I15" s="47">
        <v>1030.6400000000001</v>
      </c>
      <c r="J15" s="47">
        <v>1030.6400000000001</v>
      </c>
      <c r="K15" s="47">
        <v>1030.6400000000001</v>
      </c>
      <c r="L15" s="47">
        <v>1030.6400000000001</v>
      </c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1276</v>
      </c>
      <c r="B16" s="125" t="s">
        <v>250</v>
      </c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137</v>
      </c>
      <c r="B17" s="60" t="s">
        <v>251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630515</v>
      </c>
      <c r="B18" s="125" t="s">
        <v>231</v>
      </c>
      <c r="C18" s="45">
        <f t="shared" si="0"/>
        <v>9000</v>
      </c>
      <c r="D18" s="47"/>
      <c r="E18" s="47"/>
      <c r="F18" s="47"/>
      <c r="G18" s="47">
        <v>9000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52</v>
      </c>
      <c r="B19" s="60" t="s">
        <v>252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654</v>
      </c>
      <c r="B20" s="60" t="s">
        <v>253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1222</v>
      </c>
      <c r="B21" s="60" t="s">
        <v>254</v>
      </c>
      <c r="C21" s="45">
        <f t="shared" si="0"/>
        <v>921.1</v>
      </c>
      <c r="D21" s="47"/>
      <c r="E21" s="47"/>
      <c r="F21" s="47"/>
      <c r="G21" s="47">
        <v>921.1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1010</v>
      </c>
      <c r="B22" s="60" t="s">
        <v>255</v>
      </c>
      <c r="C22" s="45">
        <f t="shared" si="0"/>
        <v>461.12</v>
      </c>
      <c r="D22" s="47"/>
      <c r="E22" s="47"/>
      <c r="F22" s="47"/>
      <c r="G22" s="47">
        <v>366</v>
      </c>
      <c r="H22" s="47">
        <v>95.12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/>
      <c r="B23" s="60"/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/>
      <c r="B24" s="60"/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/>
      <c r="B25" s="60"/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/>
      <c r="B26" s="60"/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/>
      <c r="B27" s="60"/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/>
      <c r="B28" s="60"/>
      <c r="C28" s="45">
        <f t="shared" si="0"/>
        <v>0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/>
      <c r="B29" s="60"/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/>
      <c r="B30" s="60"/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/>
      <c r="B31" s="60"/>
      <c r="C31" s="45">
        <f t="shared" si="0"/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/>
      <c r="B32" s="60"/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/>
      <c r="B33" s="60"/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/>
      <c r="B34" s="60"/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/>
      <c r="B35" s="60"/>
      <c r="C35" s="45">
        <f t="shared" si="0"/>
        <v>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ref="C36:C66" si="3">SUM(D36:L36)</f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3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3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3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3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3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3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3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3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3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3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3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3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3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3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3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3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3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3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3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3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3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3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3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3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3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3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3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3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3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113"/>
      <c r="C66" s="45">
        <f t="shared" si="3"/>
        <v>0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110"/>
      <c r="C67" s="5"/>
      <c r="D67" s="110"/>
      <c r="E67" s="110"/>
      <c r="F67" s="110"/>
      <c r="G67" s="110"/>
      <c r="H67" s="110"/>
      <c r="I67" s="110"/>
      <c r="J67" s="110"/>
      <c r="K67" s="110"/>
      <c r="L67" s="11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10"/>
      <c r="C68" s="5"/>
      <c r="D68" s="110"/>
      <c r="E68" s="110"/>
      <c r="F68" s="110"/>
      <c r="G68" s="110"/>
      <c r="H68" s="110"/>
      <c r="I68" s="110"/>
      <c r="J68" s="110"/>
      <c r="K68" s="110"/>
      <c r="L68" s="11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110"/>
      <c r="J69" s="110"/>
      <c r="K69" s="110"/>
      <c r="L69" s="1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D1:L1"/>
  </mergeCells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</sheetPr>
  <dimension ref="A1:Z999"/>
  <sheetViews>
    <sheetView tabSelected="1" workbookViewId="0">
      <selection activeCell="K16" sqref="K16"/>
    </sheetView>
  </sheetViews>
  <sheetFormatPr baseColWidth="10" defaultColWidth="11.1640625" defaultRowHeight="15" customHeight="1" x14ac:dyDescent="0.2"/>
  <cols>
    <col min="1" max="1" width="8.6640625" customWidth="1"/>
    <col min="2" max="2" width="53" customWidth="1"/>
    <col min="3" max="3" width="11.6640625" customWidth="1"/>
    <col min="4" max="4" width="7.5" customWidth="1"/>
    <col min="5" max="5" width="8.6640625" customWidth="1"/>
    <col min="6" max="7" width="11.6640625" customWidth="1"/>
    <col min="8" max="8" width="12" bestFit="1" customWidth="1"/>
    <col min="9" max="9" width="12.6640625" customWidth="1"/>
    <col min="10" max="10" width="11" bestFit="1" customWidth="1"/>
    <col min="11" max="11" width="11.6640625" customWidth="1"/>
    <col min="12" max="12" width="11" customWidth="1"/>
    <col min="13" max="19" width="8.33203125" customWidth="1"/>
    <col min="20" max="26" width="11.1640625" customWidth="1"/>
  </cols>
  <sheetData>
    <row r="1" spans="1:26" ht="18" x14ac:dyDescent="0.2">
      <c r="A1" s="1"/>
      <c r="B1" s="3"/>
      <c r="C1" s="1"/>
      <c r="D1" s="135">
        <v>2026</v>
      </c>
      <c r="E1" s="135"/>
      <c r="F1" s="135"/>
      <c r="G1" s="135"/>
      <c r="H1" s="135"/>
      <c r="I1" s="135"/>
      <c r="J1" s="135"/>
      <c r="K1" s="135"/>
      <c r="L1" s="135"/>
      <c r="M1" s="165">
        <v>2027</v>
      </c>
      <c r="N1" s="165"/>
      <c r="O1" s="165"/>
      <c r="P1" s="165"/>
      <c r="Q1" s="165"/>
      <c r="R1" s="165"/>
      <c r="S1" s="8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10" t="s">
        <v>79</v>
      </c>
      <c r="B2" s="3"/>
      <c r="C2" s="1"/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42</v>
      </c>
      <c r="N2" s="12" t="s">
        <v>43</v>
      </c>
      <c r="O2" s="12" t="s">
        <v>44</v>
      </c>
      <c r="P2" s="12" t="s">
        <v>33</v>
      </c>
      <c r="Q2" s="12" t="s">
        <v>34</v>
      </c>
      <c r="R2" s="12" t="s">
        <v>35</v>
      </c>
      <c r="S2" s="8"/>
      <c r="T2" s="5"/>
      <c r="U2" s="5"/>
      <c r="V2" s="5"/>
      <c r="W2" s="5"/>
      <c r="X2" s="5"/>
      <c r="Y2" s="5"/>
      <c r="Z2" s="5"/>
    </row>
    <row r="3" spans="1:26" ht="16.5" customHeight="1" thickBot="1" x14ac:dyDescent="0.25">
      <c r="A3" s="17"/>
      <c r="B3" s="19" t="s">
        <v>256</v>
      </c>
      <c r="C3" s="19">
        <f t="shared" ref="C3:C34" si="0">SUM(D3:L3)</f>
        <v>44336.34</v>
      </c>
      <c r="D3" s="24">
        <f t="shared" ref="D3:R3" si="1">SUM(D4:D133)</f>
        <v>0</v>
      </c>
      <c r="E3" s="24">
        <f t="shared" si="1"/>
        <v>0</v>
      </c>
      <c r="F3" s="24">
        <f t="shared" si="1"/>
        <v>0</v>
      </c>
      <c r="G3" s="24">
        <f t="shared" si="1"/>
        <v>3731.7</v>
      </c>
      <c r="H3" s="24">
        <f t="shared" si="1"/>
        <v>13534.88</v>
      </c>
      <c r="I3" s="24">
        <f t="shared" si="1"/>
        <v>6767.44</v>
      </c>
      <c r="J3" s="24">
        <f t="shared" si="1"/>
        <v>6767.44</v>
      </c>
      <c r="K3" s="24">
        <f t="shared" si="1"/>
        <v>6767.44</v>
      </c>
      <c r="L3" s="24">
        <f t="shared" si="1"/>
        <v>6767.44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7"/>
      <c r="T3" s="5"/>
      <c r="U3" s="5"/>
      <c r="V3" s="5"/>
      <c r="W3" s="5"/>
      <c r="X3" s="5"/>
      <c r="Y3" s="5"/>
      <c r="Z3" s="5"/>
    </row>
    <row r="4" spans="1:26" ht="15.75" customHeight="1" thickTop="1" x14ac:dyDescent="0.2">
      <c r="A4" s="32">
        <v>650107</v>
      </c>
      <c r="B4" s="126" t="s">
        <v>257</v>
      </c>
      <c r="C4" s="45">
        <f t="shared" si="0"/>
        <v>40604.639999999999</v>
      </c>
      <c r="D4" s="47"/>
      <c r="E4" s="47"/>
      <c r="F4" s="47"/>
      <c r="G4" s="47"/>
      <c r="H4" s="47">
        <v>13534.88</v>
      </c>
      <c r="I4" s="47">
        <v>6767.44</v>
      </c>
      <c r="J4" s="47">
        <v>6767.44</v>
      </c>
      <c r="K4" s="47">
        <v>6767.44</v>
      </c>
      <c r="L4" s="47">
        <v>6767.44</v>
      </c>
      <c r="M4" s="47"/>
      <c r="N4" s="47"/>
      <c r="O4" s="47"/>
      <c r="P4" s="47"/>
      <c r="Q4" s="47"/>
      <c r="R4" s="47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32">
        <v>1080</v>
      </c>
      <c r="B5" s="60" t="s">
        <v>258</v>
      </c>
      <c r="C5" s="45">
        <f t="shared" si="0"/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32">
        <v>795</v>
      </c>
      <c r="B6" s="60" t="s">
        <v>259</v>
      </c>
      <c r="C6" s="45">
        <f t="shared" si="0"/>
        <v>0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32">
        <v>1625</v>
      </c>
      <c r="B7" s="60" t="s">
        <v>260</v>
      </c>
      <c r="C7" s="45">
        <f t="shared" si="0"/>
        <v>0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32">
        <v>127</v>
      </c>
      <c r="B8" s="60" t="s">
        <v>261</v>
      </c>
      <c r="C8" s="45">
        <f t="shared" si="0"/>
        <v>0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32">
        <v>647</v>
      </c>
      <c r="B9" s="60" t="s">
        <v>262</v>
      </c>
      <c r="C9" s="45">
        <f t="shared" si="0"/>
        <v>0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32">
        <v>1629</v>
      </c>
      <c r="B10" s="60" t="s">
        <v>263</v>
      </c>
      <c r="C10" s="45">
        <f t="shared" si="0"/>
        <v>1650</v>
      </c>
      <c r="D10" s="47"/>
      <c r="E10" s="47"/>
      <c r="F10" s="47"/>
      <c r="G10" s="47">
        <v>1650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32">
        <v>1626</v>
      </c>
      <c r="B11" s="60" t="s">
        <v>264</v>
      </c>
      <c r="C11" s="45">
        <f t="shared" si="0"/>
        <v>0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32">
        <v>1638</v>
      </c>
      <c r="B12" s="60" t="s">
        <v>265</v>
      </c>
      <c r="C12" s="45">
        <f t="shared" si="0"/>
        <v>0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32">
        <v>1646</v>
      </c>
      <c r="B13" s="60" t="s">
        <v>266</v>
      </c>
      <c r="C13" s="45">
        <f t="shared" si="0"/>
        <v>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32">
        <v>1647</v>
      </c>
      <c r="B14" s="60" t="s">
        <v>267</v>
      </c>
      <c r="C14" s="45">
        <f t="shared" si="0"/>
        <v>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32">
        <v>179</v>
      </c>
      <c r="B15" s="60" t="s">
        <v>268</v>
      </c>
      <c r="C15" s="45">
        <f t="shared" si="0"/>
        <v>0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32">
        <v>744</v>
      </c>
      <c r="B16" s="60" t="s">
        <v>269</v>
      </c>
      <c r="C16" s="45">
        <f t="shared" si="0"/>
        <v>0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32">
        <v>1036</v>
      </c>
      <c r="B17" s="60" t="s">
        <v>270</v>
      </c>
      <c r="C17" s="45">
        <f t="shared" si="0"/>
        <v>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32">
        <v>70</v>
      </c>
      <c r="B18" s="60" t="s">
        <v>271</v>
      </c>
      <c r="C18" s="45">
        <f t="shared" si="0"/>
        <v>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32">
        <v>1696</v>
      </c>
      <c r="B19" s="60" t="s">
        <v>272</v>
      </c>
      <c r="C19" s="45">
        <f t="shared" si="0"/>
        <v>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32">
        <v>170</v>
      </c>
      <c r="B20" s="60" t="s">
        <v>273</v>
      </c>
      <c r="C20" s="45">
        <f t="shared" si="0"/>
        <v>0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32">
        <v>109</v>
      </c>
      <c r="B21" s="60" t="s">
        <v>274</v>
      </c>
      <c r="C21" s="45">
        <f t="shared" si="0"/>
        <v>0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32">
        <v>123</v>
      </c>
      <c r="B22" s="60" t="s">
        <v>275</v>
      </c>
      <c r="C22" s="45">
        <f t="shared" si="0"/>
        <v>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32">
        <v>1183</v>
      </c>
      <c r="B23" s="60" t="s">
        <v>276</v>
      </c>
      <c r="C23" s="45">
        <f t="shared" si="0"/>
        <v>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32">
        <v>618</v>
      </c>
      <c r="B24" s="60" t="s">
        <v>277</v>
      </c>
      <c r="C24" s="45">
        <f t="shared" si="0"/>
        <v>0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32">
        <v>1724</v>
      </c>
      <c r="B25" s="60" t="s">
        <v>278</v>
      </c>
      <c r="C25" s="45">
        <f t="shared" si="0"/>
        <v>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32">
        <v>1748</v>
      </c>
      <c r="B26" s="60" t="s">
        <v>279</v>
      </c>
      <c r="C26" s="45">
        <f t="shared" si="0"/>
        <v>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32">
        <v>1773</v>
      </c>
      <c r="B27" s="60" t="s">
        <v>280</v>
      </c>
      <c r="C27" s="45">
        <f t="shared" si="0"/>
        <v>0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32">
        <v>1768</v>
      </c>
      <c r="B28" s="60" t="s">
        <v>281</v>
      </c>
      <c r="C28" s="45">
        <f t="shared" si="0"/>
        <v>599.5</v>
      </c>
      <c r="D28" s="47"/>
      <c r="E28" s="47"/>
      <c r="F28" s="47"/>
      <c r="G28" s="47">
        <v>599.5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32">
        <v>231</v>
      </c>
      <c r="B29" s="60" t="s">
        <v>282</v>
      </c>
      <c r="C29" s="45">
        <f t="shared" si="0"/>
        <v>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32">
        <v>1752</v>
      </c>
      <c r="B30" s="60" t="s">
        <v>283</v>
      </c>
      <c r="C30" s="45">
        <f t="shared" si="0"/>
        <v>0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32">
        <v>1202</v>
      </c>
      <c r="B31" s="60" t="s">
        <v>284</v>
      </c>
      <c r="C31" s="45">
        <f t="shared" si="0"/>
        <v>782.2</v>
      </c>
      <c r="D31" s="47"/>
      <c r="E31" s="47"/>
      <c r="F31" s="47"/>
      <c r="G31" s="47">
        <v>782.2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32">
        <v>1772</v>
      </c>
      <c r="B32" s="60" t="s">
        <v>285</v>
      </c>
      <c r="C32" s="45">
        <f t="shared" si="0"/>
        <v>0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32">
        <v>797</v>
      </c>
      <c r="B33" s="60" t="s">
        <v>286</v>
      </c>
      <c r="C33" s="45">
        <f t="shared" si="0"/>
        <v>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32">
        <v>980</v>
      </c>
      <c r="B34" s="60" t="s">
        <v>287</v>
      </c>
      <c r="C34" s="45">
        <f t="shared" si="0"/>
        <v>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32">
        <v>1298</v>
      </c>
      <c r="B35" s="60" t="s">
        <v>103</v>
      </c>
      <c r="C35" s="45">
        <f t="shared" ref="C35:C66" si="2">SUM(D35:L35)</f>
        <v>700</v>
      </c>
      <c r="D35" s="47"/>
      <c r="E35" s="47"/>
      <c r="F35" s="47"/>
      <c r="G35" s="47">
        <v>700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32"/>
      <c r="B36" s="60"/>
      <c r="C36" s="45">
        <f t="shared" si="2"/>
        <v>0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32"/>
      <c r="B37" s="60"/>
      <c r="C37" s="45">
        <f t="shared" si="2"/>
        <v>0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32"/>
      <c r="B38" s="60"/>
      <c r="C38" s="45">
        <f t="shared" si="2"/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32"/>
      <c r="B39" s="60"/>
      <c r="C39" s="45">
        <f t="shared" si="2"/>
        <v>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32"/>
      <c r="B40" s="60"/>
      <c r="C40" s="45">
        <f t="shared" si="2"/>
        <v>0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32"/>
      <c r="B41" s="60"/>
      <c r="C41" s="45">
        <f t="shared" si="2"/>
        <v>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32"/>
      <c r="B42" s="60"/>
      <c r="C42" s="45">
        <f t="shared" si="2"/>
        <v>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32"/>
      <c r="B43" s="60"/>
      <c r="C43" s="45">
        <f t="shared" si="2"/>
        <v>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32"/>
      <c r="B44" s="60"/>
      <c r="C44" s="45">
        <f t="shared" si="2"/>
        <v>0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32"/>
      <c r="B45" s="60"/>
      <c r="C45" s="45">
        <f t="shared" si="2"/>
        <v>0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32"/>
      <c r="B46" s="60"/>
      <c r="C46" s="45">
        <f t="shared" si="2"/>
        <v>0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32"/>
      <c r="B47" s="60"/>
      <c r="C47" s="45">
        <f t="shared" si="2"/>
        <v>0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32"/>
      <c r="B48" s="60"/>
      <c r="C48" s="45">
        <f t="shared" si="2"/>
        <v>0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32"/>
      <c r="B49" s="60"/>
      <c r="C49" s="45">
        <f t="shared" si="2"/>
        <v>0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32"/>
      <c r="B50" s="60"/>
      <c r="C50" s="45">
        <f t="shared" si="2"/>
        <v>0</v>
      </c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32"/>
      <c r="B51" s="60"/>
      <c r="C51" s="45">
        <f t="shared" si="2"/>
        <v>0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32"/>
      <c r="B52" s="60"/>
      <c r="C52" s="45">
        <f t="shared" si="2"/>
        <v>0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32"/>
      <c r="B53" s="60"/>
      <c r="C53" s="45">
        <f t="shared" si="2"/>
        <v>0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32"/>
      <c r="B54" s="60"/>
      <c r="C54" s="45">
        <f t="shared" si="2"/>
        <v>0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32"/>
      <c r="B55" s="60"/>
      <c r="C55" s="45">
        <f t="shared" si="2"/>
        <v>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32"/>
      <c r="B56" s="60"/>
      <c r="C56" s="45">
        <f t="shared" si="2"/>
        <v>0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32"/>
      <c r="B57" s="60"/>
      <c r="C57" s="45">
        <f t="shared" si="2"/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32"/>
      <c r="B58" s="60"/>
      <c r="C58" s="45">
        <f t="shared" si="2"/>
        <v>0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32"/>
      <c r="B59" s="60"/>
      <c r="C59" s="45">
        <f t="shared" si="2"/>
        <v>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32"/>
      <c r="B60" s="60"/>
      <c r="C60" s="45">
        <f t="shared" si="2"/>
        <v>0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32"/>
      <c r="B61" s="60"/>
      <c r="C61" s="45">
        <f t="shared" si="2"/>
        <v>0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32"/>
      <c r="B62" s="60"/>
      <c r="C62" s="45">
        <f t="shared" si="2"/>
        <v>0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32"/>
      <c r="B63" s="60"/>
      <c r="C63" s="45">
        <f t="shared" si="2"/>
        <v>0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32"/>
      <c r="B64" s="60"/>
      <c r="C64" s="45">
        <f t="shared" si="2"/>
        <v>0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32"/>
      <c r="B65" s="60"/>
      <c r="C65" s="45">
        <f t="shared" si="2"/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32"/>
      <c r="B66" s="60"/>
      <c r="C66" s="45">
        <f t="shared" si="2"/>
        <v>0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32"/>
      <c r="B67" s="113"/>
      <c r="C67" s="45">
        <f t="shared" ref="C67" si="3">SUM(D67:L67)</f>
        <v>0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110"/>
      <c r="C68" s="5"/>
      <c r="D68" s="110"/>
      <c r="E68" s="110"/>
      <c r="F68" s="110"/>
      <c r="G68" s="110"/>
      <c r="H68" s="110"/>
      <c r="I68" s="110"/>
      <c r="J68" s="110"/>
      <c r="K68" s="110"/>
      <c r="L68" s="11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110"/>
      <c r="C69" s="5"/>
      <c r="D69" s="110"/>
      <c r="E69" s="110"/>
      <c r="F69" s="110"/>
      <c r="G69" s="110"/>
      <c r="H69" s="110"/>
      <c r="I69" s="110"/>
      <c r="J69" s="110"/>
      <c r="K69" s="110"/>
      <c r="L69" s="1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110"/>
      <c r="C70" s="5"/>
      <c r="D70" s="110"/>
      <c r="E70" s="110"/>
      <c r="F70" s="110"/>
      <c r="G70" s="110"/>
      <c r="H70" s="110"/>
      <c r="I70" s="110"/>
      <c r="J70" s="110"/>
      <c r="K70" s="110"/>
      <c r="L70" s="1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110"/>
      <c r="C71" s="5"/>
      <c r="D71" s="110"/>
      <c r="E71" s="110"/>
      <c r="F71" s="110"/>
      <c r="G71" s="110"/>
      <c r="H71" s="110"/>
      <c r="I71" s="110"/>
      <c r="J71" s="110"/>
      <c r="K71" s="110"/>
      <c r="L71" s="1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110"/>
      <c r="C72" s="5"/>
      <c r="D72" s="110"/>
      <c r="E72" s="110"/>
      <c r="F72" s="110"/>
      <c r="G72" s="110"/>
      <c r="H72" s="110"/>
      <c r="I72" s="110"/>
      <c r="J72" s="110"/>
      <c r="K72" s="110"/>
      <c r="L72" s="1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110"/>
      <c r="C73" s="5"/>
      <c r="D73" s="110"/>
      <c r="E73" s="110"/>
      <c r="F73" s="110"/>
      <c r="G73" s="110"/>
      <c r="H73" s="110"/>
      <c r="I73" s="110"/>
      <c r="J73" s="110"/>
      <c r="K73" s="110"/>
      <c r="L73" s="1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110"/>
      <c r="C74" s="5"/>
      <c r="D74" s="110"/>
      <c r="E74" s="110"/>
      <c r="F74" s="110"/>
      <c r="G74" s="110"/>
      <c r="H74" s="110"/>
      <c r="I74" s="110"/>
      <c r="J74" s="110"/>
      <c r="K74" s="110"/>
      <c r="L74" s="1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110"/>
      <c r="C75" s="5"/>
      <c r="D75" s="110"/>
      <c r="E75" s="110"/>
      <c r="F75" s="110"/>
      <c r="G75" s="110"/>
      <c r="H75" s="110"/>
      <c r="I75" s="110"/>
      <c r="J75" s="110"/>
      <c r="K75" s="110"/>
      <c r="L75" s="1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110"/>
      <c r="C76" s="5"/>
      <c r="D76" s="110"/>
      <c r="E76" s="110"/>
      <c r="F76" s="110"/>
      <c r="G76" s="110"/>
      <c r="H76" s="110"/>
      <c r="I76" s="110"/>
      <c r="J76" s="110"/>
      <c r="K76" s="110"/>
      <c r="L76" s="1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110"/>
      <c r="C77" s="5"/>
      <c r="D77" s="110"/>
      <c r="E77" s="110"/>
      <c r="F77" s="110"/>
      <c r="G77" s="110"/>
      <c r="H77" s="110"/>
      <c r="I77" s="110"/>
      <c r="J77" s="110"/>
      <c r="K77" s="110"/>
      <c r="L77" s="1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110"/>
      <c r="C78" s="5"/>
      <c r="D78" s="110"/>
      <c r="E78" s="110"/>
      <c r="F78" s="110"/>
      <c r="G78" s="110"/>
      <c r="H78" s="110"/>
      <c r="I78" s="110"/>
      <c r="J78" s="110"/>
      <c r="K78" s="110"/>
      <c r="L78" s="1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110"/>
      <c r="C79" s="5"/>
      <c r="D79" s="110"/>
      <c r="E79" s="110"/>
      <c r="F79" s="110"/>
      <c r="G79" s="110"/>
      <c r="H79" s="110"/>
      <c r="I79" s="110"/>
      <c r="J79" s="110"/>
      <c r="K79" s="110"/>
      <c r="L79" s="1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110"/>
      <c r="C80" s="5"/>
      <c r="D80" s="110"/>
      <c r="E80" s="110"/>
      <c r="F80" s="110"/>
      <c r="G80" s="110"/>
      <c r="H80" s="110"/>
      <c r="I80" s="110"/>
      <c r="J80" s="110"/>
      <c r="K80" s="110"/>
      <c r="L80" s="1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110"/>
      <c r="C81" s="5"/>
      <c r="D81" s="110"/>
      <c r="E81" s="110"/>
      <c r="F81" s="110"/>
      <c r="G81" s="110"/>
      <c r="H81" s="110"/>
      <c r="I81" s="110"/>
      <c r="J81" s="110"/>
      <c r="K81" s="110"/>
      <c r="L81" s="1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110"/>
      <c r="C82" s="5"/>
      <c r="D82" s="110"/>
      <c r="E82" s="110"/>
      <c r="F82" s="110"/>
      <c r="G82" s="110"/>
      <c r="H82" s="110"/>
      <c r="I82" s="110"/>
      <c r="J82" s="110"/>
      <c r="K82" s="110"/>
      <c r="L82" s="1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110"/>
      <c r="C83" s="5"/>
      <c r="D83" s="110"/>
      <c r="E83" s="110"/>
      <c r="F83" s="110"/>
      <c r="G83" s="110"/>
      <c r="H83" s="110"/>
      <c r="I83" s="110"/>
      <c r="J83" s="110"/>
      <c r="K83" s="110"/>
      <c r="L83" s="1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110"/>
      <c r="C84" s="5"/>
      <c r="D84" s="110"/>
      <c r="E84" s="110"/>
      <c r="F84" s="110"/>
      <c r="G84" s="110"/>
      <c r="H84" s="110"/>
      <c r="I84" s="110"/>
      <c r="J84" s="110"/>
      <c r="K84" s="110"/>
      <c r="L84" s="1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110"/>
      <c r="C85" s="5"/>
      <c r="D85" s="110"/>
      <c r="E85" s="110"/>
      <c r="F85" s="110"/>
      <c r="G85" s="110"/>
      <c r="H85" s="110"/>
      <c r="I85" s="110"/>
      <c r="J85" s="110"/>
      <c r="K85" s="110"/>
      <c r="L85" s="1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110"/>
      <c r="C86" s="5"/>
      <c r="D86" s="110"/>
      <c r="E86" s="110"/>
      <c r="F86" s="110"/>
      <c r="G86" s="110"/>
      <c r="H86" s="110"/>
      <c r="I86" s="110"/>
      <c r="J86" s="110"/>
      <c r="K86" s="110"/>
      <c r="L86" s="1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110"/>
      <c r="C87" s="5"/>
      <c r="D87" s="110"/>
      <c r="E87" s="110"/>
      <c r="F87" s="110"/>
      <c r="G87" s="110"/>
      <c r="H87" s="110"/>
      <c r="I87" s="110"/>
      <c r="J87" s="110"/>
      <c r="K87" s="110"/>
      <c r="L87" s="1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110"/>
      <c r="C88" s="5"/>
      <c r="D88" s="110"/>
      <c r="E88" s="110"/>
      <c r="F88" s="110"/>
      <c r="G88" s="110"/>
      <c r="H88" s="110"/>
      <c r="I88" s="110"/>
      <c r="J88" s="110"/>
      <c r="K88" s="110"/>
      <c r="L88" s="1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110"/>
      <c r="C89" s="5"/>
      <c r="D89" s="110"/>
      <c r="E89" s="110"/>
      <c r="F89" s="110"/>
      <c r="G89" s="110"/>
      <c r="H89" s="110"/>
      <c r="I89" s="110"/>
      <c r="J89" s="110"/>
      <c r="K89" s="110"/>
      <c r="L89" s="1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110"/>
      <c r="C90" s="5"/>
      <c r="D90" s="110"/>
      <c r="E90" s="110"/>
      <c r="F90" s="110"/>
      <c r="G90" s="110"/>
      <c r="H90" s="110"/>
      <c r="I90" s="110"/>
      <c r="J90" s="110"/>
      <c r="K90" s="110"/>
      <c r="L90" s="1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110"/>
      <c r="C91" s="5"/>
      <c r="D91" s="110"/>
      <c r="E91" s="110"/>
      <c r="F91" s="110"/>
      <c r="G91" s="110"/>
      <c r="H91" s="110"/>
      <c r="I91" s="110"/>
      <c r="J91" s="110"/>
      <c r="K91" s="110"/>
      <c r="L91" s="1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110"/>
      <c r="C92" s="5"/>
      <c r="D92" s="110"/>
      <c r="E92" s="110"/>
      <c r="F92" s="110"/>
      <c r="G92" s="110"/>
      <c r="H92" s="110"/>
      <c r="I92" s="110"/>
      <c r="J92" s="110"/>
      <c r="K92" s="110"/>
      <c r="L92" s="1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110"/>
      <c r="C93" s="5"/>
      <c r="D93" s="110"/>
      <c r="E93" s="110"/>
      <c r="F93" s="110"/>
      <c r="G93" s="110"/>
      <c r="H93" s="110"/>
      <c r="I93" s="110"/>
      <c r="J93" s="110"/>
      <c r="K93" s="110"/>
      <c r="L93" s="1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110"/>
      <c r="C94" s="5"/>
      <c r="D94" s="110"/>
      <c r="E94" s="110"/>
      <c r="F94" s="110"/>
      <c r="G94" s="110"/>
      <c r="H94" s="110"/>
      <c r="I94" s="110"/>
      <c r="J94" s="110"/>
      <c r="K94" s="110"/>
      <c r="L94" s="1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110"/>
      <c r="C95" s="5"/>
      <c r="D95" s="110"/>
      <c r="E95" s="110"/>
      <c r="F95" s="110"/>
      <c r="G95" s="110"/>
      <c r="H95" s="110"/>
      <c r="I95" s="110"/>
      <c r="J95" s="110"/>
      <c r="K95" s="110"/>
      <c r="L95" s="1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110"/>
      <c r="C96" s="5"/>
      <c r="D96" s="110"/>
      <c r="E96" s="110"/>
      <c r="F96" s="110"/>
      <c r="G96" s="110"/>
      <c r="H96" s="110"/>
      <c r="I96" s="110"/>
      <c r="J96" s="110"/>
      <c r="K96" s="110"/>
      <c r="L96" s="1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110"/>
      <c r="C97" s="5"/>
      <c r="D97" s="110"/>
      <c r="E97" s="110"/>
      <c r="F97" s="110"/>
      <c r="G97" s="110"/>
      <c r="H97" s="110"/>
      <c r="I97" s="110"/>
      <c r="J97" s="110"/>
      <c r="K97" s="110"/>
      <c r="L97" s="1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110"/>
      <c r="C98" s="5"/>
      <c r="D98" s="110"/>
      <c r="E98" s="110"/>
      <c r="F98" s="110"/>
      <c r="G98" s="110"/>
      <c r="H98" s="110"/>
      <c r="I98" s="110"/>
      <c r="J98" s="110"/>
      <c r="K98" s="110"/>
      <c r="L98" s="1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110"/>
      <c r="C99" s="5"/>
      <c r="D99" s="110"/>
      <c r="E99" s="110"/>
      <c r="F99" s="110"/>
      <c r="G99" s="110"/>
      <c r="H99" s="110"/>
      <c r="I99" s="110"/>
      <c r="J99" s="110"/>
      <c r="K99" s="110"/>
      <c r="L99" s="1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110"/>
      <c r="C100" s="5"/>
      <c r="D100" s="110"/>
      <c r="E100" s="110"/>
      <c r="F100" s="110"/>
      <c r="G100" s="110"/>
      <c r="H100" s="110"/>
      <c r="I100" s="110"/>
      <c r="J100" s="110"/>
      <c r="K100" s="110"/>
      <c r="L100" s="1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110"/>
      <c r="C101" s="5"/>
      <c r="D101" s="110"/>
      <c r="E101" s="110"/>
      <c r="F101" s="110"/>
      <c r="G101" s="110"/>
      <c r="H101" s="110"/>
      <c r="I101" s="110"/>
      <c r="J101" s="110"/>
      <c r="K101" s="110"/>
      <c r="L101" s="1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110"/>
      <c r="C102" s="5"/>
      <c r="D102" s="110"/>
      <c r="E102" s="110"/>
      <c r="F102" s="110"/>
      <c r="G102" s="110"/>
      <c r="H102" s="110"/>
      <c r="I102" s="110"/>
      <c r="J102" s="110"/>
      <c r="K102" s="110"/>
      <c r="L102" s="1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110"/>
      <c r="C103" s="5"/>
      <c r="D103" s="110"/>
      <c r="E103" s="110"/>
      <c r="F103" s="110"/>
      <c r="G103" s="110"/>
      <c r="H103" s="110"/>
      <c r="I103" s="110"/>
      <c r="J103" s="110"/>
      <c r="K103" s="110"/>
      <c r="L103" s="1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110"/>
      <c r="C104" s="5"/>
      <c r="D104" s="110"/>
      <c r="E104" s="110"/>
      <c r="F104" s="110"/>
      <c r="G104" s="110"/>
      <c r="H104" s="110"/>
      <c r="I104" s="110"/>
      <c r="J104" s="110"/>
      <c r="K104" s="110"/>
      <c r="L104" s="1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110"/>
      <c r="C105" s="5"/>
      <c r="D105" s="110"/>
      <c r="E105" s="110"/>
      <c r="F105" s="110"/>
      <c r="G105" s="110"/>
      <c r="H105" s="110"/>
      <c r="I105" s="110"/>
      <c r="J105" s="110"/>
      <c r="K105" s="110"/>
      <c r="L105" s="1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110"/>
      <c r="C106" s="5"/>
      <c r="D106" s="110"/>
      <c r="E106" s="110"/>
      <c r="F106" s="110"/>
      <c r="G106" s="110"/>
      <c r="H106" s="110"/>
      <c r="I106" s="110"/>
      <c r="J106" s="110"/>
      <c r="K106" s="110"/>
      <c r="L106" s="1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110"/>
      <c r="C107" s="5"/>
      <c r="D107" s="110"/>
      <c r="E107" s="110"/>
      <c r="F107" s="110"/>
      <c r="G107" s="110"/>
      <c r="H107" s="110"/>
      <c r="I107" s="110"/>
      <c r="J107" s="110"/>
      <c r="K107" s="110"/>
      <c r="L107" s="1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110"/>
      <c r="C108" s="5"/>
      <c r="D108" s="110"/>
      <c r="E108" s="110"/>
      <c r="F108" s="110"/>
      <c r="G108" s="110"/>
      <c r="H108" s="110"/>
      <c r="I108" s="110"/>
      <c r="J108" s="110"/>
      <c r="K108" s="110"/>
      <c r="L108" s="1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110"/>
      <c r="C109" s="5"/>
      <c r="D109" s="110"/>
      <c r="E109" s="110"/>
      <c r="F109" s="110"/>
      <c r="G109" s="110"/>
      <c r="H109" s="110"/>
      <c r="I109" s="110"/>
      <c r="J109" s="110"/>
      <c r="K109" s="110"/>
      <c r="L109" s="1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110"/>
      <c r="C110" s="5"/>
      <c r="D110" s="110"/>
      <c r="E110" s="110"/>
      <c r="F110" s="110"/>
      <c r="G110" s="110"/>
      <c r="H110" s="110"/>
      <c r="I110" s="110"/>
      <c r="J110" s="110"/>
      <c r="K110" s="110"/>
      <c r="L110" s="1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110"/>
      <c r="C111" s="5"/>
      <c r="D111" s="110"/>
      <c r="E111" s="110"/>
      <c r="F111" s="110"/>
      <c r="G111" s="110"/>
      <c r="H111" s="110"/>
      <c r="I111" s="110"/>
      <c r="J111" s="110"/>
      <c r="K111" s="110"/>
      <c r="L111" s="1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110"/>
      <c r="C112" s="5"/>
      <c r="D112" s="110"/>
      <c r="E112" s="110"/>
      <c r="F112" s="110"/>
      <c r="G112" s="110"/>
      <c r="H112" s="110"/>
      <c r="I112" s="110"/>
      <c r="J112" s="110"/>
      <c r="K112" s="110"/>
      <c r="L112" s="1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110"/>
      <c r="C113" s="5"/>
      <c r="D113" s="110"/>
      <c r="E113" s="110"/>
      <c r="F113" s="110"/>
      <c r="G113" s="110"/>
      <c r="H113" s="110"/>
      <c r="I113" s="110"/>
      <c r="J113" s="110"/>
      <c r="K113" s="110"/>
      <c r="L113" s="1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110"/>
      <c r="C114" s="5"/>
      <c r="D114" s="110"/>
      <c r="E114" s="110"/>
      <c r="F114" s="110"/>
      <c r="G114" s="110"/>
      <c r="H114" s="110"/>
      <c r="I114" s="110"/>
      <c r="J114" s="110"/>
      <c r="K114" s="110"/>
      <c r="L114" s="1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110"/>
      <c r="C115" s="5"/>
      <c r="D115" s="110"/>
      <c r="E115" s="110"/>
      <c r="F115" s="110"/>
      <c r="G115" s="110"/>
      <c r="H115" s="110"/>
      <c r="I115" s="110"/>
      <c r="J115" s="110"/>
      <c r="K115" s="110"/>
      <c r="L115" s="1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110"/>
      <c r="C116" s="5"/>
      <c r="D116" s="110"/>
      <c r="E116" s="110"/>
      <c r="F116" s="110"/>
      <c r="G116" s="110"/>
      <c r="H116" s="110"/>
      <c r="I116" s="110"/>
      <c r="J116" s="110"/>
      <c r="K116" s="110"/>
      <c r="L116" s="1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110"/>
      <c r="C117" s="5"/>
      <c r="D117" s="110"/>
      <c r="E117" s="110"/>
      <c r="F117" s="110"/>
      <c r="G117" s="110"/>
      <c r="H117" s="110"/>
      <c r="I117" s="110"/>
      <c r="J117" s="110"/>
      <c r="K117" s="110"/>
      <c r="L117" s="1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110"/>
      <c r="C118" s="5"/>
      <c r="D118" s="110"/>
      <c r="E118" s="110"/>
      <c r="F118" s="110"/>
      <c r="G118" s="110"/>
      <c r="H118" s="110"/>
      <c r="I118" s="110"/>
      <c r="J118" s="110"/>
      <c r="K118" s="110"/>
      <c r="L118" s="1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110"/>
      <c r="C119" s="5"/>
      <c r="D119" s="110"/>
      <c r="E119" s="110"/>
      <c r="F119" s="110"/>
      <c r="G119" s="110"/>
      <c r="H119" s="110"/>
      <c r="I119" s="110"/>
      <c r="J119" s="110"/>
      <c r="K119" s="110"/>
      <c r="L119" s="1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110"/>
      <c r="C120" s="5"/>
      <c r="D120" s="110"/>
      <c r="E120" s="110"/>
      <c r="F120" s="110"/>
      <c r="G120" s="110"/>
      <c r="H120" s="110"/>
      <c r="I120" s="110"/>
      <c r="J120" s="110"/>
      <c r="K120" s="110"/>
      <c r="L120" s="1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110"/>
      <c r="C121" s="5"/>
      <c r="D121" s="110"/>
      <c r="E121" s="110"/>
      <c r="F121" s="110"/>
      <c r="G121" s="110"/>
      <c r="H121" s="110"/>
      <c r="I121" s="110"/>
      <c r="J121" s="110"/>
      <c r="K121" s="110"/>
      <c r="L121" s="1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110"/>
      <c r="C122" s="5"/>
      <c r="D122" s="110"/>
      <c r="E122" s="110"/>
      <c r="F122" s="110"/>
      <c r="G122" s="110"/>
      <c r="H122" s="110"/>
      <c r="I122" s="110"/>
      <c r="J122" s="110"/>
      <c r="K122" s="110"/>
      <c r="L122" s="1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110"/>
      <c r="C123" s="5"/>
      <c r="D123" s="110"/>
      <c r="E123" s="110"/>
      <c r="F123" s="110"/>
      <c r="G123" s="110"/>
      <c r="H123" s="110"/>
      <c r="I123" s="110"/>
      <c r="J123" s="110"/>
      <c r="K123" s="110"/>
      <c r="L123" s="1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110"/>
      <c r="C124" s="5"/>
      <c r="D124" s="110"/>
      <c r="E124" s="110"/>
      <c r="F124" s="110"/>
      <c r="G124" s="110"/>
      <c r="H124" s="110"/>
      <c r="I124" s="110"/>
      <c r="J124" s="110"/>
      <c r="K124" s="110"/>
      <c r="L124" s="1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110"/>
      <c r="C125" s="5"/>
      <c r="D125" s="110"/>
      <c r="E125" s="110"/>
      <c r="F125" s="110"/>
      <c r="G125" s="110"/>
      <c r="H125" s="110"/>
      <c r="I125" s="110"/>
      <c r="J125" s="110"/>
      <c r="K125" s="110"/>
      <c r="L125" s="1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110"/>
      <c r="C126" s="5"/>
      <c r="D126" s="110"/>
      <c r="E126" s="110"/>
      <c r="F126" s="110"/>
      <c r="G126" s="110"/>
      <c r="H126" s="110"/>
      <c r="I126" s="110"/>
      <c r="J126" s="110"/>
      <c r="K126" s="110"/>
      <c r="L126" s="1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110"/>
      <c r="C127" s="5"/>
      <c r="D127" s="110"/>
      <c r="E127" s="110"/>
      <c r="F127" s="110"/>
      <c r="G127" s="110"/>
      <c r="H127" s="110"/>
      <c r="I127" s="110"/>
      <c r="J127" s="110"/>
      <c r="K127" s="110"/>
      <c r="L127" s="1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110"/>
      <c r="C128" s="5"/>
      <c r="D128" s="110"/>
      <c r="E128" s="110"/>
      <c r="F128" s="110"/>
      <c r="G128" s="110"/>
      <c r="H128" s="110"/>
      <c r="I128" s="110"/>
      <c r="J128" s="110"/>
      <c r="K128" s="110"/>
      <c r="L128" s="1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110"/>
      <c r="C129" s="5"/>
      <c r="D129" s="110"/>
      <c r="E129" s="110"/>
      <c r="F129" s="110"/>
      <c r="G129" s="110"/>
      <c r="H129" s="110"/>
      <c r="I129" s="110"/>
      <c r="J129" s="110"/>
      <c r="K129" s="110"/>
      <c r="L129" s="1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110"/>
      <c r="C130" s="5"/>
      <c r="D130" s="110"/>
      <c r="E130" s="110"/>
      <c r="F130" s="110"/>
      <c r="G130" s="110"/>
      <c r="H130" s="110"/>
      <c r="I130" s="110"/>
      <c r="J130" s="110"/>
      <c r="K130" s="110"/>
      <c r="L130" s="1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110"/>
      <c r="C131" s="5"/>
      <c r="D131" s="110"/>
      <c r="E131" s="110"/>
      <c r="F131" s="110"/>
      <c r="G131" s="110"/>
      <c r="H131" s="110"/>
      <c r="I131" s="110"/>
      <c r="J131" s="110"/>
      <c r="K131" s="110"/>
      <c r="L131" s="1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110"/>
      <c r="C132" s="5"/>
      <c r="D132" s="110"/>
      <c r="E132" s="110"/>
      <c r="F132" s="110"/>
      <c r="G132" s="110"/>
      <c r="H132" s="110"/>
      <c r="I132" s="110"/>
      <c r="J132" s="110"/>
      <c r="K132" s="110"/>
      <c r="L132" s="1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110"/>
      <c r="C133" s="5"/>
      <c r="D133" s="110"/>
      <c r="E133" s="110"/>
      <c r="F133" s="110"/>
      <c r="G133" s="110"/>
      <c r="H133" s="110"/>
      <c r="I133" s="110"/>
      <c r="J133" s="110"/>
      <c r="K133" s="110"/>
      <c r="L133" s="1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110"/>
      <c r="C134" s="5"/>
      <c r="D134" s="110"/>
      <c r="E134" s="110"/>
      <c r="F134" s="110"/>
      <c r="G134" s="110"/>
      <c r="H134" s="110"/>
      <c r="I134" s="110"/>
      <c r="J134" s="110"/>
      <c r="K134" s="110"/>
      <c r="L134" s="1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110"/>
      <c r="C135" s="5"/>
      <c r="D135" s="110"/>
      <c r="E135" s="110"/>
      <c r="F135" s="110"/>
      <c r="G135" s="110"/>
      <c r="H135" s="110"/>
      <c r="I135" s="110"/>
      <c r="J135" s="110"/>
      <c r="K135" s="110"/>
      <c r="L135" s="1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110"/>
      <c r="C136" s="5"/>
      <c r="D136" s="110"/>
      <c r="E136" s="110"/>
      <c r="F136" s="110"/>
      <c r="G136" s="110"/>
      <c r="H136" s="110"/>
      <c r="I136" s="110"/>
      <c r="J136" s="110"/>
      <c r="K136" s="110"/>
      <c r="L136" s="1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110"/>
      <c r="C137" s="5"/>
      <c r="D137" s="110"/>
      <c r="E137" s="110"/>
      <c r="F137" s="110"/>
      <c r="G137" s="110"/>
      <c r="H137" s="110"/>
      <c r="I137" s="110"/>
      <c r="J137" s="110"/>
      <c r="K137" s="110"/>
      <c r="L137" s="1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110"/>
      <c r="C138" s="5"/>
      <c r="D138" s="110"/>
      <c r="E138" s="110"/>
      <c r="F138" s="110"/>
      <c r="G138" s="110"/>
      <c r="H138" s="110"/>
      <c r="I138" s="110"/>
      <c r="J138" s="110"/>
      <c r="K138" s="110"/>
      <c r="L138" s="1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110"/>
      <c r="C139" s="5"/>
      <c r="D139" s="110"/>
      <c r="E139" s="110"/>
      <c r="F139" s="110"/>
      <c r="G139" s="110"/>
      <c r="H139" s="110"/>
      <c r="I139" s="110"/>
      <c r="J139" s="110"/>
      <c r="K139" s="110"/>
      <c r="L139" s="1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110"/>
      <c r="C140" s="5"/>
      <c r="D140" s="110"/>
      <c r="E140" s="110"/>
      <c r="F140" s="110"/>
      <c r="G140" s="110"/>
      <c r="H140" s="110"/>
      <c r="I140" s="110"/>
      <c r="J140" s="110"/>
      <c r="K140" s="110"/>
      <c r="L140" s="1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110"/>
      <c r="C141" s="5"/>
      <c r="D141" s="110"/>
      <c r="E141" s="110"/>
      <c r="F141" s="110"/>
      <c r="G141" s="110"/>
      <c r="H141" s="110"/>
      <c r="I141" s="110"/>
      <c r="J141" s="110"/>
      <c r="K141" s="110"/>
      <c r="L141" s="1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110"/>
      <c r="C142" s="5"/>
      <c r="D142" s="110"/>
      <c r="E142" s="110"/>
      <c r="F142" s="110"/>
      <c r="G142" s="110"/>
      <c r="H142" s="110"/>
      <c r="I142" s="110"/>
      <c r="J142" s="110"/>
      <c r="K142" s="110"/>
      <c r="L142" s="1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110"/>
      <c r="C143" s="5"/>
      <c r="D143" s="110"/>
      <c r="E143" s="110"/>
      <c r="F143" s="110"/>
      <c r="G143" s="110"/>
      <c r="H143" s="110"/>
      <c r="I143" s="110"/>
      <c r="J143" s="110"/>
      <c r="K143" s="110"/>
      <c r="L143" s="1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110"/>
      <c r="C144" s="5"/>
      <c r="D144" s="110"/>
      <c r="E144" s="110"/>
      <c r="F144" s="110"/>
      <c r="G144" s="110"/>
      <c r="H144" s="110"/>
      <c r="I144" s="110"/>
      <c r="J144" s="110"/>
      <c r="K144" s="110"/>
      <c r="L144" s="1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110"/>
      <c r="C145" s="5"/>
      <c r="D145" s="110"/>
      <c r="E145" s="110"/>
      <c r="F145" s="110"/>
      <c r="G145" s="110"/>
      <c r="H145" s="110"/>
      <c r="I145" s="110"/>
      <c r="J145" s="110"/>
      <c r="K145" s="110"/>
      <c r="L145" s="1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110"/>
      <c r="C146" s="5"/>
      <c r="D146" s="110"/>
      <c r="E146" s="110"/>
      <c r="F146" s="110"/>
      <c r="G146" s="110"/>
      <c r="H146" s="110"/>
      <c r="I146" s="110"/>
      <c r="J146" s="110"/>
      <c r="K146" s="110"/>
      <c r="L146" s="1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110"/>
      <c r="C147" s="5"/>
      <c r="D147" s="110"/>
      <c r="E147" s="110"/>
      <c r="F147" s="110"/>
      <c r="G147" s="110"/>
      <c r="H147" s="110"/>
      <c r="I147" s="110"/>
      <c r="J147" s="110"/>
      <c r="K147" s="110"/>
      <c r="L147" s="1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110"/>
      <c r="C148" s="5"/>
      <c r="D148" s="110"/>
      <c r="E148" s="110"/>
      <c r="F148" s="110"/>
      <c r="G148" s="110"/>
      <c r="H148" s="110"/>
      <c r="I148" s="110"/>
      <c r="J148" s="110"/>
      <c r="K148" s="110"/>
      <c r="L148" s="1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110"/>
      <c r="C149" s="5"/>
      <c r="D149" s="110"/>
      <c r="E149" s="110"/>
      <c r="F149" s="110"/>
      <c r="G149" s="110"/>
      <c r="H149" s="110"/>
      <c r="I149" s="110"/>
      <c r="J149" s="110"/>
      <c r="K149" s="110"/>
      <c r="L149" s="1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110"/>
      <c r="C150" s="5"/>
      <c r="D150" s="110"/>
      <c r="E150" s="110"/>
      <c r="F150" s="110"/>
      <c r="G150" s="110"/>
      <c r="H150" s="110"/>
      <c r="I150" s="110"/>
      <c r="J150" s="110"/>
      <c r="K150" s="110"/>
      <c r="L150" s="1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110"/>
      <c r="C151" s="5"/>
      <c r="D151" s="110"/>
      <c r="E151" s="110"/>
      <c r="F151" s="110"/>
      <c r="G151" s="110"/>
      <c r="H151" s="110"/>
      <c r="I151" s="110"/>
      <c r="J151" s="110"/>
      <c r="K151" s="110"/>
      <c r="L151" s="1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110"/>
      <c r="C152" s="5"/>
      <c r="D152" s="110"/>
      <c r="E152" s="110"/>
      <c r="F152" s="110"/>
      <c r="G152" s="110"/>
      <c r="H152" s="110"/>
      <c r="I152" s="110"/>
      <c r="J152" s="110"/>
      <c r="K152" s="110"/>
      <c r="L152" s="1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110"/>
      <c r="C153" s="5"/>
      <c r="D153" s="110"/>
      <c r="E153" s="110"/>
      <c r="F153" s="110"/>
      <c r="G153" s="110"/>
      <c r="H153" s="110"/>
      <c r="I153" s="110"/>
      <c r="J153" s="110"/>
      <c r="K153" s="110"/>
      <c r="L153" s="1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110"/>
      <c r="C154" s="5"/>
      <c r="D154" s="110"/>
      <c r="E154" s="110"/>
      <c r="F154" s="110"/>
      <c r="G154" s="110"/>
      <c r="H154" s="110"/>
      <c r="I154" s="110"/>
      <c r="J154" s="110"/>
      <c r="K154" s="110"/>
      <c r="L154" s="1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110"/>
      <c r="C155" s="5"/>
      <c r="D155" s="110"/>
      <c r="E155" s="110"/>
      <c r="F155" s="110"/>
      <c r="G155" s="110"/>
      <c r="H155" s="110"/>
      <c r="I155" s="110"/>
      <c r="J155" s="110"/>
      <c r="K155" s="110"/>
      <c r="L155" s="1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110"/>
      <c r="C156" s="5"/>
      <c r="D156" s="110"/>
      <c r="E156" s="110"/>
      <c r="F156" s="110"/>
      <c r="G156" s="110"/>
      <c r="H156" s="110"/>
      <c r="I156" s="110"/>
      <c r="J156" s="110"/>
      <c r="K156" s="110"/>
      <c r="L156" s="1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110"/>
      <c r="C157" s="5"/>
      <c r="D157" s="110"/>
      <c r="E157" s="110"/>
      <c r="F157" s="110"/>
      <c r="G157" s="110"/>
      <c r="H157" s="110"/>
      <c r="I157" s="110"/>
      <c r="J157" s="110"/>
      <c r="K157" s="110"/>
      <c r="L157" s="1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110"/>
      <c r="C158" s="5"/>
      <c r="D158" s="110"/>
      <c r="E158" s="110"/>
      <c r="F158" s="110"/>
      <c r="G158" s="110"/>
      <c r="H158" s="110"/>
      <c r="I158" s="110"/>
      <c r="J158" s="110"/>
      <c r="K158" s="110"/>
      <c r="L158" s="1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110"/>
      <c r="C159" s="5"/>
      <c r="D159" s="110"/>
      <c r="E159" s="110"/>
      <c r="F159" s="110"/>
      <c r="G159" s="110"/>
      <c r="H159" s="110"/>
      <c r="I159" s="110"/>
      <c r="J159" s="110"/>
      <c r="K159" s="110"/>
      <c r="L159" s="1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110"/>
      <c r="C160" s="5"/>
      <c r="D160" s="110"/>
      <c r="E160" s="110"/>
      <c r="F160" s="110"/>
      <c r="G160" s="110"/>
      <c r="H160" s="110"/>
      <c r="I160" s="110"/>
      <c r="J160" s="110"/>
      <c r="K160" s="110"/>
      <c r="L160" s="1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110"/>
      <c r="C161" s="5"/>
      <c r="D161" s="110"/>
      <c r="E161" s="110"/>
      <c r="F161" s="110"/>
      <c r="G161" s="110"/>
      <c r="H161" s="110"/>
      <c r="I161" s="110"/>
      <c r="J161" s="110"/>
      <c r="K161" s="110"/>
      <c r="L161" s="1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110"/>
      <c r="C162" s="5"/>
      <c r="D162" s="110"/>
      <c r="E162" s="110"/>
      <c r="F162" s="110"/>
      <c r="G162" s="110"/>
      <c r="H162" s="110"/>
      <c r="I162" s="110"/>
      <c r="J162" s="110"/>
      <c r="K162" s="110"/>
      <c r="L162" s="1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110"/>
      <c r="C163" s="5"/>
      <c r="D163" s="110"/>
      <c r="E163" s="110"/>
      <c r="F163" s="110"/>
      <c r="G163" s="110"/>
      <c r="H163" s="110"/>
      <c r="I163" s="110"/>
      <c r="J163" s="110"/>
      <c r="K163" s="110"/>
      <c r="L163" s="1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110"/>
      <c r="C164" s="5"/>
      <c r="D164" s="110"/>
      <c r="E164" s="110"/>
      <c r="F164" s="110"/>
      <c r="G164" s="110"/>
      <c r="H164" s="110"/>
      <c r="I164" s="110"/>
      <c r="J164" s="110"/>
      <c r="K164" s="110"/>
      <c r="L164" s="1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110"/>
      <c r="C165" s="5"/>
      <c r="D165" s="110"/>
      <c r="E165" s="110"/>
      <c r="F165" s="110"/>
      <c r="G165" s="110"/>
      <c r="H165" s="110"/>
      <c r="I165" s="110"/>
      <c r="J165" s="110"/>
      <c r="K165" s="110"/>
      <c r="L165" s="1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110"/>
      <c r="C166" s="5"/>
      <c r="D166" s="110"/>
      <c r="E166" s="110"/>
      <c r="F166" s="110"/>
      <c r="G166" s="110"/>
      <c r="H166" s="110"/>
      <c r="I166" s="110"/>
      <c r="J166" s="110"/>
      <c r="K166" s="110"/>
      <c r="L166" s="1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110"/>
      <c r="C167" s="5"/>
      <c r="D167" s="110"/>
      <c r="E167" s="110"/>
      <c r="F167" s="110"/>
      <c r="G167" s="110"/>
      <c r="H167" s="110"/>
      <c r="I167" s="110"/>
      <c r="J167" s="110"/>
      <c r="K167" s="110"/>
      <c r="L167" s="1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110"/>
      <c r="C168" s="5"/>
      <c r="D168" s="110"/>
      <c r="E168" s="110"/>
      <c r="F168" s="110"/>
      <c r="G168" s="110"/>
      <c r="H168" s="110"/>
      <c r="I168" s="110"/>
      <c r="J168" s="110"/>
      <c r="K168" s="110"/>
      <c r="L168" s="1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110"/>
      <c r="C169" s="5"/>
      <c r="D169" s="110"/>
      <c r="E169" s="110"/>
      <c r="F169" s="110"/>
      <c r="G169" s="110"/>
      <c r="H169" s="110"/>
      <c r="I169" s="110"/>
      <c r="J169" s="110"/>
      <c r="K169" s="110"/>
      <c r="L169" s="1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110"/>
      <c r="C170" s="5"/>
      <c r="D170" s="110"/>
      <c r="E170" s="110"/>
      <c r="F170" s="110"/>
      <c r="G170" s="110"/>
      <c r="H170" s="110"/>
      <c r="I170" s="110"/>
      <c r="J170" s="110"/>
      <c r="K170" s="110"/>
      <c r="L170" s="1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110"/>
      <c r="C171" s="5"/>
      <c r="D171" s="110"/>
      <c r="E171" s="110"/>
      <c r="F171" s="110"/>
      <c r="G171" s="110"/>
      <c r="H171" s="110"/>
      <c r="I171" s="110"/>
      <c r="J171" s="110"/>
      <c r="K171" s="110"/>
      <c r="L171" s="1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110"/>
      <c r="C172" s="5"/>
      <c r="D172" s="110"/>
      <c r="E172" s="110"/>
      <c r="F172" s="110"/>
      <c r="G172" s="110"/>
      <c r="H172" s="110"/>
      <c r="I172" s="110"/>
      <c r="J172" s="110"/>
      <c r="K172" s="110"/>
      <c r="L172" s="1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110"/>
      <c r="C173" s="5"/>
      <c r="D173" s="110"/>
      <c r="E173" s="110"/>
      <c r="F173" s="110"/>
      <c r="G173" s="110"/>
      <c r="H173" s="110"/>
      <c r="I173" s="110"/>
      <c r="J173" s="110"/>
      <c r="K173" s="110"/>
      <c r="L173" s="1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110"/>
      <c r="C174" s="5"/>
      <c r="D174" s="110"/>
      <c r="E174" s="110"/>
      <c r="F174" s="110"/>
      <c r="G174" s="110"/>
      <c r="H174" s="110"/>
      <c r="I174" s="110"/>
      <c r="J174" s="110"/>
      <c r="K174" s="110"/>
      <c r="L174" s="1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110"/>
      <c r="C175" s="5"/>
      <c r="D175" s="110"/>
      <c r="E175" s="110"/>
      <c r="F175" s="110"/>
      <c r="G175" s="110"/>
      <c r="H175" s="110"/>
      <c r="I175" s="110"/>
      <c r="J175" s="110"/>
      <c r="K175" s="110"/>
      <c r="L175" s="1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110"/>
      <c r="C176" s="5"/>
      <c r="D176" s="110"/>
      <c r="E176" s="110"/>
      <c r="F176" s="110"/>
      <c r="G176" s="110"/>
      <c r="H176" s="110"/>
      <c r="I176" s="110"/>
      <c r="J176" s="110"/>
      <c r="K176" s="110"/>
      <c r="L176" s="1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110"/>
      <c r="C177" s="5"/>
      <c r="D177" s="110"/>
      <c r="E177" s="110"/>
      <c r="F177" s="110"/>
      <c r="G177" s="110"/>
      <c r="H177" s="110"/>
      <c r="I177" s="110"/>
      <c r="J177" s="110"/>
      <c r="K177" s="110"/>
      <c r="L177" s="1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110"/>
      <c r="C178" s="5"/>
      <c r="D178" s="110"/>
      <c r="E178" s="110"/>
      <c r="F178" s="110"/>
      <c r="G178" s="110"/>
      <c r="H178" s="110"/>
      <c r="I178" s="110"/>
      <c r="J178" s="110"/>
      <c r="K178" s="110"/>
      <c r="L178" s="1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110"/>
      <c r="C179" s="5"/>
      <c r="D179" s="110"/>
      <c r="E179" s="110"/>
      <c r="F179" s="110"/>
      <c r="G179" s="110"/>
      <c r="H179" s="110"/>
      <c r="I179" s="110"/>
      <c r="J179" s="110"/>
      <c r="K179" s="110"/>
      <c r="L179" s="1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110"/>
      <c r="C180" s="5"/>
      <c r="D180" s="110"/>
      <c r="E180" s="110"/>
      <c r="F180" s="110"/>
      <c r="G180" s="110"/>
      <c r="H180" s="110"/>
      <c r="I180" s="110"/>
      <c r="J180" s="110"/>
      <c r="K180" s="110"/>
      <c r="L180" s="1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110"/>
      <c r="C181" s="5"/>
      <c r="D181" s="110"/>
      <c r="E181" s="110"/>
      <c r="F181" s="110"/>
      <c r="G181" s="110"/>
      <c r="H181" s="110"/>
      <c r="I181" s="110"/>
      <c r="J181" s="110"/>
      <c r="K181" s="110"/>
      <c r="L181" s="1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110"/>
      <c r="C182" s="5"/>
      <c r="D182" s="110"/>
      <c r="E182" s="110"/>
      <c r="F182" s="110"/>
      <c r="G182" s="110"/>
      <c r="H182" s="110"/>
      <c r="I182" s="110"/>
      <c r="J182" s="110"/>
      <c r="K182" s="110"/>
      <c r="L182" s="1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110"/>
      <c r="C183" s="5"/>
      <c r="D183" s="110"/>
      <c r="E183" s="110"/>
      <c r="F183" s="110"/>
      <c r="G183" s="110"/>
      <c r="H183" s="110"/>
      <c r="I183" s="110"/>
      <c r="J183" s="110"/>
      <c r="K183" s="110"/>
      <c r="L183" s="1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110"/>
      <c r="C184" s="5"/>
      <c r="D184" s="110"/>
      <c r="E184" s="110"/>
      <c r="F184" s="110"/>
      <c r="G184" s="110"/>
      <c r="H184" s="110"/>
      <c r="I184" s="110"/>
      <c r="J184" s="110"/>
      <c r="K184" s="110"/>
      <c r="L184" s="1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110"/>
      <c r="C185" s="5"/>
      <c r="D185" s="110"/>
      <c r="E185" s="110"/>
      <c r="F185" s="110"/>
      <c r="G185" s="110"/>
      <c r="H185" s="110"/>
      <c r="I185" s="110"/>
      <c r="J185" s="110"/>
      <c r="K185" s="110"/>
      <c r="L185" s="1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110"/>
      <c r="C186" s="5"/>
      <c r="D186" s="110"/>
      <c r="E186" s="110"/>
      <c r="F186" s="110"/>
      <c r="G186" s="110"/>
      <c r="H186" s="110"/>
      <c r="I186" s="110"/>
      <c r="J186" s="110"/>
      <c r="K186" s="110"/>
      <c r="L186" s="1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110"/>
      <c r="C187" s="5"/>
      <c r="D187" s="110"/>
      <c r="E187" s="110"/>
      <c r="F187" s="110"/>
      <c r="G187" s="110"/>
      <c r="H187" s="110"/>
      <c r="I187" s="110"/>
      <c r="J187" s="110"/>
      <c r="K187" s="110"/>
      <c r="L187" s="1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110"/>
      <c r="C188" s="5"/>
      <c r="D188" s="110"/>
      <c r="E188" s="110"/>
      <c r="F188" s="110"/>
      <c r="G188" s="110"/>
      <c r="H188" s="110"/>
      <c r="I188" s="110"/>
      <c r="J188" s="110"/>
      <c r="K188" s="110"/>
      <c r="L188" s="1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110"/>
      <c r="C189" s="5"/>
      <c r="D189" s="110"/>
      <c r="E189" s="110"/>
      <c r="F189" s="110"/>
      <c r="G189" s="110"/>
      <c r="H189" s="110"/>
      <c r="I189" s="110"/>
      <c r="J189" s="110"/>
      <c r="K189" s="110"/>
      <c r="L189" s="1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110"/>
      <c r="C190" s="5"/>
      <c r="D190" s="110"/>
      <c r="E190" s="110"/>
      <c r="F190" s="110"/>
      <c r="G190" s="110"/>
      <c r="H190" s="110"/>
      <c r="I190" s="110"/>
      <c r="J190" s="110"/>
      <c r="K190" s="110"/>
      <c r="L190" s="1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110"/>
      <c r="C191" s="5"/>
      <c r="D191" s="110"/>
      <c r="E191" s="110"/>
      <c r="F191" s="110"/>
      <c r="G191" s="110"/>
      <c r="H191" s="110"/>
      <c r="I191" s="110"/>
      <c r="J191" s="110"/>
      <c r="K191" s="110"/>
      <c r="L191" s="1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110"/>
      <c r="C192" s="5"/>
      <c r="D192" s="110"/>
      <c r="E192" s="110"/>
      <c r="F192" s="110"/>
      <c r="G192" s="110"/>
      <c r="H192" s="110"/>
      <c r="I192" s="110"/>
      <c r="J192" s="110"/>
      <c r="K192" s="110"/>
      <c r="L192" s="1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110"/>
      <c r="C193" s="5"/>
      <c r="D193" s="110"/>
      <c r="E193" s="110"/>
      <c r="F193" s="110"/>
      <c r="G193" s="110"/>
      <c r="H193" s="110"/>
      <c r="I193" s="110"/>
      <c r="J193" s="110"/>
      <c r="K193" s="110"/>
      <c r="L193" s="1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110"/>
      <c r="C194" s="5"/>
      <c r="D194" s="110"/>
      <c r="E194" s="110"/>
      <c r="F194" s="110"/>
      <c r="G194" s="110"/>
      <c r="H194" s="110"/>
      <c r="I194" s="110"/>
      <c r="J194" s="110"/>
      <c r="K194" s="110"/>
      <c r="L194" s="1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110"/>
      <c r="C195" s="5"/>
      <c r="D195" s="110"/>
      <c r="E195" s="110"/>
      <c r="F195" s="110"/>
      <c r="G195" s="110"/>
      <c r="H195" s="110"/>
      <c r="I195" s="110"/>
      <c r="J195" s="110"/>
      <c r="K195" s="110"/>
      <c r="L195" s="1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110"/>
      <c r="C196" s="5"/>
      <c r="D196" s="110"/>
      <c r="E196" s="110"/>
      <c r="F196" s="110"/>
      <c r="G196" s="110"/>
      <c r="H196" s="110"/>
      <c r="I196" s="110"/>
      <c r="J196" s="110"/>
      <c r="K196" s="110"/>
      <c r="L196" s="1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110"/>
      <c r="C197" s="5"/>
      <c r="D197" s="110"/>
      <c r="E197" s="110"/>
      <c r="F197" s="110"/>
      <c r="G197" s="110"/>
      <c r="H197" s="110"/>
      <c r="I197" s="110"/>
      <c r="J197" s="110"/>
      <c r="K197" s="110"/>
      <c r="L197" s="1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110"/>
      <c r="C198" s="5"/>
      <c r="D198" s="110"/>
      <c r="E198" s="110"/>
      <c r="F198" s="110"/>
      <c r="G198" s="110"/>
      <c r="H198" s="110"/>
      <c r="I198" s="110"/>
      <c r="J198" s="110"/>
      <c r="K198" s="110"/>
      <c r="L198" s="1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110"/>
      <c r="C199" s="5"/>
      <c r="D199" s="110"/>
      <c r="E199" s="110"/>
      <c r="F199" s="110"/>
      <c r="G199" s="110"/>
      <c r="H199" s="110"/>
      <c r="I199" s="110"/>
      <c r="J199" s="110"/>
      <c r="K199" s="110"/>
      <c r="L199" s="1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110"/>
      <c r="C200" s="5"/>
      <c r="D200" s="110"/>
      <c r="E200" s="110"/>
      <c r="F200" s="110"/>
      <c r="G200" s="110"/>
      <c r="H200" s="110"/>
      <c r="I200" s="110"/>
      <c r="J200" s="110"/>
      <c r="K200" s="110"/>
      <c r="L200" s="1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110"/>
      <c r="C201" s="5"/>
      <c r="D201" s="110"/>
      <c r="E201" s="110"/>
      <c r="F201" s="110"/>
      <c r="G201" s="110"/>
      <c r="H201" s="110"/>
      <c r="I201" s="110"/>
      <c r="J201" s="110"/>
      <c r="K201" s="110"/>
      <c r="L201" s="1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110"/>
      <c r="C202" s="5"/>
      <c r="D202" s="110"/>
      <c r="E202" s="110"/>
      <c r="F202" s="110"/>
      <c r="G202" s="110"/>
      <c r="H202" s="110"/>
      <c r="I202" s="110"/>
      <c r="J202" s="110"/>
      <c r="K202" s="110"/>
      <c r="L202" s="1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110"/>
      <c r="C203" s="5"/>
      <c r="D203" s="110"/>
      <c r="E203" s="110"/>
      <c r="F203" s="110"/>
      <c r="G203" s="110"/>
      <c r="H203" s="110"/>
      <c r="I203" s="110"/>
      <c r="J203" s="110"/>
      <c r="K203" s="110"/>
      <c r="L203" s="1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110"/>
      <c r="C204" s="5"/>
      <c r="D204" s="110"/>
      <c r="E204" s="110"/>
      <c r="F204" s="110"/>
      <c r="G204" s="110"/>
      <c r="H204" s="110"/>
      <c r="I204" s="110"/>
      <c r="J204" s="110"/>
      <c r="K204" s="110"/>
      <c r="L204" s="1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110"/>
      <c r="C205" s="5"/>
      <c r="D205" s="110"/>
      <c r="E205" s="110"/>
      <c r="F205" s="110"/>
      <c r="G205" s="110"/>
      <c r="H205" s="110"/>
      <c r="I205" s="110"/>
      <c r="J205" s="110"/>
      <c r="K205" s="110"/>
      <c r="L205" s="1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110"/>
      <c r="C206" s="5"/>
      <c r="D206" s="110"/>
      <c r="E206" s="110"/>
      <c r="F206" s="110"/>
      <c r="G206" s="110"/>
      <c r="H206" s="110"/>
      <c r="I206" s="110"/>
      <c r="J206" s="110"/>
      <c r="K206" s="110"/>
      <c r="L206" s="1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110"/>
      <c r="C207" s="5"/>
      <c r="D207" s="110"/>
      <c r="E207" s="110"/>
      <c r="F207" s="110"/>
      <c r="G207" s="110"/>
      <c r="H207" s="110"/>
      <c r="I207" s="110"/>
      <c r="J207" s="110"/>
      <c r="K207" s="110"/>
      <c r="L207" s="1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110"/>
      <c r="C208" s="5"/>
      <c r="D208" s="110"/>
      <c r="E208" s="110"/>
      <c r="F208" s="110"/>
      <c r="G208" s="110"/>
      <c r="H208" s="110"/>
      <c r="I208" s="110"/>
      <c r="J208" s="110"/>
      <c r="K208" s="110"/>
      <c r="L208" s="1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110"/>
      <c r="C209" s="5"/>
      <c r="D209" s="110"/>
      <c r="E209" s="110"/>
      <c r="F209" s="110"/>
      <c r="G209" s="110"/>
      <c r="H209" s="110"/>
      <c r="I209" s="110"/>
      <c r="J209" s="110"/>
      <c r="K209" s="110"/>
      <c r="L209" s="1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110"/>
      <c r="C210" s="5"/>
      <c r="D210" s="110"/>
      <c r="E210" s="110"/>
      <c r="F210" s="110"/>
      <c r="G210" s="110"/>
      <c r="H210" s="110"/>
      <c r="I210" s="110"/>
      <c r="J210" s="110"/>
      <c r="K210" s="110"/>
      <c r="L210" s="1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110"/>
      <c r="C211" s="5"/>
      <c r="D211" s="110"/>
      <c r="E211" s="110"/>
      <c r="F211" s="110"/>
      <c r="G211" s="110"/>
      <c r="H211" s="110"/>
      <c r="I211" s="110"/>
      <c r="J211" s="110"/>
      <c r="K211" s="110"/>
      <c r="L211" s="1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110"/>
      <c r="C212" s="5"/>
      <c r="D212" s="110"/>
      <c r="E212" s="110"/>
      <c r="F212" s="110"/>
      <c r="G212" s="110"/>
      <c r="H212" s="110"/>
      <c r="I212" s="110"/>
      <c r="J212" s="110"/>
      <c r="K212" s="110"/>
      <c r="L212" s="1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110"/>
      <c r="C213" s="5"/>
      <c r="D213" s="110"/>
      <c r="E213" s="110"/>
      <c r="F213" s="110"/>
      <c r="G213" s="110"/>
      <c r="H213" s="110"/>
      <c r="I213" s="110"/>
      <c r="J213" s="110"/>
      <c r="K213" s="110"/>
      <c r="L213" s="1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110"/>
      <c r="C214" s="5"/>
      <c r="D214" s="110"/>
      <c r="E214" s="110"/>
      <c r="F214" s="110"/>
      <c r="G214" s="110"/>
      <c r="H214" s="110"/>
      <c r="I214" s="110"/>
      <c r="J214" s="110"/>
      <c r="K214" s="110"/>
      <c r="L214" s="1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110"/>
      <c r="C215" s="5"/>
      <c r="D215" s="110"/>
      <c r="E215" s="110"/>
      <c r="F215" s="110"/>
      <c r="G215" s="110"/>
      <c r="H215" s="110"/>
      <c r="I215" s="110"/>
      <c r="J215" s="110"/>
      <c r="K215" s="110"/>
      <c r="L215" s="1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110"/>
      <c r="C216" s="5"/>
      <c r="D216" s="110"/>
      <c r="E216" s="110"/>
      <c r="F216" s="110"/>
      <c r="G216" s="110"/>
      <c r="H216" s="110"/>
      <c r="I216" s="110"/>
      <c r="J216" s="110"/>
      <c r="K216" s="110"/>
      <c r="L216" s="1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110"/>
      <c r="C217" s="5"/>
      <c r="D217" s="110"/>
      <c r="E217" s="110"/>
      <c r="F217" s="110"/>
      <c r="G217" s="110"/>
      <c r="H217" s="110"/>
      <c r="I217" s="110"/>
      <c r="J217" s="110"/>
      <c r="K217" s="110"/>
      <c r="L217" s="1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110"/>
      <c r="C218" s="5"/>
      <c r="D218" s="110"/>
      <c r="E218" s="110"/>
      <c r="F218" s="110"/>
      <c r="G218" s="110"/>
      <c r="H218" s="110"/>
      <c r="I218" s="110"/>
      <c r="J218" s="110"/>
      <c r="K218" s="110"/>
      <c r="L218" s="1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110"/>
      <c r="E219" s="110"/>
      <c r="F219" s="110"/>
      <c r="G219" s="110"/>
      <c r="H219" s="110"/>
      <c r="I219" s="110"/>
      <c r="J219" s="110"/>
      <c r="K219" s="110"/>
      <c r="L219" s="1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">
    <mergeCell ref="M1:R1"/>
    <mergeCell ref="D1:L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26" width="8.83203125" customWidth="1"/>
  </cols>
  <sheetData>
    <row r="1" spans="1:14" ht="15.75" customHeight="1" x14ac:dyDescent="0.2">
      <c r="A1" s="27" t="s">
        <v>288</v>
      </c>
    </row>
    <row r="2" spans="1:14" ht="15.75" customHeight="1" x14ac:dyDescent="0.2">
      <c r="A2" s="27" t="s">
        <v>289</v>
      </c>
      <c r="B2" s="27" t="s">
        <v>290</v>
      </c>
      <c r="C2" s="27" t="s">
        <v>42</v>
      </c>
      <c r="D2" s="27" t="s">
        <v>43</v>
      </c>
      <c r="E2" s="27" t="s">
        <v>44</v>
      </c>
      <c r="F2" s="27" t="s">
        <v>33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41</v>
      </c>
    </row>
    <row r="3" spans="1:14" ht="15.75" customHeight="1" x14ac:dyDescent="0.2"/>
    <row r="4" spans="1:14" ht="15.75" customHeight="1" x14ac:dyDescent="0.2"/>
    <row r="5" spans="1:14" ht="15.75" customHeight="1" x14ac:dyDescent="0.2"/>
    <row r="6" spans="1:14" ht="15.75" customHeight="1" x14ac:dyDescent="0.2"/>
    <row r="7" spans="1:14" ht="15.75" customHeight="1" x14ac:dyDescent="0.2"/>
    <row r="8" spans="1:14" ht="15.75" customHeight="1" x14ac:dyDescent="0.2"/>
    <row r="9" spans="1:14" ht="15.75" customHeight="1" x14ac:dyDescent="0.2"/>
    <row r="10" spans="1:14" ht="15.75" customHeight="1" x14ac:dyDescent="0.2"/>
    <row r="11" spans="1:14" ht="15.75" customHeight="1" x14ac:dyDescent="0.2"/>
    <row r="12" spans="1:14" ht="15.75" customHeight="1" x14ac:dyDescent="0.2"/>
    <row r="13" spans="1:14" ht="15.75" customHeight="1" x14ac:dyDescent="0.2"/>
    <row r="14" spans="1:14" ht="15.75" customHeight="1" x14ac:dyDescent="0.2"/>
    <row r="15" spans="1:14" ht="15.75" customHeight="1" x14ac:dyDescent="0.2"/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14" width="8.83203125" customWidth="1"/>
    <col min="15" max="15" width="32" customWidth="1"/>
    <col min="16" max="26" width="8.83203125" customWidth="1"/>
  </cols>
  <sheetData>
    <row r="1" spans="1:15" ht="15.75" customHeight="1" x14ac:dyDescent="0.2">
      <c r="A1" s="27" t="s">
        <v>291</v>
      </c>
    </row>
    <row r="2" spans="1:15" ht="15.75" customHeight="1" x14ac:dyDescent="0.2">
      <c r="A2" s="27" t="s">
        <v>289</v>
      </c>
      <c r="B2" s="27" t="s">
        <v>292</v>
      </c>
      <c r="C2" s="27" t="s">
        <v>42</v>
      </c>
      <c r="D2" s="27" t="s">
        <v>43</v>
      </c>
      <c r="E2" s="27" t="s">
        <v>44</v>
      </c>
      <c r="F2" s="27" t="s">
        <v>33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41</v>
      </c>
      <c r="O2" s="27" t="s">
        <v>293</v>
      </c>
    </row>
    <row r="3" spans="1:15" ht="15.75" customHeight="1" x14ac:dyDescent="0.2">
      <c r="A3" s="128">
        <v>27</v>
      </c>
      <c r="B3" s="128" t="s">
        <v>294</v>
      </c>
      <c r="I3" s="129">
        <v>394.98</v>
      </c>
      <c r="O3" s="128" t="s">
        <v>295</v>
      </c>
    </row>
    <row r="4" spans="1:15" ht="15.75" customHeight="1" x14ac:dyDescent="0.2">
      <c r="A4" s="128">
        <v>1758</v>
      </c>
      <c r="B4" s="128" t="s">
        <v>296</v>
      </c>
      <c r="H4" s="129">
        <v>14.23</v>
      </c>
      <c r="O4" s="128" t="s">
        <v>295</v>
      </c>
    </row>
    <row r="5" spans="1:15" ht="15.75" customHeight="1" x14ac:dyDescent="0.2">
      <c r="A5" s="128">
        <v>1765</v>
      </c>
      <c r="B5" s="128" t="s">
        <v>297</v>
      </c>
      <c r="H5" s="129">
        <v>54.39</v>
      </c>
      <c r="O5" s="128" t="s">
        <v>295</v>
      </c>
    </row>
    <row r="6" spans="1:15" ht="15.75" customHeight="1" x14ac:dyDescent="0.2">
      <c r="A6" s="128">
        <v>1745</v>
      </c>
      <c r="B6" s="128" t="s">
        <v>298</v>
      </c>
      <c r="H6" s="129">
        <v>19.61</v>
      </c>
      <c r="O6" s="128" t="s">
        <v>295</v>
      </c>
    </row>
    <row r="7" spans="1:15" ht="15.75" customHeight="1" x14ac:dyDescent="0.2">
      <c r="A7" s="128">
        <v>1755</v>
      </c>
      <c r="B7" s="128" t="s">
        <v>299</v>
      </c>
      <c r="H7" s="129">
        <v>19.899999999999999</v>
      </c>
      <c r="O7" s="128" t="s">
        <v>295</v>
      </c>
    </row>
    <row r="8" spans="1:15" ht="15.75" customHeight="1" x14ac:dyDescent="0.2"/>
    <row r="9" spans="1:15" ht="15.75" customHeight="1" x14ac:dyDescent="0.2"/>
    <row r="10" spans="1:15" ht="15.75" customHeight="1" x14ac:dyDescent="0.2"/>
    <row r="11" spans="1:15" ht="15.75" customHeight="1" x14ac:dyDescent="0.2"/>
    <row r="12" spans="1:15" ht="15.75" customHeight="1" x14ac:dyDescent="0.2"/>
    <row r="13" spans="1:15" ht="15.75" customHeight="1" x14ac:dyDescent="0.2"/>
    <row r="14" spans="1:15" ht="15.75" customHeight="1" x14ac:dyDescent="0.2"/>
    <row r="15" spans="1:15" ht="15.75" customHeight="1" x14ac:dyDescent="0.2"/>
    <row r="16" spans="1:1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/>
  </sheetViews>
  <sheetFormatPr baseColWidth="10" defaultColWidth="11.1640625" defaultRowHeight="15" customHeight="1" x14ac:dyDescent="0.2"/>
  <cols>
    <col min="1" max="1" width="8.83203125" customWidth="1"/>
    <col min="2" max="2" width="44" customWidth="1"/>
    <col min="3" max="3" width="8.83203125" customWidth="1"/>
    <col min="4" max="8" width="13" hidden="1" customWidth="1"/>
    <col min="9" max="26" width="8.83203125" customWidth="1"/>
  </cols>
  <sheetData>
    <row r="1" spans="1:14" ht="15.75" customHeight="1" x14ac:dyDescent="0.2">
      <c r="A1" s="27" t="s">
        <v>288</v>
      </c>
    </row>
    <row r="2" spans="1:14" ht="15.75" customHeight="1" x14ac:dyDescent="0.2">
      <c r="A2" s="27" t="s">
        <v>289</v>
      </c>
      <c r="B2" s="27" t="s">
        <v>290</v>
      </c>
      <c r="C2" s="27" t="s">
        <v>42</v>
      </c>
      <c r="D2" s="27" t="s">
        <v>43</v>
      </c>
      <c r="E2" s="27" t="s">
        <v>44</v>
      </c>
      <c r="F2" s="27" t="s">
        <v>33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41</v>
      </c>
    </row>
    <row r="3" spans="1:14" ht="15.75" customHeight="1" x14ac:dyDescent="0.2">
      <c r="A3" s="128">
        <v>648</v>
      </c>
      <c r="B3" s="128" t="s">
        <v>300</v>
      </c>
      <c r="I3" s="129">
        <v>976</v>
      </c>
    </row>
    <row r="4" spans="1:14" ht="15.75" customHeight="1" x14ac:dyDescent="0.2">
      <c r="A4" s="128">
        <v>949</v>
      </c>
      <c r="B4" s="128" t="s">
        <v>301</v>
      </c>
      <c r="I4" s="129">
        <v>1490</v>
      </c>
    </row>
    <row r="5" spans="1:14" ht="15.75" customHeight="1" x14ac:dyDescent="0.2">
      <c r="A5" s="128">
        <v>1721</v>
      </c>
      <c r="B5" s="128" t="s">
        <v>302</v>
      </c>
      <c r="I5" s="129">
        <v>507.52</v>
      </c>
    </row>
    <row r="6" spans="1:14" ht="15.75" customHeight="1" x14ac:dyDescent="0.2"/>
    <row r="7" spans="1:14" ht="15.75" customHeight="1" x14ac:dyDescent="0.2"/>
    <row r="8" spans="1:14" ht="15.75" customHeight="1" x14ac:dyDescent="0.2"/>
    <row r="9" spans="1:14" ht="15.75" customHeight="1" x14ac:dyDescent="0.2"/>
    <row r="10" spans="1:14" ht="15.75" customHeight="1" x14ac:dyDescent="0.2"/>
    <row r="11" spans="1:14" ht="15.75" customHeight="1" x14ac:dyDescent="0.2"/>
    <row r="12" spans="1:14" ht="15.75" customHeight="1" x14ac:dyDescent="0.2"/>
    <row r="13" spans="1:14" ht="15.75" customHeight="1" x14ac:dyDescent="0.2"/>
    <row r="14" spans="1:14" ht="15.75" customHeight="1" x14ac:dyDescent="0.2"/>
    <row r="15" spans="1:14" ht="15.75" customHeight="1" x14ac:dyDescent="0.2"/>
    <row r="16" spans="1:1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Controlli</vt:lpstr>
      <vt:lpstr>Piano Finanziario</vt:lpstr>
      <vt:lpstr>Salari e Stipendi</vt:lpstr>
      <vt:lpstr>Utenze</vt:lpstr>
      <vt:lpstr>Materie Prime-Consumo </vt:lpstr>
      <vt:lpstr>Tasse e Imposte</vt:lpstr>
      <vt:lpstr>Commisisoni Portali</vt:lpstr>
      <vt:lpstr>Mutui e Finaziamenti</vt:lpstr>
      <vt:lpstr>Consulenze</vt:lpstr>
      <vt:lpstr>Godimento Beni di Terzi</vt:lpstr>
      <vt:lpstr>Canoni e servizi</vt:lpstr>
      <vt:lpstr> Varie ed Eventuali</vt:lpstr>
      <vt:lpstr>DA MAPPARE</vt:lpstr>
      <vt:lpstr>ESCLUSI</vt:lpstr>
      <vt:lpstr>DA MAPPARE1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stefano della Pietra</cp:lastModifiedBy>
  <dcterms:created xsi:type="dcterms:W3CDTF">2024-09-13T09:28:39Z</dcterms:created>
  <dcterms:modified xsi:type="dcterms:W3CDTF">2026-08-12T08:26:00Z</dcterms:modified>
</cp:coreProperties>
</file>