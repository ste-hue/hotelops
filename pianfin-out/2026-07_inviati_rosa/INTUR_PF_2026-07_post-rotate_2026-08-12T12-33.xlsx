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7"/>
  <workbookPr/>
  <mc:AlternateContent xmlns:mc="http://schemas.openxmlformats.org/markup-compatibility/2006">
    <mc:Choice Requires="x15">
      <x15ac:absPath xmlns:x15ac="http://schemas.microsoft.com/office/spreadsheetml/2010/11/ac" url="/Users/stefanodellapietra/dev/Projects/hotelops/.claude/worktrees/pf-orizzonte-lungo/pianfin-out/"/>
    </mc:Choice>
  </mc:AlternateContent>
  <xr:revisionPtr revIDLastSave="0" documentId="13_ncr:1_{D5AD5613-3EB6-4143-82DC-56CF857F9936}" xr6:coauthVersionLast="47" xr6:coauthVersionMax="47" xr10:uidLastSave="{00000000-0000-0000-0000-000000000000}"/>
  <bookViews>
    <workbookView xWindow="0" yWindow="600" windowWidth="38400" windowHeight="19140" activeTab="10" xr2:uid="{00000000-000D-0000-FFFF-FFFF00000000}"/>
  </bookViews>
  <sheets>
    <sheet name="✓ Controlli" sheetId="1" r:id="rId1"/>
    <sheet name="Piano Finanziario" sheetId="2" r:id="rId2"/>
    <sheet name="Salari e Stipendi" sheetId="3" r:id="rId3"/>
    <sheet name="Utenze" sheetId="4" r:id="rId4"/>
    <sheet name="Materie Prime-Conumo " sheetId="5" r:id="rId5"/>
    <sheet name="Tasse e Imposte" sheetId="6" r:id="rId6"/>
    <sheet name="Mutui e Finaziamenti" sheetId="7" r:id="rId7"/>
    <sheet name="Consulenze" sheetId="8" r:id="rId8"/>
    <sheet name="Godimento Beni di Terzi" sheetId="9" r:id="rId9"/>
    <sheet name="Canoni e servizi" sheetId="10" r:id="rId10"/>
    <sheet name=" Varie ed Eventuali" sheetId="11" r:id="rId11"/>
    <sheet name="Nota" sheetId="12" r:id="rId12"/>
    <sheet name="DA MAPPARE" sheetId="13" r:id="rId13"/>
    <sheet name="ESCLUSI" sheetId="14" r:id="rId14"/>
    <sheet name="DA MAPPARE1" sheetId="15" r:id="rId15"/>
    <sheet name="ESCLUSI1" sheetId="16" r:id="rId16"/>
    <sheet name="DA MAPPARE2" sheetId="17" r:id="rId17"/>
    <sheet name="ESCLUSI2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1" l="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3" i="8"/>
  <c r="B35" i="1" s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3" i="7"/>
  <c r="B34" i="1" s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3" i="3"/>
  <c r="B31" i="1" s="1"/>
  <c r="C4" i="3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Y3" i="10"/>
  <c r="S22" i="2" s="1"/>
  <c r="X3" i="10"/>
  <c r="R22" i="2" s="1"/>
  <c r="W3" i="10"/>
  <c r="Q22" i="2" s="1"/>
  <c r="V3" i="10"/>
  <c r="P22" i="2" s="1"/>
  <c r="U3" i="10"/>
  <c r="O22" i="2" s="1"/>
  <c r="T3" i="10"/>
  <c r="N22" i="2" s="1"/>
  <c r="S3" i="10"/>
  <c r="M22" i="2" s="1"/>
  <c r="R3" i="10"/>
  <c r="L22" i="2" s="1"/>
  <c r="Q3" i="10"/>
  <c r="K22" i="2" s="1"/>
  <c r="P3" i="10"/>
  <c r="J22" i="2" s="1"/>
  <c r="O3" i="10"/>
  <c r="I22" i="2" s="1"/>
  <c r="N3" i="10"/>
  <c r="H22" i="2" s="1"/>
  <c r="M3" i="10"/>
  <c r="G22" i="2" s="1"/>
  <c r="L3" i="10"/>
  <c r="F22" i="2" s="1"/>
  <c r="K3" i="10"/>
  <c r="E22" i="2" s="1"/>
  <c r="J3" i="10"/>
  <c r="D22" i="2" s="1"/>
  <c r="B23" i="1" s="1" a="1"/>
  <c r="B23" i="1" s="1"/>
  <c r="I3" i="10"/>
  <c r="H3" i="10"/>
  <c r="G3" i="10"/>
  <c r="F3" i="10"/>
  <c r="E3" i="10"/>
  <c r="D3" i="10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A3" i="9"/>
  <c r="Y3" i="8"/>
  <c r="S19" i="2" s="1"/>
  <c r="X3" i="8"/>
  <c r="R19" i="2" s="1"/>
  <c r="W3" i="8"/>
  <c r="Q19" i="2" s="1"/>
  <c r="V3" i="8"/>
  <c r="P19" i="2" s="1"/>
  <c r="U3" i="8"/>
  <c r="O19" i="2" s="1"/>
  <c r="T3" i="8"/>
  <c r="N19" i="2" s="1"/>
  <c r="S3" i="8"/>
  <c r="M19" i="2" s="1"/>
  <c r="R3" i="8"/>
  <c r="L19" i="2" s="1"/>
  <c r="Q3" i="8"/>
  <c r="K19" i="2" s="1"/>
  <c r="P3" i="8"/>
  <c r="J19" i="2" s="1"/>
  <c r="O3" i="8"/>
  <c r="I19" i="2" s="1"/>
  <c r="N3" i="8"/>
  <c r="H19" i="2" s="1"/>
  <c r="M3" i="8"/>
  <c r="G19" i="2" s="1"/>
  <c r="L3" i="8"/>
  <c r="F19" i="2" s="1"/>
  <c r="K3" i="8"/>
  <c r="E19" i="2" s="1"/>
  <c r="J3" i="8"/>
  <c r="D19" i="2" s="1"/>
  <c r="B20" i="1" s="1" a="1"/>
  <c r="B20" i="1" s="1"/>
  <c r="I3" i="8"/>
  <c r="H3" i="8"/>
  <c r="G3" i="8"/>
  <c r="F3" i="8"/>
  <c r="E3" i="8"/>
  <c r="D3" i="8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Y3" i="5"/>
  <c r="S16" i="2" s="1"/>
  <c r="X3" i="5"/>
  <c r="R16" i="2" s="1"/>
  <c r="W3" i="5"/>
  <c r="Q16" i="2" s="1"/>
  <c r="V3" i="5"/>
  <c r="P16" i="2" s="1"/>
  <c r="U3" i="5"/>
  <c r="O16" i="2" s="1"/>
  <c r="T3" i="5"/>
  <c r="N16" i="2" s="1"/>
  <c r="S3" i="5"/>
  <c r="M16" i="2" s="1"/>
  <c r="R3" i="5"/>
  <c r="L16" i="2" s="1"/>
  <c r="Q3" i="5"/>
  <c r="K16" i="2" s="1"/>
  <c r="P3" i="5"/>
  <c r="J16" i="2" s="1"/>
  <c r="O3" i="5"/>
  <c r="I16" i="2" s="1"/>
  <c r="N3" i="5"/>
  <c r="H16" i="2" s="1"/>
  <c r="M3" i="5"/>
  <c r="G16" i="2" s="1"/>
  <c r="L3" i="5"/>
  <c r="F16" i="2" s="1"/>
  <c r="K3" i="5"/>
  <c r="E16" i="2" s="1"/>
  <c r="J3" i="5"/>
  <c r="D16" i="2" s="1"/>
  <c r="B17" i="1" s="1" a="1"/>
  <c r="B17" i="1" s="1"/>
  <c r="I3" i="5"/>
  <c r="H3" i="5"/>
  <c r="G3" i="5"/>
  <c r="F3" i="5"/>
  <c r="E3" i="5"/>
  <c r="D3" i="5"/>
  <c r="N4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N4" i="3"/>
  <c r="Y3" i="3"/>
  <c r="X3" i="3"/>
  <c r="W3" i="3"/>
  <c r="Q14" i="2" s="1"/>
  <c r="V3" i="3"/>
  <c r="P14" i="2" s="1"/>
  <c r="U3" i="3"/>
  <c r="O14" i="2" s="1"/>
  <c r="T3" i="3"/>
  <c r="N14" i="2" s="1"/>
  <c r="S3" i="3"/>
  <c r="M14" i="2" s="1"/>
  <c r="M27" i="2" s="1"/>
  <c r="R3" i="3"/>
  <c r="L14" i="2" s="1"/>
  <c r="L27" i="2" s="1"/>
  <c r="Q3" i="3"/>
  <c r="K14" i="2" s="1"/>
  <c r="K27" i="2" s="1"/>
  <c r="P3" i="3"/>
  <c r="J14" i="2" s="1"/>
  <c r="J27" i="2" s="1"/>
  <c r="O3" i="3"/>
  <c r="I14" i="2" s="1"/>
  <c r="I27" i="2" s="1"/>
  <c r="N3" i="3"/>
  <c r="H14" i="2" s="1"/>
  <c r="H27" i="2" s="1"/>
  <c r="M3" i="3"/>
  <c r="G14" i="2" s="1"/>
  <c r="G27" i="2" s="1"/>
  <c r="L3" i="3"/>
  <c r="F14" i="2" s="1"/>
  <c r="F27" i="2" s="1"/>
  <c r="K3" i="3"/>
  <c r="E14" i="2" s="1"/>
  <c r="E27" i="2" s="1"/>
  <c r="J3" i="3"/>
  <c r="D14" i="2" s="1"/>
  <c r="I3" i="3"/>
  <c r="H3" i="3"/>
  <c r="G3" i="3"/>
  <c r="F3" i="3"/>
  <c r="E3" i="3"/>
  <c r="D3" i="3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S35" i="2"/>
  <c r="R35" i="2"/>
  <c r="Q35" i="2"/>
  <c r="P35" i="2"/>
  <c r="N35" i="2"/>
  <c r="M35" i="2"/>
  <c r="L35" i="2"/>
  <c r="K35" i="2"/>
  <c r="J35" i="2"/>
  <c r="I35" i="2"/>
  <c r="H35" i="2"/>
  <c r="G35" i="2"/>
  <c r="F35" i="2"/>
  <c r="E35" i="2"/>
  <c r="D35" i="2"/>
  <c r="C35" i="2"/>
  <c r="O35" i="2"/>
  <c r="C23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S14" i="2"/>
  <c r="S27" i="2" s="1"/>
  <c r="R14" i="2"/>
  <c r="R27" i="2" s="1"/>
  <c r="S12" i="2"/>
  <c r="R12" i="2"/>
  <c r="Q12" i="2"/>
  <c r="P12" i="2"/>
  <c r="N12" i="2"/>
  <c r="M12" i="2"/>
  <c r="L12" i="2"/>
  <c r="L29" i="2" s="1"/>
  <c r="K12" i="2"/>
  <c r="J12" i="2"/>
  <c r="I12" i="2"/>
  <c r="H12" i="2"/>
  <c r="G12" i="2"/>
  <c r="F12" i="2"/>
  <c r="E12" i="2"/>
  <c r="D12" i="2"/>
  <c r="C12" i="2"/>
  <c r="C29" i="2" s="1"/>
  <c r="O12" i="2"/>
  <c r="B33" i="1"/>
  <c r="B32" i="1"/>
  <c r="B22" i="1" a="1"/>
  <c r="B22" i="1" s="1"/>
  <c r="B21" i="1" a="1"/>
  <c r="B21" i="1" s="1"/>
  <c r="B19" i="1" a="1"/>
  <c r="B19" i="1" s="1"/>
  <c r="B18" i="1" a="1"/>
  <c r="B18" i="1" s="1"/>
  <c r="B16" i="1" a="1"/>
  <c r="B16" i="1" s="1"/>
  <c r="S29" i="2" l="1"/>
  <c r="P27" i="2"/>
  <c r="P29" i="2" s="1"/>
  <c r="N27" i="2"/>
  <c r="N29" i="2" s="1"/>
  <c r="Q27" i="2"/>
  <c r="Q29" i="2" s="1"/>
  <c r="B7" i="1" a="1"/>
  <c r="B7" i="1" s="1"/>
  <c r="D27" i="2"/>
  <c r="D29" i="2" s="1"/>
  <c r="B15" i="1" a="1"/>
  <c r="B15" i="1" s="1"/>
  <c r="D3" i="2"/>
  <c r="C38" i="2"/>
  <c r="C46" i="2" s="1"/>
  <c r="B10" i="1"/>
  <c r="B36" i="1"/>
  <c r="O27" i="2"/>
  <c r="R29" i="2"/>
  <c r="M29" i="2"/>
  <c r="K29" i="2"/>
  <c r="J29" i="2"/>
  <c r="I29" i="2"/>
  <c r="H29" i="2"/>
  <c r="G29" i="2"/>
  <c r="F29" i="2"/>
  <c r="E29" i="2"/>
  <c r="B26" i="1" l="1"/>
  <c r="D38" i="2"/>
  <c r="B11" i="1"/>
  <c r="O29" i="2"/>
  <c r="B12" i="1" s="1"/>
  <c r="D46" i="2" l="1"/>
  <c r="E3" i="2"/>
  <c r="E38" i="2" l="1"/>
  <c r="E46" i="2" l="1"/>
  <c r="F3" i="2"/>
  <c r="F38" i="2" l="1"/>
  <c r="F46" i="2" l="1"/>
  <c r="G3" i="2"/>
  <c r="G38" i="2" l="1"/>
  <c r="G46" i="2" l="1"/>
  <c r="H3" i="2"/>
  <c r="H38" i="2" l="1"/>
  <c r="H46" i="2" l="1"/>
  <c r="I3" i="2"/>
  <c r="I38" i="2" l="1"/>
  <c r="I46" i="2" l="1"/>
  <c r="J3" i="2"/>
  <c r="J38" i="2" l="1"/>
  <c r="J46" i="2" l="1"/>
  <c r="K3" i="2"/>
  <c r="K38" i="2" l="1"/>
  <c r="K46" i="2" l="1"/>
  <c r="L3" i="2"/>
  <c r="L38" i="2" l="1"/>
  <c r="L46" i="2" l="1"/>
  <c r="M3" i="2"/>
  <c r="M38" i="2" l="1"/>
  <c r="B27" i="1" l="1" a="1"/>
  <c r="B27" i="1" s="1"/>
  <c r="M46" i="2"/>
  <c r="B28" i="1" s="1" a="1"/>
  <c r="B28" i="1" s="1"/>
  <c r="N3" i="2"/>
  <c r="N38" i="2" l="1"/>
  <c r="N46" i="2" l="1"/>
  <c r="O3" i="2"/>
  <c r="O38" i="2" l="1"/>
  <c r="O46" i="2" l="1"/>
  <c r="P3" i="2"/>
  <c r="P38" i="2" l="1"/>
  <c r="P46" i="2" l="1"/>
  <c r="B6" i="1" s="1" a="1"/>
  <c r="B6" i="1" s="1"/>
  <c r="B39" i="1" s="1"/>
  <c r="Q3" i="2"/>
  <c r="Q38" i="2" s="1"/>
  <c r="Q46" i="2" l="1"/>
  <c r="R3" i="2"/>
  <c r="R38" i="2" s="1"/>
  <c r="R46" i="2" l="1"/>
  <c r="S3" i="2"/>
  <c r="S38" i="2" s="1"/>
  <c r="S4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0" authorId="0" shapeId="0" xr:uid="{00000000-0006-0000-0100-000001000000}">
      <text>
        <r>
          <rPr>
            <sz val="12"/>
            <color theme="1"/>
            <rFont val="Aptos Narrow"/>
            <scheme val="minor"/>
          </rPr>
          <t>======
ID#AAAB-Ph7kRI
Antonio Russo    (2024-10-07 08:39:38)
Hotel+Residence+CVM</t>
        </r>
      </text>
    </comment>
    <comment ref="A18" authorId="0" shapeId="0" xr:uid="{00000000-0006-0000-0100-000002000000}">
      <text>
        <r>
          <rPr>
            <sz val="12"/>
            <color theme="1"/>
            <rFont val="Aptos Narrow"/>
            <scheme val="minor"/>
          </rPr>
          <t>======
ID#AAAB-Ph7kRM
Antonio Russo    (2024-09-20 08:26:48)
Corretto</t>
        </r>
      </text>
    </comment>
    <comment ref="C31" authorId="0" shapeId="0" xr:uid="{00000000-0006-0000-0100-000003000000}">
      <text>
        <r>
          <rPr>
            <sz val="12"/>
            <color theme="1"/>
            <rFont val="Aptos Narrow"/>
            <scheme val="minor"/>
          </rPr>
          <t>======
ID#AAAB-PVxQyI
Amministrazione    (2026-01-04 08:30:13)
Saldi al 31/03/2026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5" authorId="0" shapeId="0" xr:uid="{00000000-0006-0000-0200-000001000000}">
      <text>
        <r>
          <rPr>
            <sz val="12"/>
            <color theme="1"/>
            <rFont val="Aptos Narrow"/>
            <scheme val="minor"/>
          </rPr>
          <t>======
ID#AAAB-PVxQyM
Antonio Russo    (2025-10-08 07:18:45)
in attesa F24 da consulente
------
ID#AAAB-PVxQyQ
Amministrazione    (2025-10-15 06:13:43)
Avuto F24 il 15/10 (la nostra stima era di 4.000)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4" authorId="0" shapeId="0" xr:uid="{00000000-0006-0000-0300-000001000000}">
      <text>
        <r>
          <rPr>
            <sz val="12"/>
            <color theme="1"/>
            <rFont val="Aptos Narrow"/>
            <scheme val="minor"/>
          </rPr>
          <t>======
ID#AAAB-PVxQyA
Antonio Russo    (2025-10-08 07:46:04)
Comp. Agosto</t>
        </r>
      </text>
    </comment>
    <comment ref="E6" authorId="0" shapeId="0" xr:uid="{00000000-0006-0000-0300-000002000000}">
      <text>
        <r>
          <rPr>
            <sz val="12"/>
            <color theme="1"/>
            <rFont val="Aptos Narrow"/>
            <scheme val="minor"/>
          </rPr>
          <t>======
ID#AAAB-PVxQyE
Antonio Russo    (2025-10-08 07:41:31)
Comp. Luglio/Agosto (su fatt)</t>
        </r>
      </text>
    </comment>
    <comment ref="G6" authorId="0" shapeId="0" xr:uid="{00000000-0006-0000-0300-000003000000}">
      <text>
        <r>
          <rPr>
            <sz val="12"/>
            <color theme="1"/>
            <rFont val="Aptos Narrow"/>
            <scheme val="minor"/>
          </rPr>
          <t>Fattura conguaglio del 11.11.2025 n. 3 rate di € 7.891,75
======</t>
        </r>
      </text>
    </comment>
  </commentList>
</comments>
</file>

<file path=xl/sharedStrings.xml><?xml version="1.0" encoding="utf-8"?>
<sst xmlns="http://schemas.openxmlformats.org/spreadsheetml/2006/main" count="517" uniqueCount="190">
  <si>
    <t>🔍 AUDIT PIANO FINANZIARIO INTUR</t>
  </si>
  <si>
    <t>Controlli live — per il mese dopo: aggiorna saldi banche e cancella i mesi passati dai fogli dettaglio</t>
  </si>
  <si>
    <t>#</t>
  </si>
  <si>
    <t>ESITO</t>
  </si>
  <si>
    <t>CONTROLLO</t>
  </si>
  <si>
    <t>ERRORI</t>
  </si>
  <si>
    <t>Zero errori nel Piano Finanziario</t>
  </si>
  <si>
    <t>Zero errori in tutti i fogli dettaglio</t>
  </si>
  <si>
    <t>ENTRATE</t>
  </si>
  <si>
    <t>Totale Entrate = somma mesi</t>
  </si>
  <si>
    <t>Totale Uscite = somma dettaglio</t>
  </si>
  <si>
    <t>Cash Flow = Entrate - Uscite</t>
  </si>
  <si>
    <t>LINK FOGLI</t>
  </si>
  <si>
    <t>Salari e Stipendi: Piano = foglio</t>
  </si>
  <si>
    <t>Utenze: Piano = foglio</t>
  </si>
  <si>
    <t>Materie Prime: Piano = foglio</t>
  </si>
  <si>
    <t>Tasse e Imposte: Piano = foglio</t>
  </si>
  <si>
    <t>Mutui e Finanziamenti: Piano = foglio</t>
  </si>
  <si>
    <t>Consulenze: Piano = foglio</t>
  </si>
  <si>
    <t>Godimento Beni di Terzi: Piano = foglio</t>
  </si>
  <si>
    <t>Varie ed Eventuali: Piano = foglio</t>
  </si>
  <si>
    <t>Canoni e servizi: Piano = foglio</t>
  </si>
  <si>
    <t>SALDI</t>
  </si>
  <si>
    <t>Saldo iniziale = Totale Banche</t>
  </si>
  <si>
    <t>Saldo Periodo = Prec + CF + Banche (ogni mese)</t>
  </si>
  <si>
    <t>CF con Affidamenti = Saldo + Affidamenti</t>
  </si>
  <si>
    <t>FOGLI INTERNI</t>
  </si>
  <si>
    <t>Salari: totale = somma mesi</t>
  </si>
  <si>
    <t>Utenze: totale = somma mesi</t>
  </si>
  <si>
    <t>Tasse: totale = somma mesi</t>
  </si>
  <si>
    <t>Mutui: totale = somma mesi</t>
  </si>
  <si>
    <t>Consulenze: totale = somma mesi</t>
  </si>
  <si>
    <t>Varie + Canoni + Godimento + Mat.Prime: totale = somma</t>
  </si>
  <si>
    <t>══════════════════════════════</t>
  </si>
  <si>
    <t>INTUR</t>
  </si>
  <si>
    <t>DATA RILEVAZ</t>
  </si>
  <si>
    <t>30/06/2026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</si>
  <si>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</si>
  <si>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</si>
  <si>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</si>
  <si>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</si>
  <si>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</si>
  <si>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</si>
  <si>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</si>
  <si>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</si>
  <si>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</si>
  <si>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</si>
  <si>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GENNAIO</t>
  </si>
  <si>
    <t>FEBBRAIO</t>
  </si>
  <si>
    <t>SALDO MESE PRECED.</t>
  </si>
  <si>
    <t xml:space="preserve">Fitto Hotel </t>
  </si>
  <si>
    <t>Fitto AR</t>
  </si>
  <si>
    <t>Entrate Residence</t>
  </si>
  <si>
    <t>Ribaltamento Costi a Orti</t>
  </si>
  <si>
    <t>Entrate Farmacia</t>
  </si>
  <si>
    <t>Entrate Spiaggia</t>
  </si>
  <si>
    <t>TOTALE ENTRATE</t>
  </si>
  <si>
    <t>Salari e Stipendi</t>
  </si>
  <si>
    <t>Utenze</t>
  </si>
  <si>
    <t>Materie Prime/Consumo</t>
  </si>
  <si>
    <t>Tasse e Imposte</t>
  </si>
  <si>
    <t>Mutui e Finaziamenti</t>
  </si>
  <si>
    <t>Consulenze</t>
  </si>
  <si>
    <t>Godimento Benidi Terzi</t>
  </si>
  <si>
    <t>Varie ed Eventuali</t>
  </si>
  <si>
    <t>Canoni e servizi</t>
  </si>
  <si>
    <t>Caparre da girocantare aOrti</t>
  </si>
  <si>
    <t xml:space="preserve">TOTALE USCITE </t>
  </si>
  <si>
    <t>CASH FLOW</t>
  </si>
  <si>
    <t>Saldo Banca Sella</t>
  </si>
  <si>
    <t>Saldo MPS</t>
  </si>
  <si>
    <t>Saldo Intesa</t>
  </si>
  <si>
    <t xml:space="preserve">TOTALE BANCHE </t>
  </si>
  <si>
    <t xml:space="preserve">Saldo di Periodo/Proiettato </t>
  </si>
  <si>
    <t xml:space="preserve">Affidamento Sella </t>
  </si>
  <si>
    <t xml:space="preserve">TOTALE AFFIDAMENTI  </t>
  </si>
  <si>
    <t>CASH FLOW CON AFFID.</t>
  </si>
  <si>
    <t>Salari</t>
  </si>
  <si>
    <t xml:space="preserve">F24 </t>
  </si>
  <si>
    <t>RID</t>
  </si>
  <si>
    <t>Energia elettrica</t>
  </si>
  <si>
    <t>Gas</t>
  </si>
  <si>
    <t>Ausino - rateizzo</t>
  </si>
  <si>
    <t>Vodafone (da ribaltare)</t>
  </si>
  <si>
    <t>FASTWEB SPA</t>
  </si>
  <si>
    <t>4G ENERGIA SRL</t>
  </si>
  <si>
    <t xml:space="preserve">Materie Prime e Consumo </t>
  </si>
  <si>
    <t>B&amp;G Di Palo</t>
  </si>
  <si>
    <t>BABBI SRL</t>
  </si>
  <si>
    <t>J.F. Amonn</t>
  </si>
  <si>
    <t>CoIrEs SRL</t>
  </si>
  <si>
    <t>Creative Idea Snc</t>
  </si>
  <si>
    <t>De Riso</t>
  </si>
  <si>
    <t>EURO GROUP NETWORK S.R.L.</t>
  </si>
  <si>
    <t>Foraggio Srl</t>
  </si>
  <si>
    <t>IDRO-TOP SRL</t>
  </si>
  <si>
    <t>INDEL B</t>
  </si>
  <si>
    <t>Locali d'autore</t>
  </si>
  <si>
    <t>Mediterraneo</t>
  </si>
  <si>
    <t>Ninni</t>
  </si>
  <si>
    <t>Oceano Distribuzione</t>
  </si>
  <si>
    <t>Pasticceria Trieste</t>
  </si>
  <si>
    <t>Rastrelli Antonia</t>
  </si>
  <si>
    <t>Panorama Company Srl</t>
  </si>
  <si>
    <t>Paravia</t>
  </si>
  <si>
    <t>Primavera Servizi Srl</t>
  </si>
  <si>
    <t>Giardiniello</t>
  </si>
  <si>
    <t>Tecno Campania</t>
  </si>
  <si>
    <t>Vulaj (Ceramica)</t>
  </si>
  <si>
    <t>IMU</t>
  </si>
  <si>
    <t>I ACCONTO IMPOSTE</t>
  </si>
  <si>
    <t>TARI</t>
  </si>
  <si>
    <t>IVA</t>
  </si>
  <si>
    <t>IRES</t>
  </si>
  <si>
    <t>IRAP</t>
  </si>
  <si>
    <t xml:space="preserve">AFFRANCAMENTO </t>
  </si>
  <si>
    <t>ARRETRATO IMPOSTE</t>
  </si>
  <si>
    <t>ARRETRATO IMU</t>
  </si>
  <si>
    <t>Ritenute professionisti (1040)</t>
  </si>
  <si>
    <t>Mutui e Finanaziamenti</t>
  </si>
  <si>
    <t>Mutuo Banca Intesa</t>
  </si>
  <si>
    <t>Finanziamento Sella</t>
  </si>
  <si>
    <t>Finanziamento MPS 75K</t>
  </si>
  <si>
    <t>Finanziamento MPS 1200K</t>
  </si>
  <si>
    <t>Consulenza del lavoro</t>
  </si>
  <si>
    <t>Consulenza fiscale</t>
  </si>
  <si>
    <t>Consulenza legale</t>
  </si>
  <si>
    <t xml:space="preserve">Prev. Consulenze Legali </t>
  </si>
  <si>
    <t xml:space="preserve">ALDEN </t>
  </si>
  <si>
    <t>Revisore - Punzi</t>
  </si>
  <si>
    <t>Cons. Marketing - Travaglini Armando</t>
  </si>
  <si>
    <t>DG NETWORK</t>
  </si>
  <si>
    <t>Geologo Antonio Apicella</t>
  </si>
  <si>
    <t>CAFARELLI MASSIMILIANO</t>
  </si>
  <si>
    <t>CSW Engineering s.r.l</t>
  </si>
  <si>
    <t>Giordano Associati S.r.l Socio Unico</t>
  </si>
  <si>
    <t>Godimento Beni di Terzi</t>
  </si>
  <si>
    <t>2024 - Arretrati Residence 3x€4.800</t>
  </si>
  <si>
    <t>2025 - Arretrati Residence 4x€4.800</t>
  </si>
  <si>
    <t>Pin App</t>
  </si>
  <si>
    <t>Spiagge</t>
  </si>
  <si>
    <t>Spese Bancarie</t>
  </si>
  <si>
    <t>Banca sella - canone e-commerce RID</t>
  </si>
  <si>
    <t>Oliva Coperture</t>
  </si>
  <si>
    <t>Altamira Srl</t>
  </si>
  <si>
    <t>Aruba S.p.A.</t>
  </si>
  <si>
    <t>SOFTWARE STUDIO S.R.L.</t>
  </si>
  <si>
    <t>Amalfi Web</t>
  </si>
  <si>
    <t>Commissioni Pos</t>
  </si>
  <si>
    <t>TOPWHITE DI DANIELE RAVELLI</t>
  </si>
  <si>
    <t>Variee ed Eventuali</t>
  </si>
  <si>
    <t>B &amp; T SpA</t>
  </si>
  <si>
    <t>Ce.Di.S. srl</t>
  </si>
  <si>
    <t>CERAMICA D'ARTE SICIGNANO SRL</t>
  </si>
  <si>
    <t>Domus Tappezzeria D'Arredo S.R.L.</t>
  </si>
  <si>
    <t>LAUDATO GRU DI LAUDATO FRANCESCO</t>
  </si>
  <si>
    <t>LEONE S.R.L.</t>
  </si>
  <si>
    <t>MIELE GIUSEPPE E FIGLI SPA</t>
  </si>
  <si>
    <t>OMBRELLONI LETTINI ITALIA S.R.L.</t>
  </si>
  <si>
    <t>PARAVIA ELEVATORS SRL</t>
  </si>
  <si>
    <t>SALA GIANPIERO</t>
  </si>
  <si>
    <t>Santelia Luigi</t>
  </si>
  <si>
    <t>VDA GROUP S.p.A. a socio unico</t>
  </si>
  <si>
    <t>Indel B Spa</t>
  </si>
  <si>
    <t>O.V.I.T. SRL</t>
  </si>
  <si>
    <t>ORIL SRL</t>
  </si>
  <si>
    <t xml:space="preserve">Debiti non inseriti nel piano </t>
  </si>
  <si>
    <t>Fornitore</t>
  </si>
  <si>
    <t xml:space="preserve">Importo </t>
  </si>
  <si>
    <t>SDP</t>
  </si>
  <si>
    <t>Panorama Company</t>
  </si>
  <si>
    <t>Fornitori NON mappati in d_fornitori.csv — assegnare una voce (hotelops fornitori) e rigenerare</t>
  </si>
  <si>
    <t>Cod</t>
  </si>
  <si>
    <t>Nome (da export)</t>
  </si>
  <si>
    <t>Fornitori ESCLUSI dalla cassa per scelta (is_excluded) — fuori dal saldo proiettato. NON sono un TODO: il motivo è in colonna Motivo.</t>
  </si>
  <si>
    <t>Nome (da CSV)</t>
  </si>
  <si>
    <t>Motivo</t>
  </si>
  <si>
    <t>una_tantum</t>
  </si>
  <si>
    <t>MEDITERRANEO SNC DI TRAMONTANO</t>
  </si>
  <si>
    <t>PANORAMA COMPANY S.R.L.</t>
  </si>
  <si>
    <t>intercompany</t>
  </si>
  <si>
    <t>RAIA LIBERATO</t>
  </si>
  <si>
    <t>RISTORANTE GIARDINIELLO SRL</t>
  </si>
  <si>
    <t>TECNO CAMPANIA SRL</t>
  </si>
  <si>
    <t>2A SYSTEMS SRL</t>
  </si>
  <si>
    <t>Barbella Srl</t>
  </si>
  <si>
    <t>FUEL STATION SRL</t>
  </si>
  <si>
    <t>HYGIEN TECH S.R.L.</t>
  </si>
  <si>
    <t>Intesa Sanpaolo S.p.a</t>
  </si>
  <si>
    <t>NEXI PAYMENTS S.p.A.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</si>
</sst>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_-[$€-2]\ * #,##0.00_-;\-[$€-2]\ * #,##0.00_-;_-[$€-2]\ * &quot;-&quot;??_-;_-@"/>
    <numFmt numFmtId="166" formatCode="[$€-2]\ #,##0.00"/>
  </numFmts>
  <fonts count="28">
    <font>
      <sz val="12"/>
      <color theme="1"/>
      <name val="Aptos Narrow"/>
      <scheme val="minor"/>
    </font>
    <font>
      <b/>
      <sz val="14"/>
      <color rgb="FF1A1A2E"/>
      <name val="Aptos Narrow"/>
    </font>
    <font>
      <sz val="12"/>
      <color theme="1"/>
      <name val="Aptos Narrow"/>
    </font>
    <font>
      <i/>
      <sz val="9"/>
      <color rgb="FF888888"/>
      <name val="Aptos Narrow"/>
    </font>
    <font>
      <b/>
      <sz val="9"/>
      <color rgb="FFFFFFFF"/>
      <name val="Aptos Narrow"/>
    </font>
    <font>
      <b/>
      <sz val="9"/>
      <color rgb="FFC0392B"/>
      <name val="Aptos Narrow"/>
    </font>
    <font>
      <sz val="9"/>
      <color theme="1"/>
      <name val="Aptos Narrow"/>
    </font>
    <font>
      <b/>
      <sz val="9"/>
      <color theme="1"/>
      <name val="Aptos Narrow"/>
    </font>
    <font>
      <b/>
      <sz val="9"/>
      <color rgb="FF2980B9"/>
      <name val="Aptos Narrow"/>
    </font>
    <font>
      <sz val="12"/>
      <color rgb="FFCCCCCC"/>
      <name val="Aptos Narrow"/>
    </font>
    <font>
      <b/>
      <sz val="13"/>
      <color theme="1"/>
      <name val="Aptos Narrow"/>
    </font>
    <font>
      <b/>
      <sz val="27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ptos Narrow"/>
    </font>
    <font>
      <u/>
      <sz val="12"/>
      <color theme="1"/>
      <name val="Arial"/>
      <family val="2"/>
    </font>
    <font>
      <u/>
      <sz val="12"/>
      <color theme="1"/>
      <name val="Aptos Narrow"/>
    </font>
    <font>
      <sz val="12"/>
      <color rgb="FFFF0000"/>
      <name val="Aptos Narrow"/>
    </font>
    <font>
      <u/>
      <sz val="12"/>
      <color theme="1"/>
      <name val="Aptos Narrow"/>
    </font>
    <font>
      <b/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1"/>
      <name val="Aptos Narrow"/>
    </font>
    <font>
      <b/>
      <u/>
      <sz val="12"/>
      <color theme="1"/>
      <name val="Aptos Narrow"/>
    </font>
    <font>
      <sz val="12"/>
      <color theme="1"/>
      <name val="Aptos Narrow"/>
      <scheme val="minor"/>
    </font>
    <font>
      <b/>
      <sz val="12"/>
      <name val="Aptos Narrow"/>
    </font>
    <font>
      <b/>
      <sz val="14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4" fillId="0" borderId="0" xfId="0" applyFont="1"/>
    <xf numFmtId="165" fontId="2" fillId="0" borderId="0" xfId="0" applyNumberFormat="1" applyFont="1"/>
    <xf numFmtId="0" fontId="15" fillId="5" borderId="1" xfId="0" applyFont="1" applyFill="1" applyBorder="1"/>
    <xf numFmtId="0" fontId="2" fillId="5" borderId="1" xfId="0" applyFont="1" applyFill="1" applyBorder="1"/>
    <xf numFmtId="165" fontId="15" fillId="5" borderId="1" xfId="0" applyNumberFormat="1" applyFont="1" applyFill="1" applyBorder="1"/>
    <xf numFmtId="165" fontId="15" fillId="5" borderId="3" xfId="0" applyNumberFormat="1" applyFont="1" applyFill="1" applyBorder="1"/>
    <xf numFmtId="0" fontId="15" fillId="0" borderId="0" xfId="0" applyFont="1"/>
    <xf numFmtId="165" fontId="15" fillId="0" borderId="4" xfId="0" applyNumberFormat="1" applyFont="1" applyBorder="1"/>
    <xf numFmtId="165" fontId="2" fillId="0" borderId="4" xfId="0" applyNumberFormat="1" applyFont="1" applyBorder="1"/>
    <xf numFmtId="165" fontId="16" fillId="6" borderId="5" xfId="0" applyNumberFormat="1" applyFont="1" applyFill="1" applyBorder="1"/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3" borderId="1" xfId="0" applyFont="1" applyFill="1" applyBorder="1" applyAlignment="1">
      <alignment horizontal="left"/>
    </xf>
    <xf numFmtId="165" fontId="15" fillId="3" borderId="4" xfId="0" applyNumberFormat="1" applyFont="1" applyFill="1" applyBorder="1"/>
    <xf numFmtId="0" fontId="19" fillId="0" borderId="0" xfId="0" applyFont="1"/>
    <xf numFmtId="165" fontId="19" fillId="0" borderId="4" xfId="0" applyNumberFormat="1" applyFont="1" applyBorder="1"/>
    <xf numFmtId="0" fontId="12" fillId="0" borderId="0" xfId="0" applyFont="1"/>
    <xf numFmtId="0" fontId="13" fillId="0" borderId="0" xfId="0" applyFont="1"/>
    <xf numFmtId="165" fontId="13" fillId="0" borderId="6" xfId="0" applyNumberFormat="1" applyFont="1" applyBorder="1"/>
    <xf numFmtId="165" fontId="20" fillId="7" borderId="7" xfId="0" applyNumberFormat="1" applyFont="1" applyFill="1" applyBorder="1"/>
    <xf numFmtId="165" fontId="2" fillId="7" borderId="7" xfId="0" applyNumberFormat="1" applyFont="1" applyFill="1" applyBorder="1"/>
    <xf numFmtId="165" fontId="21" fillId="0" borderId="8" xfId="0" applyNumberFormat="1" applyFont="1" applyBorder="1"/>
    <xf numFmtId="165" fontId="13" fillId="0" borderId="8" xfId="0" applyNumberFormat="1" applyFont="1" applyBorder="1"/>
    <xf numFmtId="165" fontId="15" fillId="0" borderId="4" xfId="0" applyNumberFormat="1" applyFont="1" applyBorder="1" applyAlignment="1">
      <alignment horizontal="right"/>
    </xf>
    <xf numFmtId="165" fontId="15" fillId="0" borderId="6" xfId="0" applyNumberFormat="1" applyFont="1" applyBorder="1"/>
    <xf numFmtId="165" fontId="2" fillId="0" borderId="6" xfId="0" applyNumberFormat="1" applyFont="1" applyBorder="1"/>
    <xf numFmtId="165" fontId="22" fillId="8" borderId="7" xfId="0" applyNumberFormat="1" applyFont="1" applyFill="1" applyBorder="1"/>
    <xf numFmtId="165" fontId="13" fillId="8" borderId="7" xfId="0" applyNumberFormat="1" applyFont="1" applyFill="1" applyBorder="1"/>
    <xf numFmtId="165" fontId="12" fillId="0" borderId="8" xfId="0" applyNumberFormat="1" applyFont="1" applyBorder="1"/>
    <xf numFmtId="165" fontId="23" fillId="0" borderId="8" xfId="0" applyNumberFormat="1" applyFont="1" applyBorder="1"/>
    <xf numFmtId="165" fontId="24" fillId="9" borderId="7" xfId="0" applyNumberFormat="1" applyFont="1" applyFill="1" applyBorder="1"/>
    <xf numFmtId="165" fontId="2" fillId="9" borderId="7" xfId="0" applyNumberFormat="1" applyFont="1" applyFill="1" applyBorder="1"/>
    <xf numFmtId="0" fontId="13" fillId="0" borderId="0" xfId="0" applyFont="1" applyAlignment="1">
      <alignment horizontal="center"/>
    </xf>
    <xf numFmtId="165" fontId="13" fillId="0" borderId="2" xfId="0" applyNumberFormat="1" applyFont="1" applyBorder="1"/>
    <xf numFmtId="165" fontId="15" fillId="0" borderId="9" xfId="0" applyNumberFormat="1" applyFont="1" applyBorder="1"/>
    <xf numFmtId="165" fontId="2" fillId="0" borderId="9" xfId="0" applyNumberFormat="1" applyFont="1" applyBorder="1"/>
    <xf numFmtId="166" fontId="2" fillId="0" borderId="0" xfId="0" applyNumberFormat="1" applyFont="1" applyAlignment="1">
      <alignment horizontal="center"/>
    </xf>
    <xf numFmtId="166" fontId="13" fillId="0" borderId="0" xfId="0" applyNumberFormat="1" applyFont="1"/>
    <xf numFmtId="166" fontId="2" fillId="0" borderId="0" xfId="0" applyNumberFormat="1" applyFont="1"/>
    <xf numFmtId="165" fontId="15" fillId="0" borderId="9" xfId="0" applyNumberFormat="1" applyFont="1" applyBorder="1" applyAlignment="1">
      <alignment horizontal="right"/>
    </xf>
    <xf numFmtId="166" fontId="15" fillId="0" borderId="0" xfId="0" applyNumberFormat="1" applyFont="1"/>
    <xf numFmtId="165" fontId="2" fillId="11" borderId="10" xfId="0" applyNumberFormat="1" applyFont="1" applyFill="1" applyBorder="1"/>
    <xf numFmtId="165" fontId="15" fillId="11" borderId="10" xfId="0" applyNumberFormat="1" applyFont="1" applyFill="1" applyBorder="1"/>
    <xf numFmtId="165" fontId="15" fillId="11" borderId="4" xfId="0" applyNumberFormat="1" applyFont="1" applyFill="1" applyBorder="1"/>
    <xf numFmtId="165" fontId="2" fillId="11" borderId="4" xfId="0" applyNumberFormat="1" applyFont="1" applyFill="1" applyBorder="1"/>
    <xf numFmtId="166" fontId="15" fillId="0" borderId="0" xfId="0" applyNumberFormat="1" applyFont="1" applyAlignment="1">
      <alignment horizontal="center"/>
    </xf>
    <xf numFmtId="0" fontId="12" fillId="3" borderId="1" xfId="0" applyFont="1" applyFill="1" applyBorder="1"/>
    <xf numFmtId="165" fontId="15" fillId="3" borderId="4" xfId="0" applyNumberFormat="1" applyFont="1" applyFill="1" applyBorder="1" applyAlignment="1">
      <alignment horizontal="right"/>
    </xf>
    <xf numFmtId="0" fontId="25" fillId="0" borderId="0" xfId="0" applyFont="1"/>
    <xf numFmtId="4" fontId="2" fillId="0" borderId="0" xfId="0" applyNumberFormat="1" applyFont="1"/>
    <xf numFmtId="0" fontId="26" fillId="0" borderId="0" xfId="0" applyFont="1"/>
    <xf numFmtId="4" fontId="0" fillId="0" borderId="0" xfId="0" applyNumberFormat="1"/>
    <xf numFmtId="0" fontId="1" fillId="0" borderId="0" xfId="0" applyFont="1"/>
    <xf numFmtId="0" fontId="0" fillId="0" borderId="0" xfId="0"/>
    <xf numFmtId="0" fontId="3" fillId="0" borderId="0" xfId="0" applyFont="1"/>
    <xf numFmtId="0" fontId="10" fillId="0" borderId="0" xfId="0" applyFont="1"/>
    <xf numFmtId="0" fontId="11" fillId="3" borderId="1" xfId="0" applyFont="1" applyFill="1" applyBorder="1" applyAlignment="1">
      <alignment horizontal="center"/>
    </xf>
    <xf numFmtId="0" fontId="15" fillId="0" borderId="0" xfId="0" applyFont="1"/>
    <xf numFmtId="0" fontId="27" fillId="12" borderId="12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27" fillId="12" borderId="11" xfId="0" applyFont="1" applyFill="1" applyBorder="1" applyAlignment="1">
      <alignment horizontal="center" vertical="center"/>
    </xf>
    <xf numFmtId="0" fontId="27" fillId="12" borderId="14" xfId="0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center"/>
    </xf>
    <xf numFmtId="0" fontId="12" fillId="13" borderId="12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12" fillId="14" borderId="11" xfId="0" applyFont="1" applyFill="1" applyBorder="1" applyAlignment="1">
      <alignment horizontal="center"/>
    </xf>
    <xf numFmtId="0" fontId="12" fillId="14" borderId="12" xfId="0" applyFont="1" applyFill="1" applyBorder="1" applyAlignment="1">
      <alignment horizontal="center"/>
    </xf>
    <xf numFmtId="0" fontId="13" fillId="15" borderId="11" xfId="0" applyFont="1" applyFill="1" applyBorder="1" applyAlignment="1">
      <alignment horizontal="center"/>
    </xf>
    <xf numFmtId="0" fontId="13" fillId="15" borderId="12" xfId="0" applyFont="1" applyFill="1" applyBorder="1" applyAlignment="1">
      <alignment horizontal="center"/>
    </xf>
    <xf numFmtId="0" fontId="13" fillId="15" borderId="14" xfId="0" applyFont="1" applyFill="1" applyBorder="1" applyAlignment="1">
      <alignment horizontal="center"/>
    </xf>
    <xf numFmtId="0" fontId="12" fillId="15" borderId="13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CCEFBB-3F54-4146-8571-45BCB3334C1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63de84f-7b08-454f-b228-5668e73f40d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1.1640625" defaultRowHeight="15" customHeight="1"/>
  <cols>
    <col min="1" max="1" width="4.5" customWidth="1"/>
    <col min="2" max="2" width="9" customWidth="1"/>
    <col min="3" max="3" width="38.83203125" customWidth="1"/>
    <col min="4" max="4" width="20.6640625" customWidth="1"/>
    <col min="5" max="5" width="11.6640625" customWidth="1"/>
    <col min="6" max="6" width="8.1640625" customWidth="1"/>
    <col min="7" max="26" width="8.83203125" customWidth="1"/>
  </cols>
  <sheetData>
    <row r="1" spans="1:26" ht="15.75" customHeight="1">
      <c r="A1" s="67" t="s">
        <v>0</v>
      </c>
      <c r="B1" s="68"/>
      <c r="C1" s="6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69" t="s">
        <v>1</v>
      </c>
      <c r="B2" s="68"/>
      <c r="C2" s="6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2" t="s">
        <v>2</v>
      </c>
      <c r="B4" s="2" t="s">
        <v>3</v>
      </c>
      <c r="C4" s="3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4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5">
        <v>1</v>
      </c>
      <c r="B6" s="6" t="str">
        <f t="array" ref="B6">IF(SUMPRODUCT(ISERROR('Piano Finanziario'!C3:P46)*1)=0,"OK","ERRORE")</f>
        <v>OK</v>
      </c>
      <c r="C6" s="7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5">
        <v>2</v>
      </c>
      <c r="B7" s="6" t="str">
        <f t="array" ref="B7">IF(SUMPRODUCT(ISERROR('Salari e Stipendi'!C3:S5)*1)+SUMPRODUCT(ISERROR(Utenze!C3:S61)*1)+SUMPRODUCT(ISERROR('Materie Prime-Conumo '!C3:S29)*1)+SUMPRODUCT(ISERROR('Tasse e Imposte'!C3:S59)*1)+SUMPRODUCT(ISERROR('Mutui e Finaziamenti'!C3:S62)*1)+SUMPRODUCT(ISERROR(Consulenze!C3:S62)*1)+SUMPRODUCT(ISERROR('Godimento Beni di Terzi'!C3:S62)*1)+SUMPRODUCT(ISERROR(' Varie ed Eventuali'!C3:S5)*1)+SUMPRODUCT(ISERROR('Canoni e servizi'!C3:S61)*1)=0,"OK","ERRORE")</f>
        <v>OK</v>
      </c>
      <c r="C7" s="7" t="s">
        <v>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9" t="s">
        <v>8</v>
      </c>
      <c r="B9" s="1"/>
      <c r="C9" s="8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5">
        <v>3</v>
      </c>
      <c r="B10" s="6" t="str">
        <f>IF(ABS('Piano Finanziario'!O12-SUM('Piano Finanziario'!D12:M12))&lt;0.01,"OK","ERRORE")</f>
        <v>ERRORE</v>
      </c>
      <c r="C10" s="7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5">
        <v>4</v>
      </c>
      <c r="B11" s="6" t="str">
        <f>IF(ABS('Piano Finanziario'!O27-SUM('Piano Finanziario'!C14:M26))&lt;0.01,"OK","ERRORE")</f>
        <v>ERRORE</v>
      </c>
      <c r="C11" s="7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5">
        <v>5</v>
      </c>
      <c r="B12" s="6" t="str">
        <f>IF(ABS('Piano Finanziario'!O29-('Piano Finanziario'!O12-'Piano Finanziario'!O27))&lt;0.01,"OK","ERRORE")</f>
        <v>OK</v>
      </c>
      <c r="C12" s="7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9" t="s">
        <v>12</v>
      </c>
      <c r="B14" s="1"/>
      <c r="C14" s="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5">
        <v>6</v>
      </c>
      <c r="B15" s="6" t="str">
        <f t="array" ref="B15">IF(ABS(SUM('Piano Finanziario'!D14:M14)-SUMPRODUCT(('Salari e Stipendi'!D3:S3)*(COLUMN('Salari e Stipendi'!D3:S3)&gt;=MATCH('Piano Finanziario'!D2,'Salari e Stipendi'!D2:S2,0)+3)))&lt;0.01,"OK","ERRORE")</f>
        <v>OK</v>
      </c>
      <c r="C15" s="7" t="s">
        <v>13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5">
        <v>7</v>
      </c>
      <c r="B16" s="6" t="str">
        <f t="array" ref="B16">IF(ABS(SUM('Piano Finanziario'!D15:M15)-SUMPRODUCT((Utenze!D3:S3)*(COLUMN(Utenze!D3:S3)&gt;=MATCH('Piano Finanziario'!D2,Utenze!D2:S2,0)+3)))&lt;0.01,"OK","ERRORE")</f>
        <v>OK</v>
      </c>
      <c r="C16" s="7" t="s">
        <v>14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5">
        <v>8</v>
      </c>
      <c r="B17" s="6" t="str">
        <f t="array" ref="B17">IF(ABS(SUM('Piano Finanziario'!D16:M16)-SUMPRODUCT(('Materie Prime-Conumo '!D3:S3)*(COLUMN('Materie Prime-Conumo '!D3:S3)&gt;=MATCH('Piano Finanziario'!D2,'Materie Prime-Conumo '!D2:S2,0)+3)))&lt;0.01,"OK","ERRORE")</f>
        <v>OK</v>
      </c>
      <c r="C17" s="7" t="s">
        <v>15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5">
        <v>9</v>
      </c>
      <c r="B18" s="6" t="str">
        <f t="array" ref="B18">IF(ABS(SUM('Piano Finanziario'!D17:M17)-SUMPRODUCT(('Tasse e Imposte'!D3:S3)*(COLUMN('Tasse e Imposte'!D3:S3)&gt;=MATCH('Piano Finanziario'!D2,'Tasse e Imposte'!D2:S2,0)+3)))&lt;0.01,"OK","ERRORE")</f>
        <v>OK</v>
      </c>
      <c r="C18" s="7" t="s">
        <v>16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5">
        <v>10</v>
      </c>
      <c r="B19" s="6" t="str">
        <f t="array" ref="B19">IF(ABS(SUM('Piano Finanziario'!D18:M18)-SUMPRODUCT(('Mutui e Finaziamenti'!D3:S3)*(COLUMN('Mutui e Finaziamenti'!D3:S3)&gt;=MATCH('Piano Finanziario'!D2,'Mutui e Finaziamenti'!D2:S2,0)+3)))&lt;0.01,"OK","ERRORE")</f>
        <v>OK</v>
      </c>
      <c r="C19" s="7" t="s">
        <v>17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5">
        <v>11</v>
      </c>
      <c r="B20" s="6" t="str">
        <f t="array" ref="B20">IF(ABS(SUM('Piano Finanziario'!D19:M19)-SUMPRODUCT((Consulenze!D3:S3)*(COLUMN(Consulenze!D3:S3)&gt;=MATCH('Piano Finanziario'!D2,Consulenze!D2:S2,0)+3)))&lt;0.01,"OK","ERRORE")</f>
        <v>OK</v>
      </c>
      <c r="C20" s="7" t="s">
        <v>18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5">
        <v>12</v>
      </c>
      <c r="B21" s="6" t="str">
        <f t="array" ref="B21">IF(ABS(SUM('Piano Finanziario'!D20:M20)-SUMPRODUCT(('Godimento Beni di Terzi'!D3:S3)*(COLUMN('Godimento Beni di Terzi'!D3:S3)&gt;=MATCH('Piano Finanziario'!D2,'Godimento Beni di Terzi'!D2:S2,0)+3)))&lt;0.01,"OK","ERRORE")</f>
        <v>OK</v>
      </c>
      <c r="C21" s="7" t="s">
        <v>19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5">
        <v>13</v>
      </c>
      <c r="B22" s="6" t="str">
        <f t="array" ref="B22">IF(ABS(SUM('Piano Finanziario'!D21:M21)-SUMPRODUCT((' Varie ed Eventuali'!D3:S3)*(COLUMN(' Varie ed Eventuali'!D3:S3)&gt;=MATCH('Piano Finanziario'!D2,' Varie ed Eventuali'!D2:S2,0)+3)))&lt;0.01,"OK","ERRORE")</f>
        <v>OK</v>
      </c>
      <c r="C22" s="7" t="s">
        <v>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5">
        <v>14</v>
      </c>
      <c r="B23" s="6" t="str">
        <f t="array" ref="B23">IF(ABS(SUM('Piano Finanziario'!D22:M22)-SUMPRODUCT(('Canoni e servizi'!D3:S3)*(COLUMN('Canoni e servizi'!D3:S3)&gt;=MATCH('Piano Finanziario'!D2,'Canoni e servizi'!D2:S2,0)+3)))&lt;0.01,"OK","ERRORE")</f>
        <v>OK</v>
      </c>
      <c r="C23" s="7" t="s">
        <v>21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9" t="s">
        <v>22</v>
      </c>
      <c r="B25" s="1"/>
      <c r="C25" s="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5">
        <v>15</v>
      </c>
      <c r="B26" s="6" t="str">
        <f>IF(ABS('Piano Finanziario'!D3-'Piano Finanziario'!C35)&lt;0.01,"OK","ERRORE")</f>
        <v>OK</v>
      </c>
      <c r="C26" s="7" t="s">
        <v>23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5">
        <v>16</v>
      </c>
      <c r="B27" s="6" t="str">
        <f t="array" ref="B27">IF(SUMPRODUCT(ABS('Piano Finanziario'!D38:M38-('Piano Finanziario'!D3:M3+'Piano Finanziario'!D29:M29+'Piano Finanziario'!D35:M35)))&lt;0.01,"OK","ERRORE")</f>
        <v>OK</v>
      </c>
      <c r="C27" s="7" t="s">
        <v>24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5">
        <v>17</v>
      </c>
      <c r="B28" s="6" t="str">
        <f t="array" ref="B28">IF(SUMPRODUCT(ABS('Piano Finanziario'!D46:M46-('Piano Finanziario'!D38:M38+'Piano Finanziario'!D44:M44)))&lt;0.01,"OK","ERRORE")</f>
        <v>OK</v>
      </c>
      <c r="C28" s="7" t="s">
        <v>25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9" t="s">
        <v>26</v>
      </c>
      <c r="B30" s="1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5">
        <v>18</v>
      </c>
      <c r="B31" s="6" t="str">
        <f>IF(ABS('Salari e Stipendi'!C3-SUM('Salari e Stipendi'!D3:S3))&lt;0.01,"OK","ERRORE")</f>
        <v>OK</v>
      </c>
      <c r="C31" s="7" t="s">
        <v>27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5">
        <v>19</v>
      </c>
      <c r="B32" s="6" t="str">
        <f>IF(ABS(Utenze!C3-SUM(Utenze!D3:S3))&lt;0.01,"OK","ERRORE")</f>
        <v>OK</v>
      </c>
      <c r="C32" s="7" t="s">
        <v>28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5">
        <v>20</v>
      </c>
      <c r="B33" s="6" t="str">
        <f>IF(ABS('Tasse e Imposte'!C3-SUM('Tasse e Imposte'!D3:S3))&lt;0.01,"OK","ERRORE")</f>
        <v>OK</v>
      </c>
      <c r="C33" s="7" t="s">
        <v>29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5">
        <v>21</v>
      </c>
      <c r="B34" s="6" t="str">
        <f>IF(ABS('Mutui e Finaziamenti'!C3-SUM('Mutui e Finaziamenti'!D3:S3))&lt;0.01,"OK","ERRORE")</f>
        <v>OK</v>
      </c>
      <c r="C34" s="7" t="s">
        <v>30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5">
        <v>22</v>
      </c>
      <c r="B35" s="6" t="str">
        <f>IF(ABS(Consulenze!C3-SUM(Consulenze!D3:S3))&lt;0.01,"OK","ERRORE")</f>
        <v>OK</v>
      </c>
      <c r="C35" s="7" t="s">
        <v>31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5">
        <v>23</v>
      </c>
      <c r="B36" s="6" t="str">
        <f>IF(ABS(' Varie ed Eventuali'!C3-SUM(' Varie ed Eventuali'!D3:S3))+ABS('Canoni e servizi'!C3-SUM('Canoni e servizi'!D3:S3))+ABS('Godimento Beni di Terzi'!C3-SUM('Godimento Beni di Terzi'!D3:S3))+ABS('Materie Prime-Conumo '!C3-SUM('Materie Prime-Conumo '!D3:S3))&lt;0.01,"OK","ERRORE")</f>
        <v>OK</v>
      </c>
      <c r="C36" s="7" t="s">
        <v>32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0" t="s">
        <v>33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70" t="str">
        <f>IF(COUNTIF(B6:B36,"ERRORE")=0,"✓ TUTTI I CONTROLLI OK (×"&amp;COUNTIF(B6:B36,"OK")&amp;" verifiche)","✗ "&amp;COUNTIF(B6:B36,"ERRORE")&amp;" ERRORI su "&amp;(COUNTIF(B6:B36,"OK")+COUNTIF(B6:B36,"ERRORE"))&amp;" verifiche")</f>
        <v>✗ 2 ERRORI su 23 verifiche</v>
      </c>
      <c r="C39" s="6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C1"/>
    <mergeCell ref="A2:C2"/>
    <mergeCell ref="B39:C3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</sheetPr>
  <dimension ref="A1:U1000"/>
  <sheetViews>
    <sheetView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O31" sqref="O31"/>
    </sheetView>
  </sheetViews>
  <sheetFormatPr baseColWidth="10" defaultColWidth="11.1640625" defaultRowHeight="15" customHeight="1"/>
  <cols>
    <col min="1" max="1" width="28" bestFit="1" customWidth="1"/>
    <col min="2" max="2" width="1.1640625" customWidth="1"/>
    <col min="3" max="3" width="15.83203125" bestFit="1" customWidth="1"/>
    <col min="4" max="7" width="13" bestFit="1" customWidth="1"/>
    <col min="8" max="9" width="14.1640625" bestFit="1" customWidth="1"/>
    <col min="10" max="10" width="13.5" bestFit="1" customWidth="1"/>
    <col min="11" max="14" width="13" bestFit="1" customWidth="1"/>
    <col min="15" max="19" width="14.5" bestFit="1" customWidth="1"/>
    <col min="20" max="26" width="8.83203125" customWidth="1"/>
  </cols>
  <sheetData>
    <row r="1" spans="1:21" ht="15.75" customHeight="1">
      <c r="A1" s="71" t="s">
        <v>34</v>
      </c>
      <c r="B1" s="11"/>
      <c r="C1" s="12" t="s">
        <v>35</v>
      </c>
      <c r="D1" s="76">
        <v>2026</v>
      </c>
      <c r="E1" s="73"/>
      <c r="F1" s="73"/>
      <c r="G1" s="73"/>
      <c r="H1" s="73"/>
      <c r="I1" s="73"/>
      <c r="J1" s="73"/>
      <c r="K1" s="73"/>
      <c r="L1" s="73"/>
      <c r="M1" s="73"/>
      <c r="N1" s="76">
        <v>2027</v>
      </c>
      <c r="O1" s="73"/>
      <c r="P1" s="73"/>
      <c r="Q1" s="73"/>
      <c r="R1" s="73"/>
      <c r="S1" s="77"/>
      <c r="T1" s="1"/>
      <c r="U1" s="1"/>
    </row>
    <row r="2" spans="1:21" ht="15.75" customHeight="1">
      <c r="A2" s="68"/>
      <c r="B2" s="11"/>
      <c r="C2" s="13" t="s">
        <v>36</v>
      </c>
      <c r="D2" s="74" t="s">
        <v>37</v>
      </c>
      <c r="E2" s="74" t="s">
        <v>38</v>
      </c>
      <c r="F2" s="75" t="s">
        <v>39</v>
      </c>
      <c r="G2" s="75" t="s">
        <v>40</v>
      </c>
      <c r="H2" s="75" t="s">
        <v>41</v>
      </c>
      <c r="I2" s="75" t="s">
        <v>42</v>
      </c>
      <c r="J2" s="75" t="s">
        <v>43</v>
      </c>
      <c r="K2" s="75" t="s">
        <v>44</v>
      </c>
      <c r="L2" s="75" t="s">
        <v>45</v>
      </c>
      <c r="M2" s="75" t="s">
        <v>46</v>
      </c>
      <c r="N2" s="75" t="s">
        <v>47</v>
      </c>
      <c r="O2" s="75" t="s">
        <v>48</v>
      </c>
      <c r="P2" s="75" t="s">
        <v>37</v>
      </c>
      <c r="Q2" s="75" t="s">
        <v>38</v>
      </c>
      <c r="R2" s="75" t="s">
        <v>39</v>
      </c>
      <c r="S2" s="75" t="s">
        <v>40</v>
      </c>
      <c r="T2" s="1"/>
      <c r="U2" s="1"/>
    </row>
    <row r="3" spans="1:21" ht="15.75" customHeight="1">
      <c r="A3" s="14" t="s">
        <v>49</v>
      </c>
      <c r="B3" s="1"/>
      <c r="C3" s="15"/>
      <c r="D3" s="15">
        <f>C35</f>
        <v>189826.72000000003</v>
      </c>
      <c r="E3" s="15">
        <f t="shared" ref="E3:S3" si="0">D38</f>
        <v>189826.72000000003</v>
      </c>
      <c r="F3" s="15">
        <f t="shared" si="0"/>
        <v>189826.72000000003</v>
      </c>
      <c r="G3" s="15">
        <f t="shared" si="0"/>
        <v>189826.72000000003</v>
      </c>
      <c r="H3" s="15">
        <f t="shared" si="0"/>
        <v>189826.72000000003</v>
      </c>
      <c r="I3" s="15">
        <f t="shared" si="0"/>
        <v>520088.05000000005</v>
      </c>
      <c r="J3" s="15">
        <f t="shared" si="0"/>
        <v>727856.76</v>
      </c>
      <c r="K3" s="15">
        <f t="shared" si="0"/>
        <v>720368.28</v>
      </c>
      <c r="L3" s="15">
        <f t="shared" si="0"/>
        <v>677179.8</v>
      </c>
      <c r="M3" s="15">
        <f t="shared" si="0"/>
        <v>607341.32000000007</v>
      </c>
      <c r="N3" s="15">
        <f t="shared" si="0"/>
        <v>573102.84000000008</v>
      </c>
      <c r="O3" s="15">
        <f t="shared" si="0"/>
        <v>573102.84000000008</v>
      </c>
      <c r="P3" s="15">
        <f t="shared" si="0"/>
        <v>573102.84000000008</v>
      </c>
      <c r="Q3" s="15">
        <f t="shared" si="0"/>
        <v>573102.84000000008</v>
      </c>
      <c r="R3" s="15">
        <f t="shared" si="0"/>
        <v>573102.84000000008</v>
      </c>
      <c r="S3" s="15">
        <f t="shared" si="0"/>
        <v>573102.84000000008</v>
      </c>
      <c r="T3" s="1"/>
      <c r="U3" s="1"/>
    </row>
    <row r="4" spans="1:21" ht="15.75" customHeight="1">
      <c r="A4" s="16"/>
      <c r="B4" s="17"/>
      <c r="C4" s="18"/>
      <c r="D4" s="18"/>
      <c r="E4" s="19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"/>
      <c r="U4" s="1"/>
    </row>
    <row r="5" spans="1:21" ht="15.75" customHeight="1">
      <c r="A5" s="20" t="s">
        <v>50</v>
      </c>
      <c r="B5" s="1"/>
      <c r="C5" s="21"/>
      <c r="D5" s="21"/>
      <c r="E5" s="21"/>
      <c r="F5" s="21"/>
      <c r="G5" s="21"/>
      <c r="H5" s="21">
        <v>488000</v>
      </c>
      <c r="I5" s="21">
        <v>122000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1"/>
      <c r="U5" s="1"/>
    </row>
    <row r="6" spans="1:21" ht="15.75" customHeight="1">
      <c r="A6" s="20" t="s">
        <v>51</v>
      </c>
      <c r="B6" s="1"/>
      <c r="C6" s="21"/>
      <c r="D6" s="21"/>
      <c r="E6" s="21"/>
      <c r="F6" s="21"/>
      <c r="G6" s="21"/>
      <c r="H6" s="21"/>
      <c r="I6" s="21">
        <v>60000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1"/>
      <c r="U6" s="1"/>
    </row>
    <row r="7" spans="1:21" ht="15.75" customHeight="1">
      <c r="A7" s="1" t="s">
        <v>52</v>
      </c>
      <c r="B7" s="1"/>
      <c r="C7" s="21"/>
      <c r="D7" s="21">
        <v>0</v>
      </c>
      <c r="E7" s="21"/>
      <c r="F7" s="21"/>
      <c r="G7" s="21"/>
      <c r="H7" s="21"/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/>
      <c r="O7" s="21"/>
      <c r="P7" s="21"/>
      <c r="Q7" s="21"/>
      <c r="R7" s="21"/>
      <c r="S7" s="21"/>
      <c r="T7" s="1"/>
      <c r="U7" s="1"/>
    </row>
    <row r="8" spans="1:21" ht="15.75" customHeight="1">
      <c r="A8" s="20" t="s">
        <v>53</v>
      </c>
      <c r="B8" s="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1"/>
      <c r="U8" s="1"/>
    </row>
    <row r="9" spans="1:21" ht="15.75" customHeight="1">
      <c r="A9" s="1" t="s">
        <v>54</v>
      </c>
      <c r="B9" s="1"/>
      <c r="C9" s="21"/>
      <c r="D9" s="21"/>
      <c r="E9" s="21"/>
      <c r="F9" s="21"/>
      <c r="G9" s="21"/>
      <c r="H9" s="21">
        <v>3750</v>
      </c>
      <c r="I9" s="21">
        <v>3750</v>
      </c>
      <c r="J9" s="21">
        <v>3750</v>
      </c>
      <c r="K9" s="21">
        <v>3750</v>
      </c>
      <c r="L9" s="21">
        <v>3750</v>
      </c>
      <c r="M9" s="21">
        <v>3750</v>
      </c>
      <c r="N9" s="21"/>
      <c r="O9" s="21"/>
      <c r="P9" s="21"/>
      <c r="Q9" s="21"/>
      <c r="R9" s="21"/>
      <c r="S9" s="21"/>
      <c r="T9" s="1"/>
      <c r="U9" s="1"/>
    </row>
    <row r="10" spans="1:21" ht="15.75" customHeight="1">
      <c r="A10" s="20" t="s">
        <v>55</v>
      </c>
      <c r="B10" s="1"/>
      <c r="C10" s="21"/>
      <c r="D10" s="21"/>
      <c r="E10" s="21"/>
      <c r="F10" s="21"/>
      <c r="G10" s="21"/>
      <c r="H10" s="21">
        <v>75000</v>
      </c>
      <c r="I10" s="21">
        <v>75000</v>
      </c>
      <c r="J10" s="21">
        <v>35000</v>
      </c>
      <c r="K10" s="21"/>
      <c r="L10" s="21"/>
      <c r="M10" s="21"/>
      <c r="N10" s="21"/>
      <c r="O10" s="21"/>
      <c r="P10" s="21"/>
      <c r="Q10" s="21"/>
      <c r="R10" s="21"/>
      <c r="S10" s="21"/>
      <c r="T10" s="1"/>
      <c r="U10" s="1"/>
    </row>
    <row r="11" spans="1:21" ht="15.75" customHeight="1">
      <c r="A11" s="20"/>
      <c r="B11" s="1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"/>
      <c r="U11" s="1"/>
    </row>
    <row r="12" spans="1:21" ht="15.75" customHeight="1" thickBot="1">
      <c r="A12" s="23" t="s">
        <v>56</v>
      </c>
      <c r="B12" s="23"/>
      <c r="C12" s="23">
        <f>SUM(C5:C9)</f>
        <v>0</v>
      </c>
      <c r="D12" s="23">
        <f t="shared" ref="D12:S12" si="1">SUM(D5:D11)</f>
        <v>0</v>
      </c>
      <c r="E12" s="23">
        <f t="shared" si="1"/>
        <v>0</v>
      </c>
      <c r="F12" s="23">
        <f t="shared" si="1"/>
        <v>0</v>
      </c>
      <c r="G12" s="23">
        <f t="shared" si="1"/>
        <v>0</v>
      </c>
      <c r="H12" s="23">
        <f t="shared" si="1"/>
        <v>566750</v>
      </c>
      <c r="I12" s="23">
        <f t="shared" si="1"/>
        <v>260750</v>
      </c>
      <c r="J12" s="23">
        <f t="shared" si="1"/>
        <v>38750</v>
      </c>
      <c r="K12" s="23">
        <f t="shared" si="1"/>
        <v>3750</v>
      </c>
      <c r="L12" s="23">
        <f t="shared" si="1"/>
        <v>3750</v>
      </c>
      <c r="M12" s="23">
        <f t="shared" si="1"/>
        <v>3750</v>
      </c>
      <c r="N12" s="23">
        <f t="shared" si="1"/>
        <v>0</v>
      </c>
      <c r="O12" s="23">
        <f t="shared" si="1"/>
        <v>0</v>
      </c>
      <c r="P12" s="23">
        <f t="shared" si="1"/>
        <v>0</v>
      </c>
      <c r="Q12" s="23">
        <f t="shared" si="1"/>
        <v>0</v>
      </c>
      <c r="R12" s="23">
        <f t="shared" si="1"/>
        <v>0</v>
      </c>
      <c r="S12" s="23">
        <f t="shared" si="1"/>
        <v>0</v>
      </c>
      <c r="T12" s="1"/>
      <c r="U12" s="1"/>
    </row>
    <row r="13" spans="1:21" ht="15.75" customHeight="1" thickTop="1">
      <c r="A13" s="1"/>
      <c r="B13" s="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"/>
      <c r="U13" s="1"/>
    </row>
    <row r="14" spans="1:21" ht="15.75" customHeight="1">
      <c r="A14" s="24" t="s">
        <v>57</v>
      </c>
      <c r="B14" s="1"/>
      <c r="C14" s="22"/>
      <c r="D14" s="22">
        <f>'Salari e Stipendi'!J3</f>
        <v>0</v>
      </c>
      <c r="E14" s="22">
        <f>'Salari e Stipendi'!K3</f>
        <v>0</v>
      </c>
      <c r="F14" s="22">
        <f>'Salari e Stipendi'!L3</f>
        <v>0</v>
      </c>
      <c r="G14" s="22">
        <f>'Salari e Stipendi'!M3</f>
        <v>0</v>
      </c>
      <c r="H14" s="22">
        <f>'Salari e Stipendi'!N3</f>
        <v>16000</v>
      </c>
      <c r="I14" s="22">
        <f>'Salari e Stipendi'!O3</f>
        <v>21000</v>
      </c>
      <c r="J14" s="22">
        <f>'Salari e Stipendi'!P3</f>
        <v>15000</v>
      </c>
      <c r="K14" s="22">
        <f>'Salari e Stipendi'!Q3</f>
        <v>14000</v>
      </c>
      <c r="L14" s="22">
        <f>'Salari e Stipendi'!R3</f>
        <v>15000</v>
      </c>
      <c r="M14" s="22">
        <f>'Salari e Stipendi'!S3</f>
        <v>8000</v>
      </c>
      <c r="N14" s="22">
        <f>'Salari e Stipendi'!T3</f>
        <v>0</v>
      </c>
      <c r="O14" s="22">
        <f>'Salari e Stipendi'!U3</f>
        <v>0</v>
      </c>
      <c r="P14" s="22">
        <f>'Salari e Stipendi'!V3</f>
        <v>0</v>
      </c>
      <c r="Q14" s="22">
        <f>'Salari e Stipendi'!W3</f>
        <v>0</v>
      </c>
      <c r="R14" s="22">
        <f>'Salari e Stipendi'!X3</f>
        <v>0</v>
      </c>
      <c r="S14" s="22">
        <f>'Salari e Stipendi'!Y3</f>
        <v>0</v>
      </c>
      <c r="T14" s="1"/>
      <c r="U14" s="1"/>
    </row>
    <row r="15" spans="1:21" ht="15.75" customHeight="1">
      <c r="A15" s="25" t="s">
        <v>58</v>
      </c>
      <c r="B15" s="1"/>
      <c r="C15" s="22"/>
      <c r="D15" s="22">
        <f>Utenze!J3</f>
        <v>0</v>
      </c>
      <c r="E15" s="22">
        <f>Utenze!K3</f>
        <v>0</v>
      </c>
      <c r="F15" s="22">
        <f>Utenze!L3</f>
        <v>0</v>
      </c>
      <c r="G15" s="22">
        <f>Utenze!M3</f>
        <v>0</v>
      </c>
      <c r="H15" s="22">
        <f>Utenze!N3</f>
        <v>19125.16</v>
      </c>
      <c r="I15" s="22">
        <f>Utenze!O3</f>
        <v>1338.1599999999999</v>
      </c>
      <c r="J15" s="22">
        <f>Utenze!P3</f>
        <v>850</v>
      </c>
      <c r="K15" s="22">
        <f>Utenze!Q3</f>
        <v>1250</v>
      </c>
      <c r="L15" s="22">
        <f>Utenze!R3</f>
        <v>900</v>
      </c>
      <c r="M15" s="22">
        <f>Utenze!S3</f>
        <v>500</v>
      </c>
      <c r="N15" s="22">
        <f>Utenze!T3</f>
        <v>0</v>
      </c>
      <c r="O15" s="22">
        <f>Utenze!U3</f>
        <v>0</v>
      </c>
      <c r="P15" s="22">
        <f>Utenze!V3</f>
        <v>0</v>
      </c>
      <c r="Q15" s="22">
        <f>Utenze!W3</f>
        <v>0</v>
      </c>
      <c r="R15" s="22">
        <f>Utenze!X3</f>
        <v>0</v>
      </c>
      <c r="S15" s="22">
        <f>Utenze!Y3</f>
        <v>0</v>
      </c>
      <c r="T15" s="1"/>
      <c r="U15" s="1"/>
    </row>
    <row r="16" spans="1:21" ht="15.75" customHeight="1">
      <c r="A16" s="24" t="s">
        <v>59</v>
      </c>
      <c r="B16" s="1"/>
      <c r="C16" s="22"/>
      <c r="D16" s="22">
        <f>'Materie Prime-Conumo '!J3</f>
        <v>0</v>
      </c>
      <c r="E16" s="22">
        <f>'Materie Prime-Conumo '!K3</f>
        <v>0</v>
      </c>
      <c r="F16" s="22">
        <f>'Materie Prime-Conumo '!L3</f>
        <v>0</v>
      </c>
      <c r="G16" s="22">
        <f>'Materie Prime-Conumo '!M3</f>
        <v>0</v>
      </c>
      <c r="H16" s="22">
        <f>'Materie Prime-Conumo '!N3</f>
        <v>2179.4500000000003</v>
      </c>
      <c r="I16" s="22">
        <f>'Materie Prime-Conumo '!O3</f>
        <v>0</v>
      </c>
      <c r="J16" s="22">
        <f>'Materie Prime-Conumo '!P3</f>
        <v>0</v>
      </c>
      <c r="K16" s="22">
        <f>'Materie Prime-Conumo '!Q3</f>
        <v>0</v>
      </c>
      <c r="L16" s="22">
        <f>'Materie Prime-Conumo '!R3</f>
        <v>0</v>
      </c>
      <c r="M16" s="22">
        <f>'Materie Prime-Conumo '!S3</f>
        <v>0</v>
      </c>
      <c r="N16" s="22">
        <f>'Materie Prime-Conumo '!T3</f>
        <v>0</v>
      </c>
      <c r="O16" s="22">
        <f>'Materie Prime-Conumo '!U3</f>
        <v>0</v>
      </c>
      <c r="P16" s="22">
        <f>'Materie Prime-Conumo '!V3</f>
        <v>0</v>
      </c>
      <c r="Q16" s="22">
        <f>'Materie Prime-Conumo '!W3</f>
        <v>0</v>
      </c>
      <c r="R16" s="22">
        <f>'Materie Prime-Conumo '!X3</f>
        <v>0</v>
      </c>
      <c r="S16" s="22">
        <f>'Materie Prime-Conumo '!Y3</f>
        <v>0</v>
      </c>
      <c r="T16" s="1"/>
      <c r="U16" s="1"/>
    </row>
    <row r="17" spans="1:21" ht="15.75" customHeight="1">
      <c r="A17" s="26" t="s">
        <v>60</v>
      </c>
      <c r="B17" s="1"/>
      <c r="C17" s="22"/>
      <c r="D17" s="21">
        <f>'Tasse e Imposte'!J3</f>
        <v>0</v>
      </c>
      <c r="E17" s="22">
        <f>'Tasse e Imposte'!K3</f>
        <v>0</v>
      </c>
      <c r="F17" s="22">
        <f>'Tasse e Imposte'!L3</f>
        <v>0</v>
      </c>
      <c r="G17" s="22">
        <f>'Tasse e Imposte'!M3</f>
        <v>0</v>
      </c>
      <c r="H17" s="22">
        <f>'Tasse e Imposte'!N3</f>
        <v>800</v>
      </c>
      <c r="I17" s="22">
        <f>'Tasse e Imposte'!O3</f>
        <v>800</v>
      </c>
      <c r="J17" s="22">
        <f>'Tasse e Imposte'!P3</f>
        <v>800</v>
      </c>
      <c r="K17" s="22">
        <f>'Tasse e Imposte'!Q3</f>
        <v>800</v>
      </c>
      <c r="L17" s="22">
        <f>'Tasse e Imposte'!R3</f>
        <v>28800</v>
      </c>
      <c r="M17" s="22">
        <f>'Tasse e Imposte'!S3</f>
        <v>0</v>
      </c>
      <c r="N17" s="22">
        <f>'Tasse e Imposte'!T3</f>
        <v>0</v>
      </c>
      <c r="O17" s="22">
        <f>'Tasse e Imposte'!U3</f>
        <v>0</v>
      </c>
      <c r="P17" s="22">
        <f>'Tasse e Imposte'!V3</f>
        <v>0</v>
      </c>
      <c r="Q17" s="22">
        <f>'Tasse e Imposte'!W3</f>
        <v>0</v>
      </c>
      <c r="R17" s="22">
        <f>'Tasse e Imposte'!X3</f>
        <v>0</v>
      </c>
      <c r="S17" s="22">
        <f>'Tasse e Imposte'!Y3</f>
        <v>0</v>
      </c>
      <c r="T17" s="1"/>
      <c r="U17" s="1"/>
    </row>
    <row r="18" spans="1:21" ht="15.75" customHeight="1">
      <c r="A18" s="24" t="s">
        <v>61</v>
      </c>
      <c r="B18" s="1"/>
      <c r="C18" s="22"/>
      <c r="D18" s="22">
        <f>'Mutui e Finaziamenti'!J3</f>
        <v>0</v>
      </c>
      <c r="E18" s="22">
        <f>'Mutui e Finaziamenti'!K3</f>
        <v>0</v>
      </c>
      <c r="F18" s="22">
        <f>'Mutui e Finaziamenti'!L3</f>
        <v>0</v>
      </c>
      <c r="G18" s="22">
        <f>'Mutui e Finaziamenti'!M3</f>
        <v>0</v>
      </c>
      <c r="H18" s="22">
        <f>'Mutui e Finaziamenti'!N3</f>
        <v>13888.48</v>
      </c>
      <c r="I18" s="22">
        <f>'Mutui e Finaziamenti'!O3</f>
        <v>13888.48</v>
      </c>
      <c r="J18" s="22">
        <f>'Mutui e Finaziamenti'!P3</f>
        <v>13888.48</v>
      </c>
      <c r="K18" s="22">
        <f>'Mutui e Finaziamenti'!Q3</f>
        <v>13888.48</v>
      </c>
      <c r="L18" s="22">
        <f>'Mutui e Finaziamenti'!R3</f>
        <v>13888.48</v>
      </c>
      <c r="M18" s="22">
        <f>'Mutui e Finaziamenti'!S3</f>
        <v>13888.48</v>
      </c>
      <c r="N18" s="22">
        <f>'Mutui e Finaziamenti'!T3</f>
        <v>0</v>
      </c>
      <c r="O18" s="22">
        <f>'Mutui e Finaziamenti'!U3</f>
        <v>0</v>
      </c>
      <c r="P18" s="22">
        <f>'Mutui e Finaziamenti'!V3</f>
        <v>0</v>
      </c>
      <c r="Q18" s="22">
        <f>'Mutui e Finaziamenti'!W3</f>
        <v>0</v>
      </c>
      <c r="R18" s="22">
        <f>'Mutui e Finaziamenti'!X3</f>
        <v>0</v>
      </c>
      <c r="S18" s="22">
        <f>'Mutui e Finaziamenti'!Y3</f>
        <v>0</v>
      </c>
      <c r="T18" s="1"/>
      <c r="U18" s="1"/>
    </row>
    <row r="19" spans="1:21" ht="15.75" customHeight="1">
      <c r="A19" s="24" t="s">
        <v>62</v>
      </c>
      <c r="B19" s="1"/>
      <c r="C19" s="22"/>
      <c r="D19" s="22">
        <f>Consulenze!J3</f>
        <v>0</v>
      </c>
      <c r="E19" s="22">
        <f>Consulenze!K3</f>
        <v>0</v>
      </c>
      <c r="F19" s="22">
        <f>Consulenze!L3</f>
        <v>0</v>
      </c>
      <c r="G19" s="22">
        <f>Consulenze!M3</f>
        <v>0</v>
      </c>
      <c r="H19" s="22">
        <f>Consulenze!N3</f>
        <v>6614.5300000000007</v>
      </c>
      <c r="I19" s="22">
        <f>Consulenze!O3</f>
        <v>354.65</v>
      </c>
      <c r="J19" s="22">
        <f>Consulenze!P3</f>
        <v>700</v>
      </c>
      <c r="K19" s="22">
        <f>Consulenze!Q3</f>
        <v>2000</v>
      </c>
      <c r="L19" s="22">
        <f>Consulenze!R3</f>
        <v>0</v>
      </c>
      <c r="M19" s="22">
        <f>Consulenze!S3</f>
        <v>600</v>
      </c>
      <c r="N19" s="22">
        <f>Consulenze!T3</f>
        <v>0</v>
      </c>
      <c r="O19" s="22">
        <f>Consulenze!U3</f>
        <v>0</v>
      </c>
      <c r="P19" s="22">
        <f>Consulenze!V3</f>
        <v>0</v>
      </c>
      <c r="Q19" s="22">
        <f>Consulenze!W3</f>
        <v>0</v>
      </c>
      <c r="R19" s="22">
        <f>Consulenze!X3</f>
        <v>0</v>
      </c>
      <c r="S19" s="22">
        <f>Consulenze!Y3</f>
        <v>0</v>
      </c>
      <c r="T19" s="1"/>
      <c r="U19" s="1"/>
    </row>
    <row r="20" spans="1:21" ht="15.75" customHeight="1">
      <c r="A20" s="24" t="s">
        <v>63</v>
      </c>
      <c r="B20" s="1"/>
      <c r="C20" s="22"/>
      <c r="D20" s="22">
        <f>'Godimento Beni di Terzi'!J3</f>
        <v>0</v>
      </c>
      <c r="E20" s="22">
        <f>'Godimento Beni di Terzi'!K3</f>
        <v>0</v>
      </c>
      <c r="F20" s="22">
        <f>'Godimento Beni di Terzi'!L3</f>
        <v>0</v>
      </c>
      <c r="G20" s="22">
        <f>'Godimento Beni di Terzi'!M3</f>
        <v>0</v>
      </c>
      <c r="H20" s="22">
        <f>'Godimento Beni di Terzi'!N3</f>
        <v>0</v>
      </c>
      <c r="I20" s="22">
        <f>'Godimento Beni di Terzi'!O3</f>
        <v>0</v>
      </c>
      <c r="J20" s="22">
        <f>'Godimento Beni di Terzi'!P3</f>
        <v>0</v>
      </c>
      <c r="K20" s="22">
        <f>'Godimento Beni di Terzi'!Q3</f>
        <v>0</v>
      </c>
      <c r="L20" s="22">
        <f>'Godimento Beni di Terzi'!R3</f>
        <v>0</v>
      </c>
      <c r="M20" s="22">
        <f>'Godimento Beni di Terzi'!S3</f>
        <v>0</v>
      </c>
      <c r="N20" s="22">
        <f>'Godimento Beni di Terzi'!T3</f>
        <v>0</v>
      </c>
      <c r="O20" s="22">
        <f>'Godimento Beni di Terzi'!U3</f>
        <v>0</v>
      </c>
      <c r="P20" s="22">
        <f>'Godimento Beni di Terzi'!V3</f>
        <v>0</v>
      </c>
      <c r="Q20" s="22">
        <f>'Godimento Beni di Terzi'!W3</f>
        <v>0</v>
      </c>
      <c r="R20" s="22">
        <f>'Godimento Beni di Terzi'!X3</f>
        <v>0</v>
      </c>
      <c r="S20" s="22">
        <f>'Godimento Beni di Terzi'!Y3</f>
        <v>0</v>
      </c>
      <c r="T20" s="1"/>
      <c r="U20" s="1"/>
    </row>
    <row r="21" spans="1:21" ht="15.75" customHeight="1">
      <c r="A21" s="26" t="s">
        <v>64</v>
      </c>
      <c r="B21" s="1"/>
      <c r="C21" s="22"/>
      <c r="D21" s="22">
        <f>' Varie ed Eventuali'!J3</f>
        <v>0</v>
      </c>
      <c r="E21" s="22">
        <f>' Varie ed Eventuali'!K3</f>
        <v>0</v>
      </c>
      <c r="F21" s="22">
        <f>' Varie ed Eventuali'!L3</f>
        <v>0</v>
      </c>
      <c r="G21" s="22">
        <f>' Varie ed Eventuali'!M3</f>
        <v>0</v>
      </c>
      <c r="H21" s="22">
        <f>' Varie ed Eventuali'!N3</f>
        <v>177405.25</v>
      </c>
      <c r="I21" s="22">
        <f>' Varie ed Eventuali'!O3</f>
        <v>15000</v>
      </c>
      <c r="J21" s="22">
        <f>' Varie ed Eventuali'!P3</f>
        <v>15000</v>
      </c>
      <c r="K21" s="22">
        <f>' Varie ed Eventuali'!Q3</f>
        <v>15000</v>
      </c>
      <c r="L21" s="22">
        <f>' Varie ed Eventuali'!R3</f>
        <v>15000</v>
      </c>
      <c r="M21" s="22">
        <f>' Varie ed Eventuali'!S3</f>
        <v>15000</v>
      </c>
      <c r="N21" s="22">
        <f>' Varie ed Eventuali'!T3</f>
        <v>0</v>
      </c>
      <c r="O21" s="22">
        <f>' Varie ed Eventuali'!U3</f>
        <v>0</v>
      </c>
      <c r="P21" s="22">
        <f>' Varie ed Eventuali'!V3</f>
        <v>0</v>
      </c>
      <c r="Q21" s="22">
        <f>' Varie ed Eventuali'!W3</f>
        <v>0</v>
      </c>
      <c r="R21" s="22">
        <f>' Varie ed Eventuali'!X3</f>
        <v>0</v>
      </c>
      <c r="S21" s="22">
        <f>' Varie ed Eventuali'!Y3</f>
        <v>0</v>
      </c>
      <c r="T21" s="1"/>
      <c r="U21" s="1"/>
    </row>
    <row r="22" spans="1:21" ht="15.75" customHeight="1">
      <c r="A22" s="20" t="s">
        <v>65</v>
      </c>
      <c r="B22" s="1"/>
      <c r="C22" s="22"/>
      <c r="D22" s="22">
        <f>'Canoni e servizi'!J3</f>
        <v>0</v>
      </c>
      <c r="E22" s="22">
        <f>'Canoni e servizi'!K3</f>
        <v>0</v>
      </c>
      <c r="F22" s="22">
        <f>'Canoni e servizi'!L3</f>
        <v>0</v>
      </c>
      <c r="G22" s="22">
        <f>'Canoni e servizi'!M3</f>
        <v>0</v>
      </c>
      <c r="H22" s="22">
        <f>'Canoni e servizi'!N3</f>
        <v>475.8</v>
      </c>
      <c r="I22" s="22">
        <f>'Canoni e servizi'!O3</f>
        <v>600</v>
      </c>
      <c r="J22" s="22">
        <f>'Canoni e servizi'!P3</f>
        <v>0</v>
      </c>
      <c r="K22" s="22">
        <f>'Canoni e servizi'!Q3</f>
        <v>0</v>
      </c>
      <c r="L22" s="22">
        <f>'Canoni e servizi'!R3</f>
        <v>0</v>
      </c>
      <c r="M22" s="22">
        <f>'Canoni e servizi'!S3</f>
        <v>0</v>
      </c>
      <c r="N22" s="22">
        <f>'Canoni e servizi'!T3</f>
        <v>0</v>
      </c>
      <c r="O22" s="22">
        <f>'Canoni e servizi'!U3</f>
        <v>0</v>
      </c>
      <c r="P22" s="22">
        <f>'Canoni e servizi'!V3</f>
        <v>0</v>
      </c>
      <c r="Q22" s="22">
        <f>'Canoni e servizi'!W3</f>
        <v>0</v>
      </c>
      <c r="R22" s="22">
        <f>'Canoni e servizi'!X3</f>
        <v>0</v>
      </c>
      <c r="S22" s="22">
        <f>'Canoni e servizi'!Y3</f>
        <v>0</v>
      </c>
      <c r="T22" s="1"/>
      <c r="U22" s="1"/>
    </row>
    <row r="23" spans="1:21" ht="15.75" customHeight="1">
      <c r="A23" s="27" t="s">
        <v>66</v>
      </c>
      <c r="B23" s="1"/>
      <c r="C23" s="28">
        <f>Nota!B4</f>
        <v>130556.57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/>
      <c r="O23" s="22"/>
      <c r="P23" s="22"/>
      <c r="Q23" s="22"/>
      <c r="R23" s="22"/>
      <c r="S23" s="22"/>
      <c r="T23" s="1"/>
      <c r="U23" s="1"/>
    </row>
    <row r="24" spans="1:21" ht="15.75" customHeight="1">
      <c r="A24" s="20"/>
      <c r="B24" s="29"/>
      <c r="C24" s="30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1"/>
      <c r="U24" s="1"/>
    </row>
    <row r="25" spans="1:21" ht="15.75" customHeight="1">
      <c r="A25" s="1"/>
      <c r="B25" s="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1"/>
      <c r="U25" s="1"/>
    </row>
    <row r="26" spans="1:21" ht="15.75" customHeight="1">
      <c r="A26" s="31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1"/>
      <c r="U26" s="1"/>
    </row>
    <row r="27" spans="1:21" ht="15.75" customHeight="1" thickBot="1">
      <c r="A27" s="34" t="s">
        <v>67</v>
      </c>
      <c r="B27" s="35"/>
      <c r="C27" s="35"/>
      <c r="D27" s="35">
        <f t="shared" ref="D27:S27" si="2">SUM(D14:D26)</f>
        <v>0</v>
      </c>
      <c r="E27" s="35">
        <f t="shared" si="2"/>
        <v>0</v>
      </c>
      <c r="F27" s="35">
        <f t="shared" si="2"/>
        <v>0</v>
      </c>
      <c r="G27" s="35">
        <f t="shared" si="2"/>
        <v>0</v>
      </c>
      <c r="H27" s="35">
        <f t="shared" si="2"/>
        <v>236488.66999999998</v>
      </c>
      <c r="I27" s="35">
        <f t="shared" si="2"/>
        <v>52981.29</v>
      </c>
      <c r="J27" s="35">
        <f t="shared" si="2"/>
        <v>46238.479999999996</v>
      </c>
      <c r="K27" s="35">
        <f t="shared" si="2"/>
        <v>46938.479999999996</v>
      </c>
      <c r="L27" s="35">
        <f t="shared" si="2"/>
        <v>73588.479999999996</v>
      </c>
      <c r="M27" s="35">
        <f t="shared" si="2"/>
        <v>37988.479999999996</v>
      </c>
      <c r="N27" s="35">
        <f t="shared" si="2"/>
        <v>0</v>
      </c>
      <c r="O27" s="35">
        <f t="shared" si="2"/>
        <v>0</v>
      </c>
      <c r="P27" s="35">
        <f t="shared" si="2"/>
        <v>0</v>
      </c>
      <c r="Q27" s="35">
        <f t="shared" si="2"/>
        <v>0</v>
      </c>
      <c r="R27" s="35">
        <f t="shared" si="2"/>
        <v>0</v>
      </c>
      <c r="S27" s="35">
        <f t="shared" si="2"/>
        <v>0</v>
      </c>
      <c r="T27" s="1"/>
      <c r="U27" s="1"/>
    </row>
    <row r="28" spans="1:21" ht="15.75" customHeight="1" thickTop="1">
      <c r="A28" s="1"/>
      <c r="B28" s="1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"/>
      <c r="U28" s="1"/>
    </row>
    <row r="29" spans="1:21" ht="15.75" customHeight="1" thickBot="1">
      <c r="A29" s="36" t="s">
        <v>68</v>
      </c>
      <c r="B29" s="37"/>
      <c r="C29" s="37">
        <f t="shared" ref="C29:S29" si="3">C12-C27</f>
        <v>0</v>
      </c>
      <c r="D29" s="37">
        <f t="shared" si="3"/>
        <v>0</v>
      </c>
      <c r="E29" s="37">
        <f t="shared" si="3"/>
        <v>0</v>
      </c>
      <c r="F29" s="37">
        <f t="shared" si="3"/>
        <v>0</v>
      </c>
      <c r="G29" s="37">
        <f t="shared" si="3"/>
        <v>0</v>
      </c>
      <c r="H29" s="37">
        <f t="shared" si="3"/>
        <v>330261.33</v>
      </c>
      <c r="I29" s="37">
        <f t="shared" si="3"/>
        <v>207768.71</v>
      </c>
      <c r="J29" s="37">
        <f t="shared" si="3"/>
        <v>-7488.4799999999959</v>
      </c>
      <c r="K29" s="37">
        <f t="shared" si="3"/>
        <v>-43188.479999999996</v>
      </c>
      <c r="L29" s="37">
        <f t="shared" si="3"/>
        <v>-69838.48</v>
      </c>
      <c r="M29" s="37">
        <f t="shared" si="3"/>
        <v>-34238.479999999996</v>
      </c>
      <c r="N29" s="37">
        <f t="shared" si="3"/>
        <v>0</v>
      </c>
      <c r="O29" s="37">
        <f t="shared" si="3"/>
        <v>0</v>
      </c>
      <c r="P29" s="37">
        <f t="shared" si="3"/>
        <v>0</v>
      </c>
      <c r="Q29" s="37">
        <f t="shared" si="3"/>
        <v>0</v>
      </c>
      <c r="R29" s="37">
        <f t="shared" si="3"/>
        <v>0</v>
      </c>
      <c r="S29" s="37">
        <f t="shared" si="3"/>
        <v>0</v>
      </c>
      <c r="T29" s="1"/>
      <c r="U29" s="1"/>
    </row>
    <row r="30" spans="1:21" ht="15.75" customHeight="1" thickTop="1">
      <c r="A30" s="1"/>
      <c r="B30" s="1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"/>
      <c r="U30" s="1"/>
    </row>
    <row r="31" spans="1:21" ht="15.75" customHeight="1">
      <c r="A31" s="1" t="s">
        <v>69</v>
      </c>
      <c r="B31" s="1"/>
      <c r="C31" s="38">
        <v>8970.5400000000009</v>
      </c>
      <c r="D31" s="21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1"/>
      <c r="U31" s="1"/>
    </row>
    <row r="32" spans="1:21" ht="15.75" customHeight="1">
      <c r="A32" s="1" t="s">
        <v>70</v>
      </c>
      <c r="B32" s="1"/>
      <c r="C32" s="38">
        <v>178357.54</v>
      </c>
      <c r="D32" s="21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1"/>
      <c r="U32" s="1"/>
    </row>
    <row r="33" spans="1:21" ht="15.75" customHeight="1">
      <c r="A33" s="1" t="s">
        <v>71</v>
      </c>
      <c r="B33" s="1"/>
      <c r="C33" s="38">
        <v>2498.64</v>
      </c>
      <c r="D33" s="21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1"/>
      <c r="U33" s="1"/>
    </row>
    <row r="34" spans="1:21" ht="15.75" customHeight="1">
      <c r="A34" s="1"/>
      <c r="B34" s="1"/>
      <c r="C34" s="39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1"/>
      <c r="U34" s="1"/>
    </row>
    <row r="35" spans="1:21" ht="15.75" customHeight="1" thickBot="1">
      <c r="A35" s="41" t="s">
        <v>72</v>
      </c>
      <c r="B35" s="42"/>
      <c r="C35" s="42">
        <f t="shared" ref="C35:S35" si="4">SUM(C31:C34)</f>
        <v>189826.72000000003</v>
      </c>
      <c r="D35" s="42">
        <f t="shared" si="4"/>
        <v>0</v>
      </c>
      <c r="E35" s="42">
        <f t="shared" si="4"/>
        <v>0</v>
      </c>
      <c r="F35" s="42">
        <f t="shared" si="4"/>
        <v>0</v>
      </c>
      <c r="G35" s="42">
        <f t="shared" si="4"/>
        <v>0</v>
      </c>
      <c r="H35" s="42">
        <f t="shared" si="4"/>
        <v>0</v>
      </c>
      <c r="I35" s="42">
        <f t="shared" si="4"/>
        <v>0</v>
      </c>
      <c r="J35" s="42">
        <f t="shared" si="4"/>
        <v>0</v>
      </c>
      <c r="K35" s="42">
        <f t="shared" si="4"/>
        <v>0</v>
      </c>
      <c r="L35" s="42">
        <f t="shared" si="4"/>
        <v>0</v>
      </c>
      <c r="M35" s="42">
        <f t="shared" si="4"/>
        <v>0</v>
      </c>
      <c r="N35" s="42">
        <f t="shared" si="4"/>
        <v>0</v>
      </c>
      <c r="O35" s="42">
        <f t="shared" si="4"/>
        <v>0</v>
      </c>
      <c r="P35" s="42">
        <f t="shared" si="4"/>
        <v>0</v>
      </c>
      <c r="Q35" s="42">
        <f t="shared" si="4"/>
        <v>0</v>
      </c>
      <c r="R35" s="42">
        <f t="shared" si="4"/>
        <v>0</v>
      </c>
      <c r="S35" s="42">
        <f t="shared" si="4"/>
        <v>0</v>
      </c>
      <c r="T35" s="1"/>
      <c r="U35" s="1"/>
    </row>
    <row r="36" spans="1:21" ht="15.75" customHeight="1" thickTop="1">
      <c r="A36" s="1"/>
      <c r="B36" s="1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"/>
      <c r="U36" s="1"/>
    </row>
    <row r="37" spans="1:21" ht="15.75" customHeight="1">
      <c r="A37" s="14"/>
      <c r="B37" s="1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"/>
      <c r="U37" s="1"/>
    </row>
    <row r="38" spans="1:21" ht="15.75" customHeight="1" thickBot="1">
      <c r="A38" s="43" t="s">
        <v>73</v>
      </c>
      <c r="B38" s="44"/>
      <c r="C38" s="37">
        <f>C35</f>
        <v>189826.72000000003</v>
      </c>
      <c r="D38" s="37">
        <f t="shared" ref="D38:S38" si="5">D3+(D29+D35)</f>
        <v>189826.72000000003</v>
      </c>
      <c r="E38" s="37">
        <f t="shared" si="5"/>
        <v>189826.72000000003</v>
      </c>
      <c r="F38" s="37">
        <f t="shared" si="5"/>
        <v>189826.72000000003</v>
      </c>
      <c r="G38" s="37">
        <f t="shared" si="5"/>
        <v>189826.72000000003</v>
      </c>
      <c r="H38" s="37">
        <f t="shared" si="5"/>
        <v>520088.05000000005</v>
      </c>
      <c r="I38" s="37">
        <f t="shared" si="5"/>
        <v>727856.76</v>
      </c>
      <c r="J38" s="37">
        <f t="shared" si="5"/>
        <v>720368.28</v>
      </c>
      <c r="K38" s="37">
        <f t="shared" si="5"/>
        <v>677179.8</v>
      </c>
      <c r="L38" s="37">
        <f t="shared" si="5"/>
        <v>607341.32000000007</v>
      </c>
      <c r="M38" s="37">
        <f t="shared" si="5"/>
        <v>573102.84000000008</v>
      </c>
      <c r="N38" s="37">
        <f t="shared" si="5"/>
        <v>573102.84000000008</v>
      </c>
      <c r="O38" s="37">
        <f t="shared" si="5"/>
        <v>573102.84000000008</v>
      </c>
      <c r="P38" s="37">
        <f t="shared" si="5"/>
        <v>573102.84000000008</v>
      </c>
      <c r="Q38" s="37">
        <f t="shared" si="5"/>
        <v>573102.84000000008</v>
      </c>
      <c r="R38" s="37">
        <f t="shared" si="5"/>
        <v>573102.84000000008</v>
      </c>
      <c r="S38" s="37">
        <f t="shared" si="5"/>
        <v>573102.84000000008</v>
      </c>
      <c r="T38" s="1"/>
      <c r="U38" s="1"/>
    </row>
    <row r="39" spans="1:21" ht="15.75" customHeight="1" thickTop="1">
      <c r="A39" s="14"/>
      <c r="B39" s="1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"/>
      <c r="U39" s="1"/>
    </row>
    <row r="40" spans="1:21" ht="15.75" customHeight="1">
      <c r="A40" s="1" t="s">
        <v>74</v>
      </c>
      <c r="B40" s="1"/>
      <c r="C40" s="22">
        <v>150000</v>
      </c>
      <c r="D40" s="22">
        <v>150000</v>
      </c>
      <c r="E40" s="22">
        <v>150000</v>
      </c>
      <c r="F40" s="22">
        <v>150000</v>
      </c>
      <c r="G40" s="22">
        <v>150000</v>
      </c>
      <c r="H40" s="22">
        <v>150000</v>
      </c>
      <c r="I40" s="22">
        <v>150000</v>
      </c>
      <c r="J40" s="22">
        <v>150000</v>
      </c>
      <c r="K40" s="22">
        <v>150000</v>
      </c>
      <c r="L40" s="22">
        <v>150000</v>
      </c>
      <c r="M40" s="22">
        <v>150000</v>
      </c>
      <c r="N40" s="22"/>
      <c r="O40" s="22"/>
      <c r="P40" s="22"/>
      <c r="Q40" s="22"/>
      <c r="R40" s="22"/>
      <c r="S40" s="22"/>
      <c r="T40" s="1"/>
      <c r="U40" s="1"/>
    </row>
    <row r="41" spans="1:21" ht="15.75" hidden="1" customHeight="1">
      <c r="A41" s="1"/>
      <c r="B41" s="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1"/>
      <c r="U41" s="1"/>
    </row>
    <row r="42" spans="1:21" ht="15.75" hidden="1" customHeight="1">
      <c r="A42" s="1"/>
      <c r="B42" s="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1"/>
      <c r="U42" s="1"/>
    </row>
    <row r="43" spans="1:21" ht="15.75" hidden="1" customHeight="1">
      <c r="A43" s="1"/>
      <c r="B43" s="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1"/>
      <c r="U43" s="1"/>
    </row>
    <row r="44" spans="1:21" ht="15.75" customHeight="1" thickBot="1">
      <c r="A44" s="45" t="s">
        <v>75</v>
      </c>
      <c r="B44" s="46"/>
      <c r="C44" s="46">
        <f t="shared" ref="C44:S44" si="6">SUM(C40:C43)</f>
        <v>150000</v>
      </c>
      <c r="D44" s="46">
        <f t="shared" si="6"/>
        <v>150000</v>
      </c>
      <c r="E44" s="46">
        <f t="shared" si="6"/>
        <v>150000</v>
      </c>
      <c r="F44" s="46">
        <f t="shared" si="6"/>
        <v>150000</v>
      </c>
      <c r="G44" s="46">
        <f t="shared" si="6"/>
        <v>150000</v>
      </c>
      <c r="H44" s="46">
        <f t="shared" si="6"/>
        <v>150000</v>
      </c>
      <c r="I44" s="46">
        <f t="shared" si="6"/>
        <v>150000</v>
      </c>
      <c r="J44" s="46">
        <f t="shared" si="6"/>
        <v>150000</v>
      </c>
      <c r="K44" s="46">
        <f t="shared" si="6"/>
        <v>150000</v>
      </c>
      <c r="L44" s="46">
        <f t="shared" si="6"/>
        <v>150000</v>
      </c>
      <c r="M44" s="46">
        <f t="shared" si="6"/>
        <v>150000</v>
      </c>
      <c r="N44" s="46">
        <f t="shared" si="6"/>
        <v>0</v>
      </c>
      <c r="O44" s="46">
        <f t="shared" si="6"/>
        <v>0</v>
      </c>
      <c r="P44" s="46">
        <f t="shared" si="6"/>
        <v>0</v>
      </c>
      <c r="Q44" s="46">
        <f t="shared" si="6"/>
        <v>0</v>
      </c>
      <c r="R44" s="46">
        <f t="shared" si="6"/>
        <v>0</v>
      </c>
      <c r="S44" s="46">
        <f t="shared" si="6"/>
        <v>0</v>
      </c>
      <c r="T44" s="1"/>
      <c r="U44" s="1"/>
    </row>
    <row r="45" spans="1:21" ht="15.75" customHeight="1" thickTop="1">
      <c r="A45" s="1"/>
      <c r="B45" s="1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"/>
      <c r="U45" s="1"/>
    </row>
    <row r="46" spans="1:21" ht="15.75" customHeight="1" thickBot="1">
      <c r="A46" s="43" t="s">
        <v>76</v>
      </c>
      <c r="B46" s="44"/>
      <c r="C46" s="37">
        <f t="shared" ref="C46:S46" si="7">C38+C44</f>
        <v>339826.72000000003</v>
      </c>
      <c r="D46" s="37">
        <f t="shared" si="7"/>
        <v>339826.72000000003</v>
      </c>
      <c r="E46" s="37">
        <f t="shared" si="7"/>
        <v>339826.72000000003</v>
      </c>
      <c r="F46" s="37">
        <f t="shared" si="7"/>
        <v>339826.72000000003</v>
      </c>
      <c r="G46" s="37">
        <f t="shared" si="7"/>
        <v>339826.72000000003</v>
      </c>
      <c r="H46" s="37">
        <f t="shared" si="7"/>
        <v>670088.05000000005</v>
      </c>
      <c r="I46" s="37">
        <f t="shared" si="7"/>
        <v>877856.76</v>
      </c>
      <c r="J46" s="37">
        <f t="shared" si="7"/>
        <v>870368.28</v>
      </c>
      <c r="K46" s="37">
        <f t="shared" si="7"/>
        <v>827179.8</v>
      </c>
      <c r="L46" s="37">
        <f t="shared" si="7"/>
        <v>757341.32000000007</v>
      </c>
      <c r="M46" s="37">
        <f t="shared" si="7"/>
        <v>723102.84000000008</v>
      </c>
      <c r="N46" s="37">
        <f t="shared" si="7"/>
        <v>573102.84000000008</v>
      </c>
      <c r="O46" s="37">
        <f t="shared" si="7"/>
        <v>573102.84000000008</v>
      </c>
      <c r="P46" s="37">
        <f t="shared" si="7"/>
        <v>573102.84000000008</v>
      </c>
      <c r="Q46" s="37">
        <f t="shared" si="7"/>
        <v>573102.84000000008</v>
      </c>
      <c r="R46" s="37">
        <f t="shared" si="7"/>
        <v>573102.84000000008</v>
      </c>
      <c r="S46" s="37">
        <f t="shared" si="7"/>
        <v>573102.84000000008</v>
      </c>
      <c r="T46" s="1"/>
      <c r="U46" s="1"/>
    </row>
    <row r="47" spans="1:21" ht="15.75" customHeight="1" thickTop="1">
      <c r="A47" s="1"/>
      <c r="B47" s="1"/>
      <c r="C47" s="15"/>
      <c r="D47" s="15"/>
      <c r="E47" s="15"/>
      <c r="F47" s="15"/>
      <c r="G47" s="15"/>
      <c r="H47" s="15"/>
      <c r="I47" s="1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75" customHeight="1">
      <c r="A48" s="1"/>
      <c r="B48" s="1"/>
      <c r="C48" s="15"/>
      <c r="D48" s="15"/>
      <c r="E48" s="15"/>
      <c r="F48" s="15"/>
      <c r="G48" s="15"/>
      <c r="H48" s="15"/>
      <c r="I48" s="1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75" customHeight="1">
      <c r="A49" s="1"/>
      <c r="B49" s="1"/>
      <c r="C49" s="15"/>
      <c r="D49" s="15"/>
      <c r="E49" s="15"/>
      <c r="F49" s="15"/>
      <c r="G49" s="15"/>
      <c r="H49" s="15"/>
      <c r="I49" s="1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75" customHeight="1">
      <c r="A50" s="1"/>
      <c r="B50" s="1"/>
      <c r="C50" s="15"/>
      <c r="D50" s="15"/>
      <c r="E50" s="15"/>
      <c r="F50" s="15"/>
      <c r="G50" s="15"/>
      <c r="H50" s="15"/>
      <c r="I50" s="1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5" customHeight="1">
      <c r="A51" s="1"/>
      <c r="B51" s="1"/>
      <c r="C51" s="15"/>
      <c r="D51" s="15"/>
      <c r="E51" s="15"/>
      <c r="F51" s="15"/>
      <c r="G51" s="15"/>
      <c r="H51" s="15"/>
      <c r="I51" s="1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75" customHeight="1">
      <c r="A52" s="1"/>
      <c r="B52" s="1"/>
      <c r="C52" s="15"/>
      <c r="D52" s="15"/>
      <c r="E52" s="15"/>
      <c r="F52" s="15"/>
      <c r="G52" s="15"/>
      <c r="H52" s="15"/>
      <c r="I52" s="1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75" customHeight="1">
      <c r="A53" s="1"/>
      <c r="B53" s="1"/>
      <c r="C53" s="15"/>
      <c r="D53" s="15"/>
      <c r="E53" s="15"/>
      <c r="F53" s="15"/>
      <c r="G53" s="15"/>
      <c r="H53" s="15"/>
      <c r="I53" s="1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customHeight="1">
      <c r="A54" s="1"/>
      <c r="B54" s="1"/>
      <c r="C54" s="15"/>
      <c r="D54" s="15"/>
      <c r="E54" s="15"/>
      <c r="F54" s="15"/>
      <c r="G54" s="15"/>
      <c r="H54" s="15"/>
      <c r="I54" s="1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customHeight="1">
      <c r="A55" s="1"/>
      <c r="B55" s="1"/>
      <c r="C55" s="15"/>
      <c r="D55" s="15"/>
      <c r="E55" s="15"/>
      <c r="F55" s="15"/>
      <c r="G55" s="15"/>
      <c r="H55" s="15"/>
      <c r="I55" s="1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5" customHeight="1">
      <c r="A56" s="1"/>
      <c r="B56" s="1"/>
      <c r="C56" s="15"/>
      <c r="D56" s="15"/>
      <c r="E56" s="15"/>
      <c r="F56" s="15"/>
      <c r="G56" s="15"/>
      <c r="H56" s="15"/>
      <c r="I56" s="1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.75" customHeight="1">
      <c r="A57" s="1"/>
      <c r="B57" s="1"/>
      <c r="C57" s="15"/>
      <c r="D57" s="15"/>
      <c r="E57" s="15"/>
      <c r="F57" s="15"/>
      <c r="G57" s="15"/>
      <c r="H57" s="15"/>
      <c r="I57" s="1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.75" customHeight="1">
      <c r="A58" s="1"/>
      <c r="B58" s="1"/>
      <c r="C58" s="15"/>
      <c r="D58" s="15"/>
      <c r="E58" s="15"/>
      <c r="F58" s="15"/>
      <c r="G58" s="15"/>
      <c r="H58" s="15"/>
      <c r="I58" s="1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.75" customHeight="1">
      <c r="A59" s="1"/>
      <c r="B59" s="1"/>
      <c r="C59" s="15"/>
      <c r="D59" s="15"/>
      <c r="E59" s="15"/>
      <c r="F59" s="15"/>
      <c r="G59" s="15"/>
      <c r="H59" s="15"/>
      <c r="I59" s="1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.75" customHeight="1">
      <c r="A60" s="1"/>
      <c r="B60" s="1"/>
      <c r="C60" s="15"/>
      <c r="D60" s="15"/>
      <c r="E60" s="15"/>
      <c r="F60" s="15"/>
      <c r="G60" s="15"/>
      <c r="H60" s="15"/>
      <c r="I60" s="1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.75" customHeight="1">
      <c r="A61" s="1"/>
      <c r="B61" s="1"/>
      <c r="C61" s="15"/>
      <c r="D61" s="15"/>
      <c r="E61" s="15"/>
      <c r="F61" s="15"/>
      <c r="G61" s="15"/>
      <c r="H61" s="15"/>
      <c r="I61" s="1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.75" customHeight="1">
      <c r="A62" s="1"/>
      <c r="B62" s="1"/>
      <c r="C62" s="15"/>
      <c r="D62" s="15"/>
      <c r="E62" s="15"/>
      <c r="F62" s="15"/>
      <c r="G62" s="15"/>
      <c r="H62" s="15"/>
      <c r="I62" s="1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.75" customHeight="1">
      <c r="A63" s="1"/>
      <c r="B63" s="1"/>
      <c r="C63" s="15"/>
      <c r="D63" s="15"/>
      <c r="E63" s="15"/>
      <c r="F63" s="15"/>
      <c r="G63" s="15"/>
      <c r="H63" s="15"/>
      <c r="I63" s="1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.75" customHeight="1">
      <c r="A64" s="1"/>
      <c r="B64" s="1"/>
      <c r="C64" s="15"/>
      <c r="D64" s="15"/>
      <c r="E64" s="15"/>
      <c r="F64" s="15"/>
      <c r="G64" s="15"/>
      <c r="H64" s="15"/>
      <c r="I64" s="1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75" customHeight="1">
      <c r="A65" s="1"/>
      <c r="B65" s="1"/>
      <c r="C65" s="15"/>
      <c r="D65" s="15"/>
      <c r="E65" s="15"/>
      <c r="F65" s="15"/>
      <c r="G65" s="15"/>
      <c r="H65" s="15"/>
      <c r="I65" s="1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75" customHeight="1">
      <c r="A66" s="1"/>
      <c r="B66" s="1"/>
      <c r="C66" s="15"/>
      <c r="D66" s="15"/>
      <c r="E66" s="15"/>
      <c r="F66" s="15"/>
      <c r="G66" s="15"/>
      <c r="H66" s="15"/>
      <c r="I66" s="1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75" customHeight="1">
      <c r="A67" s="1"/>
      <c r="B67" s="1"/>
      <c r="C67" s="15"/>
      <c r="D67" s="15"/>
      <c r="E67" s="15"/>
      <c r="F67" s="15"/>
      <c r="G67" s="15"/>
      <c r="H67" s="15"/>
      <c r="I67" s="1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75" customHeight="1">
      <c r="A68" s="1"/>
      <c r="B68" s="1"/>
      <c r="C68" s="15"/>
      <c r="D68" s="15"/>
      <c r="E68" s="15"/>
      <c r="F68" s="15"/>
      <c r="G68" s="15"/>
      <c r="H68" s="15"/>
      <c r="I68" s="1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75" customHeight="1">
      <c r="A69" s="1"/>
      <c r="B69" s="1"/>
      <c r="C69" s="15"/>
      <c r="D69" s="15"/>
      <c r="E69" s="15"/>
      <c r="F69" s="15"/>
      <c r="G69" s="15"/>
      <c r="H69" s="15"/>
      <c r="I69" s="1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75" customHeight="1">
      <c r="A70" s="1"/>
      <c r="B70" s="1"/>
      <c r="C70" s="15"/>
      <c r="D70" s="15"/>
      <c r="E70" s="15"/>
      <c r="F70" s="15"/>
      <c r="G70" s="15"/>
      <c r="H70" s="15"/>
      <c r="I70" s="1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75" customHeight="1">
      <c r="A71" s="1"/>
      <c r="B71" s="1"/>
      <c r="C71" s="15"/>
      <c r="D71" s="15"/>
      <c r="E71" s="15"/>
      <c r="F71" s="15"/>
      <c r="G71" s="15"/>
      <c r="H71" s="15"/>
      <c r="I71" s="1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75" customHeight="1">
      <c r="A72" s="1"/>
      <c r="B72" s="1"/>
      <c r="C72" s="15"/>
      <c r="D72" s="15"/>
      <c r="E72" s="15"/>
      <c r="F72" s="15"/>
      <c r="G72" s="15"/>
      <c r="H72" s="15"/>
      <c r="I72" s="1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75" customHeight="1">
      <c r="A73" s="1"/>
      <c r="B73" s="1"/>
      <c r="C73" s="15"/>
      <c r="D73" s="15"/>
      <c r="E73" s="15"/>
      <c r="F73" s="15"/>
      <c r="G73" s="15"/>
      <c r="H73" s="15"/>
      <c r="I73" s="1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75" customHeight="1">
      <c r="A74" s="1"/>
      <c r="B74" s="1"/>
      <c r="C74" s="15"/>
      <c r="D74" s="15"/>
      <c r="E74" s="15"/>
      <c r="F74" s="15"/>
      <c r="G74" s="15"/>
      <c r="H74" s="15"/>
      <c r="I74" s="1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75" customHeight="1">
      <c r="A75" s="1"/>
      <c r="B75" s="1"/>
      <c r="C75" s="15"/>
      <c r="D75" s="15"/>
      <c r="E75" s="15"/>
      <c r="F75" s="15"/>
      <c r="G75" s="15"/>
      <c r="H75" s="15"/>
      <c r="I75" s="1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75" customHeight="1">
      <c r="A76" s="1"/>
      <c r="B76" s="1"/>
      <c r="C76" s="15"/>
      <c r="D76" s="15"/>
      <c r="E76" s="15"/>
      <c r="F76" s="15"/>
      <c r="G76" s="15"/>
      <c r="H76" s="15"/>
      <c r="I76" s="1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75" customHeight="1">
      <c r="A77" s="1"/>
      <c r="B77" s="1"/>
      <c r="C77" s="15"/>
      <c r="D77" s="15"/>
      <c r="E77" s="15"/>
      <c r="F77" s="15"/>
      <c r="G77" s="15"/>
      <c r="H77" s="15"/>
      <c r="I77" s="1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75" customHeight="1">
      <c r="A78" s="1"/>
      <c r="B78" s="1"/>
      <c r="C78" s="15"/>
      <c r="D78" s="15"/>
      <c r="E78" s="15"/>
      <c r="F78" s="15"/>
      <c r="G78" s="15"/>
      <c r="H78" s="15"/>
      <c r="I78" s="1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75" customHeight="1">
      <c r="A79" s="1"/>
      <c r="B79" s="1"/>
      <c r="C79" s="15"/>
      <c r="D79" s="15"/>
      <c r="E79" s="15"/>
      <c r="F79" s="15"/>
      <c r="G79" s="15"/>
      <c r="H79" s="15"/>
      <c r="I79" s="1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75" customHeight="1">
      <c r="A80" s="1"/>
      <c r="B80" s="1"/>
      <c r="C80" s="15"/>
      <c r="D80" s="15"/>
      <c r="E80" s="15"/>
      <c r="F80" s="15"/>
      <c r="G80" s="15"/>
      <c r="H80" s="15"/>
      <c r="I80" s="1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75" customHeight="1">
      <c r="A81" s="1"/>
      <c r="B81" s="1"/>
      <c r="C81" s="15"/>
      <c r="D81" s="15"/>
      <c r="E81" s="15"/>
      <c r="F81" s="15"/>
      <c r="G81" s="15"/>
      <c r="H81" s="15"/>
      <c r="I81" s="1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75" customHeight="1">
      <c r="A82" s="1"/>
      <c r="B82" s="1"/>
      <c r="C82" s="15"/>
      <c r="D82" s="15"/>
      <c r="E82" s="15"/>
      <c r="F82" s="15"/>
      <c r="G82" s="15"/>
      <c r="H82" s="15"/>
      <c r="I82" s="1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75" customHeight="1">
      <c r="A83" s="1"/>
      <c r="B83" s="1"/>
      <c r="C83" s="15"/>
      <c r="D83" s="15"/>
      <c r="E83" s="15"/>
      <c r="F83" s="15"/>
      <c r="G83" s="15"/>
      <c r="H83" s="15"/>
      <c r="I83" s="1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75" customHeight="1">
      <c r="A84" s="1"/>
      <c r="B84" s="1"/>
      <c r="C84" s="15"/>
      <c r="D84" s="15"/>
      <c r="E84" s="15"/>
      <c r="F84" s="15"/>
      <c r="G84" s="15"/>
      <c r="H84" s="15"/>
      <c r="I84" s="1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75" customHeight="1">
      <c r="A85" s="1"/>
      <c r="B85" s="1"/>
      <c r="C85" s="15"/>
      <c r="D85" s="15"/>
      <c r="E85" s="15"/>
      <c r="F85" s="15"/>
      <c r="G85" s="15"/>
      <c r="H85" s="15"/>
      <c r="I85" s="1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75" customHeight="1">
      <c r="A86" s="1"/>
      <c r="B86" s="1"/>
      <c r="C86" s="15"/>
      <c r="D86" s="15"/>
      <c r="E86" s="15"/>
      <c r="F86" s="15"/>
      <c r="G86" s="15"/>
      <c r="H86" s="15"/>
      <c r="I86" s="1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75" customHeight="1">
      <c r="A87" s="1"/>
      <c r="B87" s="1"/>
      <c r="C87" s="15"/>
      <c r="D87" s="15"/>
      <c r="E87" s="15"/>
      <c r="F87" s="15"/>
      <c r="G87" s="15"/>
      <c r="H87" s="15"/>
      <c r="I87" s="1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75" customHeight="1">
      <c r="A88" s="1"/>
      <c r="B88" s="1"/>
      <c r="C88" s="15"/>
      <c r="D88" s="15"/>
      <c r="E88" s="15"/>
      <c r="F88" s="15"/>
      <c r="G88" s="15"/>
      <c r="H88" s="15"/>
      <c r="I88" s="1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75" customHeight="1">
      <c r="A89" s="1"/>
      <c r="B89" s="1"/>
      <c r="C89" s="15"/>
      <c r="D89" s="15"/>
      <c r="E89" s="15"/>
      <c r="F89" s="15"/>
      <c r="G89" s="15"/>
      <c r="H89" s="15"/>
      <c r="I89" s="1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75" customHeight="1">
      <c r="A90" s="1"/>
      <c r="B90" s="1"/>
      <c r="C90" s="15"/>
      <c r="D90" s="15"/>
      <c r="E90" s="15"/>
      <c r="F90" s="15"/>
      <c r="G90" s="15"/>
      <c r="H90" s="15"/>
      <c r="I90" s="15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75" customHeight="1">
      <c r="A91" s="1"/>
      <c r="B91" s="1"/>
      <c r="C91" s="15"/>
      <c r="D91" s="15"/>
      <c r="E91" s="15"/>
      <c r="F91" s="15"/>
      <c r="G91" s="15"/>
      <c r="H91" s="15"/>
      <c r="I91" s="1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75" customHeight="1">
      <c r="A92" s="1"/>
      <c r="B92" s="1"/>
      <c r="C92" s="15"/>
      <c r="D92" s="15"/>
      <c r="E92" s="15"/>
      <c r="F92" s="15"/>
      <c r="G92" s="15"/>
      <c r="H92" s="15"/>
      <c r="I92" s="1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75" customHeight="1">
      <c r="A93" s="1"/>
      <c r="B93" s="1"/>
      <c r="C93" s="15"/>
      <c r="D93" s="15"/>
      <c r="E93" s="15"/>
      <c r="F93" s="15"/>
      <c r="G93" s="15"/>
      <c r="H93" s="15"/>
      <c r="I93" s="1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75" customHeight="1">
      <c r="A94" s="1"/>
      <c r="B94" s="1"/>
      <c r="C94" s="15"/>
      <c r="D94" s="15"/>
      <c r="E94" s="15"/>
      <c r="F94" s="15"/>
      <c r="G94" s="15"/>
      <c r="H94" s="15"/>
      <c r="I94" s="15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75" customHeight="1">
      <c r="A95" s="1"/>
      <c r="B95" s="1"/>
      <c r="C95" s="15"/>
      <c r="D95" s="15"/>
      <c r="E95" s="15"/>
      <c r="F95" s="15"/>
      <c r="G95" s="15"/>
      <c r="H95" s="15"/>
      <c r="I95" s="1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customHeight="1">
      <c r="A96" s="1"/>
      <c r="B96" s="1"/>
      <c r="C96" s="15"/>
      <c r="D96" s="15"/>
      <c r="E96" s="15"/>
      <c r="F96" s="15"/>
      <c r="G96" s="15"/>
      <c r="H96" s="15"/>
      <c r="I96" s="1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75" customHeight="1">
      <c r="A97" s="1"/>
      <c r="B97" s="1"/>
      <c r="C97" s="15"/>
      <c r="D97" s="15"/>
      <c r="E97" s="15"/>
      <c r="F97" s="15"/>
      <c r="G97" s="15"/>
      <c r="H97" s="15"/>
      <c r="I97" s="1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75" customHeight="1">
      <c r="A98" s="1"/>
      <c r="B98" s="1"/>
      <c r="C98" s="15"/>
      <c r="D98" s="15"/>
      <c r="E98" s="15"/>
      <c r="F98" s="15"/>
      <c r="G98" s="15"/>
      <c r="H98" s="15"/>
      <c r="I98" s="1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75" customHeight="1">
      <c r="A99" s="1"/>
      <c r="B99" s="1"/>
      <c r="C99" s="15"/>
      <c r="D99" s="15"/>
      <c r="E99" s="15"/>
      <c r="F99" s="15"/>
      <c r="G99" s="15"/>
      <c r="H99" s="15"/>
      <c r="I99" s="15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75" customHeight="1">
      <c r="A100" s="1"/>
      <c r="B100" s="1"/>
      <c r="C100" s="15"/>
      <c r="D100" s="15"/>
      <c r="E100" s="15"/>
      <c r="F100" s="15"/>
      <c r="G100" s="15"/>
      <c r="H100" s="15"/>
      <c r="I100" s="15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75" customHeight="1">
      <c r="A101" s="1"/>
      <c r="B101" s="1"/>
      <c r="C101" s="15"/>
      <c r="D101" s="15"/>
      <c r="E101" s="15"/>
      <c r="F101" s="15"/>
      <c r="G101" s="15"/>
      <c r="H101" s="15"/>
      <c r="I101" s="1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75" customHeight="1">
      <c r="A102" s="1"/>
      <c r="B102" s="1"/>
      <c r="C102" s="15"/>
      <c r="D102" s="15"/>
      <c r="E102" s="15"/>
      <c r="F102" s="15"/>
      <c r="G102" s="15"/>
      <c r="H102" s="15"/>
      <c r="I102" s="1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75" customHeight="1">
      <c r="A103" s="1"/>
      <c r="B103" s="1"/>
      <c r="C103" s="15"/>
      <c r="D103" s="15"/>
      <c r="E103" s="15"/>
      <c r="F103" s="15"/>
      <c r="G103" s="15"/>
      <c r="H103" s="15"/>
      <c r="I103" s="1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75" customHeight="1">
      <c r="A104" s="1"/>
      <c r="B104" s="1"/>
      <c r="C104" s="15"/>
      <c r="D104" s="15"/>
      <c r="E104" s="15"/>
      <c r="F104" s="15"/>
      <c r="G104" s="15"/>
      <c r="H104" s="15"/>
      <c r="I104" s="1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75" customHeight="1">
      <c r="A105" s="1"/>
      <c r="B105" s="1"/>
      <c r="C105" s="15"/>
      <c r="D105" s="15"/>
      <c r="E105" s="15"/>
      <c r="F105" s="15"/>
      <c r="G105" s="15"/>
      <c r="H105" s="15"/>
      <c r="I105" s="1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75" customHeight="1">
      <c r="A106" s="1"/>
      <c r="B106" s="1"/>
      <c r="C106" s="15"/>
      <c r="D106" s="15"/>
      <c r="E106" s="15"/>
      <c r="F106" s="15"/>
      <c r="G106" s="15"/>
      <c r="H106" s="15"/>
      <c r="I106" s="1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75" customHeight="1">
      <c r="A107" s="1"/>
      <c r="B107" s="1"/>
      <c r="C107" s="15"/>
      <c r="D107" s="15"/>
      <c r="E107" s="15"/>
      <c r="F107" s="15"/>
      <c r="G107" s="15"/>
      <c r="H107" s="15"/>
      <c r="I107" s="1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75" customHeight="1">
      <c r="A108" s="1"/>
      <c r="B108" s="1"/>
      <c r="C108" s="15"/>
      <c r="D108" s="15"/>
      <c r="E108" s="15"/>
      <c r="F108" s="15"/>
      <c r="G108" s="15"/>
      <c r="H108" s="15"/>
      <c r="I108" s="1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75" customHeight="1">
      <c r="A109" s="1"/>
      <c r="B109" s="1"/>
      <c r="C109" s="15"/>
      <c r="D109" s="15"/>
      <c r="E109" s="15"/>
      <c r="F109" s="15"/>
      <c r="G109" s="15"/>
      <c r="H109" s="15"/>
      <c r="I109" s="1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75" customHeight="1">
      <c r="A110" s="1"/>
      <c r="B110" s="1"/>
      <c r="C110" s="15"/>
      <c r="D110" s="15"/>
      <c r="E110" s="15"/>
      <c r="F110" s="15"/>
      <c r="G110" s="15"/>
      <c r="H110" s="15"/>
      <c r="I110" s="1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75" customHeight="1">
      <c r="A111" s="1"/>
      <c r="B111" s="1"/>
      <c r="C111" s="15"/>
      <c r="D111" s="15"/>
      <c r="E111" s="15"/>
      <c r="F111" s="15"/>
      <c r="G111" s="15"/>
      <c r="H111" s="15"/>
      <c r="I111" s="1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75" customHeight="1">
      <c r="A112" s="1"/>
      <c r="B112" s="1"/>
      <c r="C112" s="15"/>
      <c r="D112" s="15"/>
      <c r="E112" s="15"/>
      <c r="F112" s="15"/>
      <c r="G112" s="15"/>
      <c r="H112" s="15"/>
      <c r="I112" s="1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75" customHeight="1">
      <c r="A113" s="1"/>
      <c r="B113" s="1"/>
      <c r="C113" s="15"/>
      <c r="D113" s="15"/>
      <c r="E113" s="15"/>
      <c r="F113" s="15"/>
      <c r="G113" s="15"/>
      <c r="H113" s="15"/>
      <c r="I113" s="1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75" customHeight="1">
      <c r="A114" s="1"/>
      <c r="B114" s="1"/>
      <c r="C114" s="15"/>
      <c r="D114" s="15"/>
      <c r="E114" s="15"/>
      <c r="F114" s="15"/>
      <c r="G114" s="15"/>
      <c r="H114" s="15"/>
      <c r="I114" s="1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75" customHeight="1">
      <c r="A115" s="1"/>
      <c r="B115" s="1"/>
      <c r="C115" s="15"/>
      <c r="D115" s="15"/>
      <c r="E115" s="15"/>
      <c r="F115" s="15"/>
      <c r="G115" s="15"/>
      <c r="H115" s="15"/>
      <c r="I115" s="1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75" customHeight="1">
      <c r="A116" s="1"/>
      <c r="B116" s="1"/>
      <c r="C116" s="15"/>
      <c r="D116" s="15"/>
      <c r="E116" s="15"/>
      <c r="F116" s="15"/>
      <c r="G116" s="15"/>
      <c r="H116" s="15"/>
      <c r="I116" s="1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75" customHeight="1">
      <c r="A117" s="1"/>
      <c r="B117" s="1"/>
      <c r="C117" s="15"/>
      <c r="D117" s="15"/>
      <c r="E117" s="15"/>
      <c r="F117" s="15"/>
      <c r="G117" s="15"/>
      <c r="H117" s="15"/>
      <c r="I117" s="1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75" customHeight="1">
      <c r="A118" s="1"/>
      <c r="B118" s="1"/>
      <c r="C118" s="15"/>
      <c r="D118" s="15"/>
      <c r="E118" s="15"/>
      <c r="F118" s="15"/>
      <c r="G118" s="15"/>
      <c r="H118" s="15"/>
      <c r="I118" s="1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75" customHeight="1">
      <c r="A119" s="1"/>
      <c r="B119" s="1"/>
      <c r="C119" s="15"/>
      <c r="D119" s="15"/>
      <c r="E119" s="15"/>
      <c r="F119" s="15"/>
      <c r="G119" s="15"/>
      <c r="H119" s="15"/>
      <c r="I119" s="1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75" customHeight="1">
      <c r="A120" s="1"/>
      <c r="B120" s="1"/>
      <c r="C120" s="15"/>
      <c r="D120" s="15"/>
      <c r="E120" s="15"/>
      <c r="F120" s="15"/>
      <c r="G120" s="15"/>
      <c r="H120" s="15"/>
      <c r="I120" s="1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75" customHeight="1">
      <c r="A121" s="1"/>
      <c r="B121" s="1"/>
      <c r="C121" s="15"/>
      <c r="D121" s="15"/>
      <c r="E121" s="15"/>
      <c r="F121" s="15"/>
      <c r="G121" s="15"/>
      <c r="H121" s="15"/>
      <c r="I121" s="1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75" customHeight="1">
      <c r="A122" s="1"/>
      <c r="B122" s="1"/>
      <c r="C122" s="15"/>
      <c r="D122" s="15"/>
      <c r="E122" s="15"/>
      <c r="F122" s="15"/>
      <c r="G122" s="15"/>
      <c r="H122" s="15"/>
      <c r="I122" s="1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75" customHeight="1">
      <c r="A123" s="1"/>
      <c r="B123" s="1"/>
      <c r="C123" s="15"/>
      <c r="D123" s="15"/>
      <c r="E123" s="15"/>
      <c r="F123" s="15"/>
      <c r="G123" s="15"/>
      <c r="H123" s="15"/>
      <c r="I123" s="1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75" customHeight="1">
      <c r="A124" s="1"/>
      <c r="B124" s="1"/>
      <c r="C124" s="15"/>
      <c r="D124" s="15"/>
      <c r="E124" s="15"/>
      <c r="F124" s="15"/>
      <c r="G124" s="15"/>
      <c r="H124" s="15"/>
      <c r="I124" s="1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75" customHeight="1">
      <c r="A125" s="1"/>
      <c r="B125" s="1"/>
      <c r="C125" s="15"/>
      <c r="D125" s="15"/>
      <c r="E125" s="15"/>
      <c r="F125" s="15"/>
      <c r="G125" s="15"/>
      <c r="H125" s="15"/>
      <c r="I125" s="1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75" customHeight="1">
      <c r="A126" s="1"/>
      <c r="B126" s="1"/>
      <c r="C126" s="15"/>
      <c r="D126" s="15"/>
      <c r="E126" s="15"/>
      <c r="F126" s="15"/>
      <c r="G126" s="15"/>
      <c r="H126" s="15"/>
      <c r="I126" s="1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75" customHeight="1">
      <c r="A127" s="1"/>
      <c r="B127" s="1"/>
      <c r="C127" s="15"/>
      <c r="D127" s="15"/>
      <c r="E127" s="15"/>
      <c r="F127" s="15"/>
      <c r="G127" s="15"/>
      <c r="H127" s="15"/>
      <c r="I127" s="1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75" customHeight="1">
      <c r="A128" s="1"/>
      <c r="B128" s="1"/>
      <c r="C128" s="15"/>
      <c r="D128" s="15"/>
      <c r="E128" s="15"/>
      <c r="F128" s="15"/>
      <c r="G128" s="15"/>
      <c r="H128" s="15"/>
      <c r="I128" s="1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75" customHeight="1">
      <c r="A129" s="1"/>
      <c r="B129" s="1"/>
      <c r="C129" s="15"/>
      <c r="D129" s="15"/>
      <c r="E129" s="15"/>
      <c r="F129" s="15"/>
      <c r="G129" s="15"/>
      <c r="H129" s="15"/>
      <c r="I129" s="1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75" customHeight="1">
      <c r="A130" s="1"/>
      <c r="B130" s="1"/>
      <c r="C130" s="15"/>
      <c r="D130" s="15"/>
      <c r="E130" s="15"/>
      <c r="F130" s="15"/>
      <c r="G130" s="15"/>
      <c r="H130" s="15"/>
      <c r="I130" s="1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75" customHeight="1">
      <c r="A131" s="1"/>
      <c r="B131" s="1"/>
      <c r="C131" s="15"/>
      <c r="D131" s="15"/>
      <c r="E131" s="15"/>
      <c r="F131" s="15"/>
      <c r="G131" s="15"/>
      <c r="H131" s="15"/>
      <c r="I131" s="1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75" customHeight="1">
      <c r="A132" s="1"/>
      <c r="B132" s="1"/>
      <c r="C132" s="15"/>
      <c r="D132" s="15"/>
      <c r="E132" s="15"/>
      <c r="F132" s="15"/>
      <c r="G132" s="15"/>
      <c r="H132" s="15"/>
      <c r="I132" s="1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75" customHeight="1">
      <c r="A133" s="1"/>
      <c r="B133" s="1"/>
      <c r="C133" s="15"/>
      <c r="D133" s="15"/>
      <c r="E133" s="15"/>
      <c r="F133" s="15"/>
      <c r="G133" s="15"/>
      <c r="H133" s="15"/>
      <c r="I133" s="15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75" customHeight="1">
      <c r="A134" s="1"/>
      <c r="B134" s="1"/>
      <c r="C134" s="15"/>
      <c r="D134" s="15"/>
      <c r="E134" s="15"/>
      <c r="F134" s="15"/>
      <c r="G134" s="15"/>
      <c r="H134" s="15"/>
      <c r="I134" s="1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75" customHeight="1">
      <c r="A135" s="1"/>
      <c r="B135" s="1"/>
      <c r="C135" s="15"/>
      <c r="D135" s="15"/>
      <c r="E135" s="15"/>
      <c r="F135" s="15"/>
      <c r="G135" s="15"/>
      <c r="H135" s="15"/>
      <c r="I135" s="1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75" customHeight="1">
      <c r="A136" s="1"/>
      <c r="B136" s="1"/>
      <c r="C136" s="15"/>
      <c r="D136" s="15"/>
      <c r="E136" s="15"/>
      <c r="F136" s="15"/>
      <c r="G136" s="15"/>
      <c r="H136" s="15"/>
      <c r="I136" s="15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75" customHeight="1">
      <c r="A137" s="1"/>
      <c r="B137" s="1"/>
      <c r="C137" s="15"/>
      <c r="D137" s="15"/>
      <c r="E137" s="15"/>
      <c r="F137" s="15"/>
      <c r="G137" s="15"/>
      <c r="H137" s="15"/>
      <c r="I137" s="1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75" customHeight="1">
      <c r="A138" s="1"/>
      <c r="B138" s="1"/>
      <c r="C138" s="15"/>
      <c r="D138" s="15"/>
      <c r="E138" s="15"/>
      <c r="F138" s="15"/>
      <c r="G138" s="15"/>
      <c r="H138" s="15"/>
      <c r="I138" s="1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75" customHeight="1">
      <c r="A139" s="1"/>
      <c r="B139" s="1"/>
      <c r="C139" s="15"/>
      <c r="D139" s="15"/>
      <c r="E139" s="15"/>
      <c r="F139" s="15"/>
      <c r="G139" s="15"/>
      <c r="H139" s="15"/>
      <c r="I139" s="15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75" customHeight="1">
      <c r="A140" s="1"/>
      <c r="B140" s="1"/>
      <c r="C140" s="15"/>
      <c r="D140" s="15"/>
      <c r="E140" s="15"/>
      <c r="F140" s="15"/>
      <c r="G140" s="15"/>
      <c r="H140" s="15"/>
      <c r="I140" s="1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75" customHeight="1">
      <c r="A141" s="1"/>
      <c r="B141" s="1"/>
      <c r="C141" s="15"/>
      <c r="D141" s="15"/>
      <c r="E141" s="15"/>
      <c r="F141" s="15"/>
      <c r="G141" s="15"/>
      <c r="H141" s="15"/>
      <c r="I141" s="1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75" customHeight="1">
      <c r="A142" s="1"/>
      <c r="B142" s="1"/>
      <c r="C142" s="15"/>
      <c r="D142" s="15"/>
      <c r="E142" s="15"/>
      <c r="F142" s="15"/>
      <c r="G142" s="15"/>
      <c r="H142" s="15"/>
      <c r="I142" s="1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75" customHeight="1">
      <c r="A143" s="1"/>
      <c r="B143" s="1"/>
      <c r="C143" s="15"/>
      <c r="D143" s="15"/>
      <c r="E143" s="15"/>
      <c r="F143" s="15"/>
      <c r="G143" s="15"/>
      <c r="H143" s="15"/>
      <c r="I143" s="1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75" customHeight="1">
      <c r="A144" s="1"/>
      <c r="B144" s="1"/>
      <c r="C144" s="15"/>
      <c r="D144" s="15"/>
      <c r="E144" s="15"/>
      <c r="F144" s="15"/>
      <c r="G144" s="15"/>
      <c r="H144" s="15"/>
      <c r="I144" s="15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75" customHeight="1">
      <c r="A145" s="1"/>
      <c r="B145" s="1"/>
      <c r="C145" s="15"/>
      <c r="D145" s="15"/>
      <c r="E145" s="15"/>
      <c r="F145" s="15"/>
      <c r="G145" s="15"/>
      <c r="H145" s="15"/>
      <c r="I145" s="15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75" customHeight="1">
      <c r="A146" s="1"/>
      <c r="B146" s="1"/>
      <c r="C146" s="15"/>
      <c r="D146" s="15"/>
      <c r="E146" s="15"/>
      <c r="F146" s="15"/>
      <c r="G146" s="15"/>
      <c r="H146" s="15"/>
      <c r="I146" s="1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75" customHeight="1">
      <c r="A147" s="1"/>
      <c r="B147" s="1"/>
      <c r="C147" s="15"/>
      <c r="D147" s="15"/>
      <c r="E147" s="15"/>
      <c r="F147" s="15"/>
      <c r="G147" s="15"/>
      <c r="H147" s="15"/>
      <c r="I147" s="1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75" customHeight="1">
      <c r="A148" s="1"/>
      <c r="B148" s="1"/>
      <c r="C148" s="15"/>
      <c r="D148" s="15"/>
      <c r="E148" s="15"/>
      <c r="F148" s="15"/>
      <c r="G148" s="15"/>
      <c r="H148" s="15"/>
      <c r="I148" s="1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75" customHeight="1">
      <c r="A149" s="1"/>
      <c r="B149" s="1"/>
      <c r="C149" s="15"/>
      <c r="D149" s="15"/>
      <c r="E149" s="15"/>
      <c r="F149" s="15"/>
      <c r="G149" s="15"/>
      <c r="H149" s="15"/>
      <c r="I149" s="1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75" customHeight="1">
      <c r="A150" s="1"/>
      <c r="B150" s="1"/>
      <c r="C150" s="15"/>
      <c r="D150" s="15"/>
      <c r="E150" s="15"/>
      <c r="F150" s="15"/>
      <c r="G150" s="15"/>
      <c r="H150" s="15"/>
      <c r="I150" s="15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75" customHeight="1">
      <c r="A151" s="1"/>
      <c r="B151" s="1"/>
      <c r="C151" s="15"/>
      <c r="D151" s="15"/>
      <c r="E151" s="15"/>
      <c r="F151" s="15"/>
      <c r="G151" s="15"/>
      <c r="H151" s="15"/>
      <c r="I151" s="1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75" customHeight="1">
      <c r="A152" s="1"/>
      <c r="B152" s="1"/>
      <c r="C152" s="15"/>
      <c r="D152" s="15"/>
      <c r="E152" s="15"/>
      <c r="F152" s="15"/>
      <c r="G152" s="15"/>
      <c r="H152" s="15"/>
      <c r="I152" s="1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75" customHeight="1">
      <c r="A153" s="1"/>
      <c r="B153" s="1"/>
      <c r="C153" s="15"/>
      <c r="D153" s="15"/>
      <c r="E153" s="15"/>
      <c r="F153" s="15"/>
      <c r="G153" s="15"/>
      <c r="H153" s="15"/>
      <c r="I153" s="1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75" customHeight="1">
      <c r="A154" s="1"/>
      <c r="B154" s="1"/>
      <c r="C154" s="15"/>
      <c r="D154" s="15"/>
      <c r="E154" s="15"/>
      <c r="F154" s="15"/>
      <c r="G154" s="15"/>
      <c r="H154" s="15"/>
      <c r="I154" s="15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75" customHeight="1">
      <c r="A155" s="1"/>
      <c r="B155" s="1"/>
      <c r="C155" s="15"/>
      <c r="D155" s="15"/>
      <c r="E155" s="15"/>
      <c r="F155" s="15"/>
      <c r="G155" s="15"/>
      <c r="H155" s="15"/>
      <c r="I155" s="1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75" customHeight="1">
      <c r="A156" s="1"/>
      <c r="B156" s="1"/>
      <c r="C156" s="15"/>
      <c r="D156" s="15"/>
      <c r="E156" s="15"/>
      <c r="F156" s="15"/>
      <c r="G156" s="15"/>
      <c r="H156" s="15"/>
      <c r="I156" s="1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75" customHeight="1">
      <c r="A157" s="1"/>
      <c r="B157" s="1"/>
      <c r="C157" s="15"/>
      <c r="D157" s="15"/>
      <c r="E157" s="15"/>
      <c r="F157" s="15"/>
      <c r="G157" s="15"/>
      <c r="H157" s="15"/>
      <c r="I157" s="1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75" customHeight="1">
      <c r="A158" s="1"/>
      <c r="B158" s="1"/>
      <c r="C158" s="15"/>
      <c r="D158" s="15"/>
      <c r="E158" s="15"/>
      <c r="F158" s="15"/>
      <c r="G158" s="15"/>
      <c r="H158" s="15"/>
      <c r="I158" s="1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75" customHeight="1">
      <c r="A159" s="1"/>
      <c r="B159" s="1"/>
      <c r="C159" s="15"/>
      <c r="D159" s="15"/>
      <c r="E159" s="15"/>
      <c r="F159" s="15"/>
      <c r="G159" s="15"/>
      <c r="H159" s="15"/>
      <c r="I159" s="1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75" customHeight="1">
      <c r="A160" s="1"/>
      <c r="B160" s="1"/>
      <c r="C160" s="15"/>
      <c r="D160" s="15"/>
      <c r="E160" s="15"/>
      <c r="F160" s="15"/>
      <c r="G160" s="15"/>
      <c r="H160" s="15"/>
      <c r="I160" s="1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75" customHeight="1">
      <c r="A161" s="1"/>
      <c r="B161" s="1"/>
      <c r="C161" s="15"/>
      <c r="D161" s="15"/>
      <c r="E161" s="15"/>
      <c r="F161" s="15"/>
      <c r="G161" s="15"/>
      <c r="H161" s="15"/>
      <c r="I161" s="1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75" customHeight="1">
      <c r="A162" s="1"/>
      <c r="B162" s="1"/>
      <c r="C162" s="15"/>
      <c r="D162" s="15"/>
      <c r="E162" s="15"/>
      <c r="F162" s="15"/>
      <c r="G162" s="15"/>
      <c r="H162" s="15"/>
      <c r="I162" s="15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75" customHeight="1">
      <c r="A163" s="1"/>
      <c r="B163" s="1"/>
      <c r="C163" s="15"/>
      <c r="D163" s="15"/>
      <c r="E163" s="15"/>
      <c r="F163" s="15"/>
      <c r="G163" s="15"/>
      <c r="H163" s="15"/>
      <c r="I163" s="1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75" customHeight="1">
      <c r="A164" s="1"/>
      <c r="B164" s="1"/>
      <c r="C164" s="15"/>
      <c r="D164" s="15"/>
      <c r="E164" s="15"/>
      <c r="F164" s="15"/>
      <c r="G164" s="15"/>
      <c r="H164" s="15"/>
      <c r="I164" s="1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75" customHeight="1">
      <c r="A165" s="1"/>
      <c r="B165" s="1"/>
      <c r="C165" s="15"/>
      <c r="D165" s="15"/>
      <c r="E165" s="15"/>
      <c r="F165" s="15"/>
      <c r="G165" s="15"/>
      <c r="H165" s="15"/>
      <c r="I165" s="1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75" customHeight="1">
      <c r="A166" s="1"/>
      <c r="B166" s="1"/>
      <c r="C166" s="15"/>
      <c r="D166" s="15"/>
      <c r="E166" s="15"/>
      <c r="F166" s="15"/>
      <c r="G166" s="15"/>
      <c r="H166" s="15"/>
      <c r="I166" s="1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75" customHeight="1">
      <c r="A167" s="1"/>
      <c r="B167" s="1"/>
      <c r="C167" s="15"/>
      <c r="D167" s="15"/>
      <c r="E167" s="15"/>
      <c r="F167" s="15"/>
      <c r="G167" s="15"/>
      <c r="H167" s="15"/>
      <c r="I167" s="1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75" customHeight="1">
      <c r="A168" s="1"/>
      <c r="B168" s="1"/>
      <c r="C168" s="15"/>
      <c r="D168" s="15"/>
      <c r="E168" s="15"/>
      <c r="F168" s="15"/>
      <c r="G168" s="15"/>
      <c r="H168" s="15"/>
      <c r="I168" s="1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75" customHeight="1">
      <c r="A169" s="1"/>
      <c r="B169" s="1"/>
      <c r="C169" s="15"/>
      <c r="D169" s="15"/>
      <c r="E169" s="15"/>
      <c r="F169" s="15"/>
      <c r="G169" s="15"/>
      <c r="H169" s="15"/>
      <c r="I169" s="15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75" customHeight="1">
      <c r="A170" s="1"/>
      <c r="B170" s="1"/>
      <c r="C170" s="15"/>
      <c r="D170" s="15"/>
      <c r="E170" s="15"/>
      <c r="F170" s="15"/>
      <c r="G170" s="15"/>
      <c r="H170" s="15"/>
      <c r="I170" s="15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75" customHeight="1">
      <c r="A171" s="1"/>
      <c r="B171" s="1"/>
      <c r="C171" s="15"/>
      <c r="D171" s="15"/>
      <c r="E171" s="15"/>
      <c r="F171" s="15"/>
      <c r="G171" s="15"/>
      <c r="H171" s="15"/>
      <c r="I171" s="15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75" customHeight="1">
      <c r="A172" s="1"/>
      <c r="B172" s="1"/>
      <c r="C172" s="15"/>
      <c r="D172" s="15"/>
      <c r="E172" s="15"/>
      <c r="F172" s="15"/>
      <c r="G172" s="15"/>
      <c r="H172" s="15"/>
      <c r="I172" s="15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75" customHeight="1">
      <c r="A173" s="1"/>
      <c r="B173" s="1"/>
      <c r="C173" s="15"/>
      <c r="D173" s="15"/>
      <c r="E173" s="15"/>
      <c r="F173" s="15"/>
      <c r="G173" s="15"/>
      <c r="H173" s="15"/>
      <c r="I173" s="1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75" customHeight="1">
      <c r="A174" s="1"/>
      <c r="B174" s="1"/>
      <c r="C174" s="15"/>
      <c r="D174" s="15"/>
      <c r="E174" s="15"/>
      <c r="F174" s="15"/>
      <c r="G174" s="15"/>
      <c r="H174" s="15"/>
      <c r="I174" s="15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75" customHeight="1">
      <c r="A175" s="1"/>
      <c r="B175" s="1"/>
      <c r="C175" s="15"/>
      <c r="D175" s="15"/>
      <c r="E175" s="15"/>
      <c r="F175" s="15"/>
      <c r="G175" s="15"/>
      <c r="H175" s="15"/>
      <c r="I175" s="15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75" customHeight="1">
      <c r="A176" s="1"/>
      <c r="B176" s="1"/>
      <c r="C176" s="15"/>
      <c r="D176" s="15"/>
      <c r="E176" s="15"/>
      <c r="F176" s="15"/>
      <c r="G176" s="15"/>
      <c r="H176" s="15"/>
      <c r="I176" s="15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75" customHeight="1">
      <c r="A177" s="1"/>
      <c r="B177" s="1"/>
      <c r="C177" s="15"/>
      <c r="D177" s="15"/>
      <c r="E177" s="15"/>
      <c r="F177" s="15"/>
      <c r="G177" s="15"/>
      <c r="H177" s="15"/>
      <c r="I177" s="1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75" customHeight="1">
      <c r="A178" s="1"/>
      <c r="B178" s="1"/>
      <c r="C178" s="15"/>
      <c r="D178" s="15"/>
      <c r="E178" s="15"/>
      <c r="F178" s="15"/>
      <c r="G178" s="15"/>
      <c r="H178" s="15"/>
      <c r="I178" s="1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75" customHeight="1">
      <c r="A179" s="1"/>
      <c r="B179" s="1"/>
      <c r="C179" s="15"/>
      <c r="D179" s="15"/>
      <c r="E179" s="15"/>
      <c r="F179" s="15"/>
      <c r="G179" s="15"/>
      <c r="H179" s="15"/>
      <c r="I179" s="1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75" customHeight="1">
      <c r="A180" s="1"/>
      <c r="B180" s="1"/>
      <c r="C180" s="15"/>
      <c r="D180" s="15"/>
      <c r="E180" s="15"/>
      <c r="F180" s="15"/>
      <c r="G180" s="15"/>
      <c r="H180" s="15"/>
      <c r="I180" s="1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75" customHeight="1">
      <c r="A181" s="1"/>
      <c r="B181" s="1"/>
      <c r="C181" s="15"/>
      <c r="D181" s="15"/>
      <c r="E181" s="15"/>
      <c r="F181" s="15"/>
      <c r="G181" s="15"/>
      <c r="H181" s="15"/>
      <c r="I181" s="1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75" customHeight="1">
      <c r="A182" s="1"/>
      <c r="B182" s="1"/>
      <c r="C182" s="15"/>
      <c r="D182" s="15"/>
      <c r="E182" s="15"/>
      <c r="F182" s="15"/>
      <c r="G182" s="15"/>
      <c r="H182" s="15"/>
      <c r="I182" s="1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75" customHeight="1">
      <c r="A183" s="1"/>
      <c r="B183" s="1"/>
      <c r="C183" s="15"/>
      <c r="D183" s="15"/>
      <c r="E183" s="15"/>
      <c r="F183" s="15"/>
      <c r="G183" s="15"/>
      <c r="H183" s="15"/>
      <c r="I183" s="1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75" customHeight="1">
      <c r="A184" s="1"/>
      <c r="B184" s="1"/>
      <c r="C184" s="15"/>
      <c r="D184" s="15"/>
      <c r="E184" s="15"/>
      <c r="F184" s="15"/>
      <c r="G184" s="15"/>
      <c r="H184" s="15"/>
      <c r="I184" s="1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75" customHeight="1">
      <c r="A185" s="1"/>
      <c r="B185" s="1"/>
      <c r="C185" s="15"/>
      <c r="D185" s="15"/>
      <c r="E185" s="15"/>
      <c r="F185" s="15"/>
      <c r="G185" s="15"/>
      <c r="H185" s="15"/>
      <c r="I185" s="1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75" customHeight="1">
      <c r="A186" s="1"/>
      <c r="B186" s="1"/>
      <c r="C186" s="15"/>
      <c r="D186" s="15"/>
      <c r="E186" s="15"/>
      <c r="F186" s="15"/>
      <c r="G186" s="15"/>
      <c r="H186" s="15"/>
      <c r="I186" s="1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75" customHeight="1">
      <c r="A187" s="1"/>
      <c r="B187" s="1"/>
      <c r="C187" s="15"/>
      <c r="D187" s="15"/>
      <c r="E187" s="15"/>
      <c r="F187" s="15"/>
      <c r="G187" s="15"/>
      <c r="H187" s="15"/>
      <c r="I187" s="1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75" customHeight="1">
      <c r="A188" s="1"/>
      <c r="B188" s="1"/>
      <c r="C188" s="15"/>
      <c r="D188" s="15"/>
      <c r="E188" s="15"/>
      <c r="F188" s="15"/>
      <c r="G188" s="15"/>
      <c r="H188" s="15"/>
      <c r="I188" s="1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75" customHeight="1">
      <c r="A189" s="1"/>
      <c r="B189" s="1"/>
      <c r="C189" s="15"/>
      <c r="D189" s="15"/>
      <c r="E189" s="15"/>
      <c r="F189" s="15"/>
      <c r="G189" s="15"/>
      <c r="H189" s="15"/>
      <c r="I189" s="1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75" customHeight="1">
      <c r="A190" s="1"/>
      <c r="B190" s="1"/>
      <c r="C190" s="15"/>
      <c r="D190" s="15"/>
      <c r="E190" s="15"/>
      <c r="F190" s="15"/>
      <c r="G190" s="15"/>
      <c r="H190" s="15"/>
      <c r="I190" s="1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75" customHeight="1">
      <c r="A191" s="1"/>
      <c r="B191" s="1"/>
      <c r="C191" s="15"/>
      <c r="D191" s="15"/>
      <c r="E191" s="15"/>
      <c r="F191" s="15"/>
      <c r="G191" s="15"/>
      <c r="H191" s="15"/>
      <c r="I191" s="1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75" customHeight="1">
      <c r="A192" s="1"/>
      <c r="B192" s="1"/>
      <c r="C192" s="15"/>
      <c r="D192" s="15"/>
      <c r="E192" s="15"/>
      <c r="F192" s="15"/>
      <c r="G192" s="15"/>
      <c r="H192" s="15"/>
      <c r="I192" s="1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75" customHeight="1">
      <c r="A193" s="1"/>
      <c r="B193" s="1"/>
      <c r="C193" s="15"/>
      <c r="D193" s="15"/>
      <c r="E193" s="15"/>
      <c r="F193" s="15"/>
      <c r="G193" s="15"/>
      <c r="H193" s="15"/>
      <c r="I193" s="1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75" customHeight="1">
      <c r="A194" s="1"/>
      <c r="B194" s="1"/>
      <c r="C194" s="15"/>
      <c r="D194" s="15"/>
      <c r="E194" s="15"/>
      <c r="F194" s="15"/>
      <c r="G194" s="15"/>
      <c r="H194" s="15"/>
      <c r="I194" s="1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75" customHeight="1">
      <c r="A195" s="1"/>
      <c r="B195" s="1"/>
      <c r="C195" s="15"/>
      <c r="D195" s="15"/>
      <c r="E195" s="15"/>
      <c r="F195" s="15"/>
      <c r="G195" s="15"/>
      <c r="H195" s="15"/>
      <c r="I195" s="1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75" customHeight="1">
      <c r="A196" s="1"/>
      <c r="B196" s="1"/>
      <c r="C196" s="15"/>
      <c r="D196" s="15"/>
      <c r="E196" s="15"/>
      <c r="F196" s="15"/>
      <c r="G196" s="15"/>
      <c r="H196" s="15"/>
      <c r="I196" s="1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75" customHeight="1">
      <c r="A197" s="1"/>
      <c r="B197" s="1"/>
      <c r="C197" s="15"/>
      <c r="D197" s="15"/>
      <c r="E197" s="15"/>
      <c r="F197" s="15"/>
      <c r="G197" s="15"/>
      <c r="H197" s="15"/>
      <c r="I197" s="1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75" customHeight="1">
      <c r="A198" s="1"/>
      <c r="B198" s="1"/>
      <c r="C198" s="15"/>
      <c r="D198" s="15"/>
      <c r="E198" s="15"/>
      <c r="F198" s="15"/>
      <c r="G198" s="15"/>
      <c r="H198" s="15"/>
      <c r="I198" s="1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75" customHeight="1">
      <c r="A199" s="1"/>
      <c r="B199" s="1"/>
      <c r="C199" s="15"/>
      <c r="D199" s="15"/>
      <c r="E199" s="15"/>
      <c r="F199" s="15"/>
      <c r="G199" s="15"/>
      <c r="H199" s="15"/>
      <c r="I199" s="1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75" customHeight="1">
      <c r="A200" s="1"/>
      <c r="B200" s="1"/>
      <c r="C200" s="15"/>
      <c r="D200" s="15"/>
      <c r="E200" s="15"/>
      <c r="F200" s="15"/>
      <c r="G200" s="15"/>
      <c r="H200" s="15"/>
      <c r="I200" s="1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75" customHeight="1">
      <c r="A201" s="1"/>
      <c r="B201" s="1"/>
      <c r="C201" s="15"/>
      <c r="D201" s="15"/>
      <c r="E201" s="15"/>
      <c r="F201" s="15"/>
      <c r="G201" s="15"/>
      <c r="H201" s="15"/>
      <c r="I201" s="1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75" customHeight="1">
      <c r="A202" s="1"/>
      <c r="B202" s="1"/>
      <c r="C202" s="15"/>
      <c r="D202" s="15"/>
      <c r="E202" s="15"/>
      <c r="F202" s="15"/>
      <c r="G202" s="15"/>
      <c r="H202" s="15"/>
      <c r="I202" s="1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75" customHeight="1">
      <c r="A203" s="1"/>
      <c r="B203" s="1"/>
      <c r="C203" s="15"/>
      <c r="D203" s="15"/>
      <c r="E203" s="15"/>
      <c r="F203" s="15"/>
      <c r="G203" s="15"/>
      <c r="H203" s="15"/>
      <c r="I203" s="1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75" customHeight="1">
      <c r="A204" s="1"/>
      <c r="B204" s="1"/>
      <c r="C204" s="15"/>
      <c r="D204" s="15"/>
      <c r="E204" s="15"/>
      <c r="F204" s="15"/>
      <c r="G204" s="15"/>
      <c r="H204" s="15"/>
      <c r="I204" s="1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75" customHeight="1">
      <c r="A205" s="1"/>
      <c r="B205" s="1"/>
      <c r="C205" s="15"/>
      <c r="D205" s="15"/>
      <c r="E205" s="15"/>
      <c r="F205" s="15"/>
      <c r="G205" s="15"/>
      <c r="H205" s="15"/>
      <c r="I205" s="1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75" customHeight="1">
      <c r="A206" s="1"/>
      <c r="B206" s="1"/>
      <c r="C206" s="15"/>
      <c r="D206" s="15"/>
      <c r="E206" s="15"/>
      <c r="F206" s="15"/>
      <c r="G206" s="15"/>
      <c r="H206" s="15"/>
      <c r="I206" s="1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75" customHeight="1">
      <c r="A207" s="1"/>
      <c r="B207" s="1"/>
      <c r="C207" s="15"/>
      <c r="D207" s="15"/>
      <c r="E207" s="15"/>
      <c r="F207" s="15"/>
      <c r="G207" s="15"/>
      <c r="H207" s="15"/>
      <c r="I207" s="1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75" customHeight="1">
      <c r="A208" s="1"/>
      <c r="B208" s="1"/>
      <c r="C208" s="15"/>
      <c r="D208" s="15"/>
      <c r="E208" s="15"/>
      <c r="F208" s="15"/>
      <c r="G208" s="15"/>
      <c r="H208" s="15"/>
      <c r="I208" s="1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75" customHeight="1">
      <c r="A209" s="1"/>
      <c r="B209" s="1"/>
      <c r="C209" s="15"/>
      <c r="D209" s="15"/>
      <c r="E209" s="15"/>
      <c r="F209" s="15"/>
      <c r="G209" s="15"/>
      <c r="H209" s="15"/>
      <c r="I209" s="1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75" customHeight="1">
      <c r="A210" s="1"/>
      <c r="B210" s="1"/>
      <c r="C210" s="15"/>
      <c r="D210" s="15"/>
      <c r="E210" s="15"/>
      <c r="F210" s="15"/>
      <c r="G210" s="15"/>
      <c r="H210" s="15"/>
      <c r="I210" s="1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75" customHeight="1">
      <c r="A211" s="1"/>
      <c r="B211" s="1"/>
      <c r="C211" s="15"/>
      <c r="D211" s="15"/>
      <c r="E211" s="15"/>
      <c r="F211" s="15"/>
      <c r="G211" s="15"/>
      <c r="H211" s="15"/>
      <c r="I211" s="1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75" customHeight="1">
      <c r="A212" s="1"/>
      <c r="B212" s="1"/>
      <c r="C212" s="15"/>
      <c r="D212" s="15"/>
      <c r="E212" s="15"/>
      <c r="F212" s="15"/>
      <c r="G212" s="15"/>
      <c r="H212" s="15"/>
      <c r="I212" s="1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75" customHeight="1">
      <c r="A213" s="1"/>
      <c r="B213" s="1"/>
      <c r="C213" s="15"/>
      <c r="D213" s="15"/>
      <c r="E213" s="15"/>
      <c r="F213" s="15"/>
      <c r="G213" s="15"/>
      <c r="H213" s="15"/>
      <c r="I213" s="1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75" customHeight="1">
      <c r="A214" s="1"/>
      <c r="B214" s="1"/>
      <c r="C214" s="15"/>
      <c r="D214" s="15"/>
      <c r="E214" s="15"/>
      <c r="F214" s="15"/>
      <c r="G214" s="15"/>
      <c r="H214" s="15"/>
      <c r="I214" s="1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75" customHeight="1">
      <c r="A215" s="1"/>
      <c r="B215" s="1"/>
      <c r="C215" s="15"/>
      <c r="D215" s="15"/>
      <c r="E215" s="15"/>
      <c r="F215" s="15"/>
      <c r="G215" s="15"/>
      <c r="H215" s="15"/>
      <c r="I215" s="1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75" customHeight="1">
      <c r="A216" s="1"/>
      <c r="B216" s="1"/>
      <c r="C216" s="15"/>
      <c r="D216" s="15"/>
      <c r="E216" s="15"/>
      <c r="F216" s="15"/>
      <c r="G216" s="15"/>
      <c r="H216" s="15"/>
      <c r="I216" s="1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75" customHeight="1">
      <c r="A217" s="1"/>
      <c r="B217" s="1"/>
      <c r="C217" s="15"/>
      <c r="D217" s="15"/>
      <c r="E217" s="15"/>
      <c r="F217" s="15"/>
      <c r="G217" s="15"/>
      <c r="H217" s="15"/>
      <c r="I217" s="1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75" customHeight="1">
      <c r="A218" s="1"/>
      <c r="B218" s="1"/>
      <c r="C218" s="15"/>
      <c r="D218" s="15"/>
      <c r="E218" s="15"/>
      <c r="F218" s="15"/>
      <c r="G218" s="15"/>
      <c r="H218" s="15"/>
      <c r="I218" s="1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75" customHeight="1">
      <c r="A219" s="1"/>
      <c r="B219" s="1"/>
      <c r="C219" s="15"/>
      <c r="D219" s="15"/>
      <c r="E219" s="15"/>
      <c r="F219" s="15"/>
      <c r="G219" s="15"/>
      <c r="H219" s="15"/>
      <c r="I219" s="1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75" customHeight="1">
      <c r="A220" s="1"/>
      <c r="B220" s="1"/>
      <c r="C220" s="15"/>
      <c r="D220" s="15"/>
      <c r="E220" s="15"/>
      <c r="F220" s="15"/>
      <c r="G220" s="15"/>
      <c r="H220" s="15"/>
      <c r="I220" s="1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>
      <c r="A221" s="1"/>
      <c r="B221" s="1"/>
      <c r="C221" s="15"/>
      <c r="D221" s="15"/>
      <c r="E221" s="15"/>
      <c r="F221" s="15"/>
      <c r="G221" s="15"/>
      <c r="H221" s="15"/>
      <c r="I221" s="1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75" customHeight="1">
      <c r="A222" s="1"/>
      <c r="B222" s="1"/>
      <c r="C222" s="15"/>
      <c r="D222" s="15"/>
      <c r="E222" s="15"/>
      <c r="F222" s="15"/>
      <c r="G222" s="15"/>
      <c r="H222" s="15"/>
      <c r="I222" s="1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75" customHeight="1">
      <c r="A223" s="1"/>
      <c r="B223" s="1"/>
      <c r="C223" s="15"/>
      <c r="D223" s="15"/>
      <c r="E223" s="15"/>
      <c r="F223" s="15"/>
      <c r="G223" s="15"/>
      <c r="H223" s="15"/>
      <c r="I223" s="15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75" customHeight="1">
      <c r="A224" s="1"/>
      <c r="B224" s="1"/>
      <c r="C224" s="15"/>
      <c r="D224" s="15"/>
      <c r="E224" s="15"/>
      <c r="F224" s="15"/>
      <c r="G224" s="15"/>
      <c r="H224" s="15"/>
      <c r="I224" s="15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75" customHeight="1">
      <c r="A225" s="1"/>
      <c r="B225" s="1"/>
      <c r="C225" s="15"/>
      <c r="D225" s="15"/>
      <c r="E225" s="15"/>
      <c r="F225" s="15"/>
      <c r="G225" s="15"/>
      <c r="H225" s="15"/>
      <c r="I225" s="15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>
      <c r="A226" s="1"/>
      <c r="B226" s="1"/>
      <c r="C226" s="15"/>
      <c r="D226" s="15"/>
      <c r="E226" s="15"/>
      <c r="F226" s="15"/>
      <c r="G226" s="15"/>
      <c r="H226" s="15"/>
      <c r="I226" s="15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>
      <c r="A227" s="1"/>
      <c r="B227" s="1"/>
      <c r="C227" s="15"/>
      <c r="D227" s="15"/>
      <c r="E227" s="15"/>
      <c r="F227" s="15"/>
      <c r="G227" s="15"/>
      <c r="H227" s="15"/>
      <c r="I227" s="15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75" customHeight="1">
      <c r="A228" s="1"/>
      <c r="B228" s="1"/>
      <c r="C228" s="15"/>
      <c r="D228" s="15"/>
      <c r="E228" s="15"/>
      <c r="F228" s="15"/>
      <c r="G228" s="15"/>
      <c r="H228" s="15"/>
      <c r="I228" s="15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75" customHeight="1">
      <c r="A229" s="1"/>
      <c r="B229" s="1"/>
      <c r="C229" s="15"/>
      <c r="D229" s="15"/>
      <c r="E229" s="15"/>
      <c r="F229" s="15"/>
      <c r="G229" s="15"/>
      <c r="H229" s="15"/>
      <c r="I229" s="15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75" customHeight="1">
      <c r="A230" s="1"/>
      <c r="B230" s="1"/>
      <c r="C230" s="15"/>
      <c r="D230" s="15"/>
      <c r="E230" s="15"/>
      <c r="F230" s="15"/>
      <c r="G230" s="15"/>
      <c r="H230" s="15"/>
      <c r="I230" s="15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75" customHeight="1">
      <c r="A231" s="1"/>
      <c r="B231" s="1"/>
      <c r="C231" s="15"/>
      <c r="D231" s="15"/>
      <c r="E231" s="15"/>
      <c r="F231" s="15"/>
      <c r="G231" s="15"/>
      <c r="H231" s="15"/>
      <c r="I231" s="15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75" customHeight="1">
      <c r="A232" s="1"/>
      <c r="B232" s="1"/>
      <c r="C232" s="15"/>
      <c r="D232" s="15"/>
      <c r="E232" s="15"/>
      <c r="F232" s="15"/>
      <c r="G232" s="15"/>
      <c r="H232" s="15"/>
      <c r="I232" s="15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.75" customHeight="1">
      <c r="A233" s="1"/>
      <c r="B233" s="1"/>
      <c r="C233" s="15"/>
      <c r="D233" s="15"/>
      <c r="E233" s="15"/>
      <c r="F233" s="15"/>
      <c r="G233" s="15"/>
      <c r="H233" s="15"/>
      <c r="I233" s="1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.75" customHeight="1">
      <c r="A234" s="1"/>
      <c r="B234" s="1"/>
      <c r="C234" s="15"/>
      <c r="D234" s="15"/>
      <c r="E234" s="15"/>
      <c r="F234" s="15"/>
      <c r="G234" s="15"/>
      <c r="H234" s="15"/>
      <c r="I234" s="1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.75" customHeight="1">
      <c r="A235" s="1"/>
      <c r="B235" s="1"/>
      <c r="C235" s="15"/>
      <c r="D235" s="15"/>
      <c r="E235" s="15"/>
      <c r="F235" s="15"/>
      <c r="G235" s="15"/>
      <c r="H235" s="15"/>
      <c r="I235" s="1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.75" customHeight="1">
      <c r="A236" s="1"/>
      <c r="B236" s="1"/>
      <c r="C236" s="15"/>
      <c r="D236" s="15"/>
      <c r="E236" s="15"/>
      <c r="F236" s="15"/>
      <c r="G236" s="15"/>
      <c r="H236" s="15"/>
      <c r="I236" s="1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.75" customHeight="1">
      <c r="A237" s="1"/>
      <c r="B237" s="1"/>
      <c r="C237" s="15"/>
      <c r="D237" s="15"/>
      <c r="E237" s="15"/>
      <c r="F237" s="15"/>
      <c r="G237" s="15"/>
      <c r="H237" s="15"/>
      <c r="I237" s="1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.75" customHeight="1">
      <c r="A238" s="1"/>
      <c r="B238" s="1"/>
      <c r="C238" s="15"/>
      <c r="D238" s="15"/>
      <c r="E238" s="15"/>
      <c r="F238" s="15"/>
      <c r="G238" s="15"/>
      <c r="H238" s="15"/>
      <c r="I238" s="1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.75" customHeight="1">
      <c r="A239" s="1"/>
      <c r="B239" s="1"/>
      <c r="C239" s="15"/>
      <c r="D239" s="15"/>
      <c r="E239" s="15"/>
      <c r="F239" s="15"/>
      <c r="G239" s="15"/>
      <c r="H239" s="15"/>
      <c r="I239" s="1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.75" customHeight="1">
      <c r="A240" s="1"/>
      <c r="B240" s="1"/>
      <c r="C240" s="15"/>
      <c r="D240" s="15"/>
      <c r="E240" s="15"/>
      <c r="F240" s="15"/>
      <c r="G240" s="15"/>
      <c r="H240" s="15"/>
      <c r="I240" s="1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.75" customHeight="1">
      <c r="A241" s="1"/>
      <c r="B241" s="1"/>
      <c r="C241" s="15"/>
      <c r="D241" s="15"/>
      <c r="E241" s="15"/>
      <c r="F241" s="15"/>
      <c r="G241" s="15"/>
      <c r="H241" s="15"/>
      <c r="I241" s="1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.75" customHeight="1">
      <c r="A242" s="1"/>
      <c r="B242" s="1"/>
      <c r="C242" s="15"/>
      <c r="D242" s="15"/>
      <c r="E242" s="15"/>
      <c r="F242" s="15"/>
      <c r="G242" s="15"/>
      <c r="H242" s="15"/>
      <c r="I242" s="1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3">
    <mergeCell ref="D1:M1"/>
    <mergeCell ref="A1:A2"/>
    <mergeCell ref="N1:S1"/>
  </mergeCells>
  <conditionalFormatting sqref="C38:S38 C46:S46">
    <cfRule type="cellIs" dxfId="1" priority="1" operator="greaterThan">
      <formula>0</formula>
    </cfRule>
    <cfRule type="cellIs" dxfId="0" priority="2" operator="lessThanOrEqual">
      <formula>0</formula>
    </cfRule>
  </conditionalFormatting>
  <pageMargins left="0.7" right="0.7" top="0.75" bottom="0.75" header="0" footer="0"/>
  <pageSetup paperSize="8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Z1000"/>
  <sheetViews>
    <sheetView workbookViewId="0"/>
  </sheetViews>
  <sheetFormatPr baseColWidth="10" defaultColWidth="11.1640625" defaultRowHeight="15" customHeight="1"/>
  <cols>
    <col min="1" max="3" width="10.1640625" customWidth="1"/>
    <col min="4" max="4" width="10.1640625" hidden="1" customWidth="1"/>
    <col min="5" max="9" width="13" hidden="1" customWidth="1"/>
    <col min="10" max="10" width="10.1640625" hidden="1" customWidth="1"/>
    <col min="11" max="13" width="13" hidden="1" customWidth="1"/>
    <col min="14" max="26" width="10.1640625" hidden="1" customWidth="1"/>
  </cols>
  <sheetData>
    <row r="1" spans="1:25" ht="15.75" customHeight="1">
      <c r="A1" s="11"/>
      <c r="B1" s="11"/>
      <c r="C1" s="47"/>
      <c r="D1" s="78">
        <v>2025</v>
      </c>
      <c r="E1" s="79"/>
      <c r="F1" s="79"/>
      <c r="G1" s="79"/>
      <c r="H1" s="81">
        <v>2026</v>
      </c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3">
        <v>2027</v>
      </c>
      <c r="U1" s="84"/>
      <c r="V1" s="84"/>
      <c r="W1" s="84"/>
      <c r="X1" s="84"/>
      <c r="Y1" s="85"/>
    </row>
    <row r="2" spans="1:25" ht="15.75" customHeight="1">
      <c r="A2" s="11"/>
      <c r="B2" s="11"/>
      <c r="C2" s="47"/>
      <c r="D2" s="80" t="s">
        <v>43</v>
      </c>
      <c r="E2" s="80" t="s">
        <v>44</v>
      </c>
      <c r="F2" s="80" t="s">
        <v>45</v>
      </c>
      <c r="G2" s="80" t="s">
        <v>46</v>
      </c>
      <c r="H2" s="74" t="s">
        <v>47</v>
      </c>
      <c r="I2" s="74" t="s">
        <v>48</v>
      </c>
      <c r="J2" s="74" t="s">
        <v>37</v>
      </c>
      <c r="K2" s="74" t="s">
        <v>38</v>
      </c>
      <c r="L2" s="75" t="s">
        <v>39</v>
      </c>
      <c r="M2" s="75" t="s">
        <v>40</v>
      </c>
      <c r="N2" s="75" t="s">
        <v>41</v>
      </c>
      <c r="O2" s="75" t="s">
        <v>42</v>
      </c>
      <c r="P2" s="75" t="s">
        <v>43</v>
      </c>
      <c r="Q2" s="75" t="s">
        <v>44</v>
      </c>
      <c r="R2" s="75" t="s">
        <v>45</v>
      </c>
      <c r="S2" s="75" t="s">
        <v>46</v>
      </c>
      <c r="T2" s="86" t="s">
        <v>47</v>
      </c>
      <c r="U2" s="86" t="s">
        <v>48</v>
      </c>
      <c r="V2" s="86" t="s">
        <v>37</v>
      </c>
      <c r="W2" s="86" t="s">
        <v>38</v>
      </c>
      <c r="X2" s="86" t="s">
        <v>39</v>
      </c>
      <c r="Y2" s="86" t="s">
        <v>40</v>
      </c>
    </row>
    <row r="3" spans="1:25" ht="15.75" customHeight="1">
      <c r="A3" s="32"/>
      <c r="B3" s="32" t="s">
        <v>57</v>
      </c>
      <c r="C3" s="48">
        <f>SUM(D3:Y3)</f>
        <v>89000</v>
      </c>
      <c r="D3" s="48">
        <f t="shared" ref="D3:Y3" si="0">SUM(D4:D134)</f>
        <v>0</v>
      </c>
      <c r="E3" s="48">
        <f t="shared" si="0"/>
        <v>0</v>
      </c>
      <c r="F3" s="48">
        <f t="shared" si="0"/>
        <v>0</v>
      </c>
      <c r="G3" s="48">
        <f t="shared" si="0"/>
        <v>0</v>
      </c>
      <c r="H3" s="48">
        <f t="shared" si="0"/>
        <v>0</v>
      </c>
      <c r="I3" s="48">
        <f t="shared" si="0"/>
        <v>0</v>
      </c>
      <c r="J3" s="48">
        <f t="shared" si="0"/>
        <v>0</v>
      </c>
      <c r="K3" s="48">
        <f t="shared" si="0"/>
        <v>0</v>
      </c>
      <c r="L3" s="48">
        <f t="shared" si="0"/>
        <v>0</v>
      </c>
      <c r="M3" s="48">
        <f t="shared" si="0"/>
        <v>0</v>
      </c>
      <c r="N3" s="48">
        <f t="shared" si="0"/>
        <v>16000</v>
      </c>
      <c r="O3" s="48">
        <f t="shared" si="0"/>
        <v>21000</v>
      </c>
      <c r="P3" s="48">
        <f t="shared" si="0"/>
        <v>15000</v>
      </c>
      <c r="Q3" s="48">
        <f t="shared" si="0"/>
        <v>14000</v>
      </c>
      <c r="R3" s="48">
        <f t="shared" si="0"/>
        <v>15000</v>
      </c>
      <c r="S3" s="48">
        <f t="shared" si="0"/>
        <v>8000</v>
      </c>
      <c r="T3" s="48">
        <f t="shared" si="0"/>
        <v>0</v>
      </c>
      <c r="U3" s="48">
        <f t="shared" si="0"/>
        <v>0</v>
      </c>
      <c r="V3" s="48">
        <f t="shared" si="0"/>
        <v>0</v>
      </c>
      <c r="W3" s="48">
        <f t="shared" si="0"/>
        <v>0</v>
      </c>
      <c r="X3" s="48">
        <f t="shared" si="0"/>
        <v>0</v>
      </c>
      <c r="Y3" s="48">
        <f t="shared" si="0"/>
        <v>0</v>
      </c>
    </row>
    <row r="4" spans="1:25" ht="15.75" customHeight="1">
      <c r="A4" s="1"/>
      <c r="B4" s="31" t="s">
        <v>77</v>
      </c>
      <c r="C4" s="49">
        <f>SUM(D4:Y4)</f>
        <v>56000</v>
      </c>
      <c r="D4" s="49"/>
      <c r="E4" s="49"/>
      <c r="F4" s="49">
        <v>0</v>
      </c>
      <c r="G4" s="49">
        <v>0</v>
      </c>
      <c r="H4" s="49"/>
      <c r="I4" s="49"/>
      <c r="J4" s="49"/>
      <c r="K4" s="49"/>
      <c r="L4" s="49"/>
      <c r="M4" s="49"/>
      <c r="N4" s="49">
        <f>10000+1000</f>
        <v>11000</v>
      </c>
      <c r="O4" s="49">
        <v>11000</v>
      </c>
      <c r="P4" s="49">
        <v>10000</v>
      </c>
      <c r="Q4" s="49">
        <v>9000</v>
      </c>
      <c r="R4" s="49">
        <v>10000</v>
      </c>
      <c r="S4" s="49">
        <v>5000</v>
      </c>
      <c r="T4" s="49"/>
      <c r="U4" s="49"/>
      <c r="V4" s="49"/>
      <c r="W4" s="49"/>
      <c r="X4" s="49"/>
      <c r="Y4" s="49"/>
    </row>
    <row r="5" spans="1:25" ht="15.75" customHeight="1">
      <c r="A5" s="1"/>
      <c r="B5" s="31" t="s">
        <v>78</v>
      </c>
      <c r="C5" s="22"/>
      <c r="D5" s="22"/>
      <c r="E5" s="21"/>
      <c r="F5" s="21">
        <v>0</v>
      </c>
      <c r="G5" s="21">
        <v>0</v>
      </c>
      <c r="H5" s="49"/>
      <c r="I5" s="21"/>
      <c r="J5" s="21"/>
      <c r="K5" s="21"/>
      <c r="L5" s="21"/>
      <c r="M5" s="21"/>
      <c r="N5" s="49">
        <v>5000</v>
      </c>
      <c r="O5" s="49">
        <v>10000</v>
      </c>
      <c r="P5" s="49">
        <v>5000</v>
      </c>
      <c r="Q5" s="49">
        <v>5000</v>
      </c>
      <c r="R5" s="49">
        <v>5000</v>
      </c>
      <c r="S5" s="21">
        <v>3000</v>
      </c>
      <c r="T5" s="21"/>
      <c r="U5" s="21"/>
      <c r="V5" s="21"/>
      <c r="W5" s="21"/>
      <c r="X5" s="21"/>
      <c r="Y5" s="21"/>
    </row>
    <row r="6" spans="1:25" ht="15.75" customHeight="1">
      <c r="A6" s="1"/>
      <c r="B6" s="31"/>
      <c r="C6" s="22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ht="15.75" customHeight="1">
      <c r="A7" s="1"/>
      <c r="B7" s="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.75" customHeight="1">
      <c r="A8" s="1"/>
      <c r="B8" s="1"/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>
      <c r="A9" s="1"/>
      <c r="B9" s="1"/>
      <c r="C9" s="21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>
      <c r="A10" s="1"/>
      <c r="B10" s="1"/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.75" customHeight="1">
      <c r="A11" s="1"/>
      <c r="B11" s="1"/>
      <c r="C11" s="21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>
      <c r="A12" s="1"/>
      <c r="B12" s="1"/>
      <c r="C12" s="21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ht="15.75" customHeight="1">
      <c r="A13" s="1"/>
      <c r="B13" s="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>
      <c r="A14" s="1"/>
      <c r="B14" s="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>
      <c r="A15" s="1"/>
      <c r="B15" s="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>
      <c r="A16" s="1"/>
      <c r="B16" s="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>
      <c r="A17" s="1"/>
      <c r="B17" s="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>
      <c r="A18" s="1"/>
      <c r="B18" s="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>
      <c r="A19" s="1"/>
      <c r="B19" s="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>
      <c r="A20" s="1"/>
      <c r="B20" s="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>
      <c r="A21" s="1"/>
      <c r="B21" s="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>
      <c r="A22" s="1"/>
      <c r="B22" s="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>
      <c r="A23" s="1"/>
      <c r="B23" s="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>
      <c r="A24" s="1"/>
      <c r="B24" s="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>
      <c r="A25" s="1"/>
      <c r="B25" s="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>
      <c r="A26" s="1"/>
      <c r="B26" s="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>
      <c r="A27" s="1"/>
      <c r="B27" s="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>
      <c r="A28" s="1"/>
      <c r="B28" s="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>
      <c r="A29" s="1"/>
      <c r="B29" s="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>
      <c r="A30" s="1"/>
      <c r="B30" s="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>
      <c r="A31" s="1"/>
      <c r="B31" s="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>
      <c r="A32" s="1"/>
      <c r="B32" s="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>
      <c r="A33" s="1"/>
      <c r="B33" s="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>
      <c r="A34" s="1"/>
      <c r="B34" s="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>
      <c r="A35" s="1"/>
      <c r="B35" s="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>
      <c r="A36" s="1"/>
      <c r="B36" s="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>
      <c r="A37" s="1"/>
      <c r="B37" s="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.75" customHeight="1">
      <c r="A38" s="1"/>
      <c r="B38" s="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.75" customHeight="1">
      <c r="A39" s="1"/>
      <c r="B39" s="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.75" customHeight="1">
      <c r="A40" s="1"/>
      <c r="B40" s="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.75" customHeight="1">
      <c r="A41" s="1"/>
      <c r="B41" s="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.75" customHeight="1">
      <c r="A42" s="1"/>
      <c r="B42" s="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.75" customHeight="1">
      <c r="A43" s="1"/>
      <c r="B43" s="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>
      <c r="A44" s="1"/>
      <c r="B44" s="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>
      <c r="A45" s="1"/>
      <c r="B45" s="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>
      <c r="A46" s="1"/>
      <c r="B46" s="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.75" customHeight="1">
      <c r="A47" s="1"/>
      <c r="B47" s="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.75" customHeight="1">
      <c r="A48" s="1"/>
      <c r="B48" s="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>
      <c r="A49" s="1"/>
      <c r="B49" s="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.75" customHeight="1">
      <c r="A50" s="1"/>
      <c r="B50" s="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customHeight="1">
      <c r="A51" s="1"/>
      <c r="B51" s="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>
      <c r="A52" s="1"/>
      <c r="B52" s="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customHeight="1">
      <c r="A53" s="1"/>
      <c r="B53" s="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customHeight="1">
      <c r="A54" s="1"/>
      <c r="B54" s="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>
      <c r="A55" s="1"/>
      <c r="B55" s="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customHeight="1">
      <c r="A56" s="1"/>
      <c r="B56" s="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customHeight="1">
      <c r="A57" s="1"/>
      <c r="B57" s="1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>
      <c r="A58" s="1"/>
      <c r="B58" s="1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.75" customHeight="1">
      <c r="A59" s="1"/>
      <c r="B59" s="1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.75" customHeight="1">
      <c r="A60" s="1"/>
      <c r="B60" s="1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>
      <c r="A61" s="1"/>
      <c r="B61" s="1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.75" customHeight="1">
      <c r="A62" s="1"/>
      <c r="B62" s="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.75" customHeight="1">
      <c r="A63" s="1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>
      <c r="A64" s="1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.75" customHeight="1">
      <c r="A65" s="1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.75" customHeight="1">
      <c r="A66" s="1"/>
      <c r="B66" s="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.75" customHeight="1">
      <c r="A67" s="1"/>
      <c r="B67" s="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.75" customHeight="1">
      <c r="A68" s="1"/>
      <c r="B68" s="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5.75" customHeight="1">
      <c r="A69" s="1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"/>
      <c r="Q69" s="1"/>
      <c r="R69" s="1"/>
      <c r="S69" s="1"/>
      <c r="T69" s="1"/>
      <c r="U69" s="1"/>
      <c r="V69" s="1"/>
    </row>
    <row r="70" spans="1:25" ht="15.75" customHeight="1">
      <c r="A70" s="1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</row>
    <row r="71" spans="1:25" ht="15.75" customHeight="1">
      <c r="A71" s="1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</row>
    <row r="72" spans="1:25" ht="15.75" customHeight="1">
      <c r="A72" s="1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</row>
    <row r="73" spans="1:25" ht="15.75" customHeight="1">
      <c r="A73" s="1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</row>
    <row r="74" spans="1:25" ht="15.75" customHeight="1">
      <c r="A74" s="1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</row>
    <row r="75" spans="1:25" ht="15.75" customHeight="1">
      <c r="A75" s="1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</row>
    <row r="76" spans="1:25" ht="15.75" customHeight="1">
      <c r="A76" s="1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</row>
    <row r="77" spans="1:25" ht="15.75" customHeight="1">
      <c r="A77" s="1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</row>
    <row r="78" spans="1:25" ht="15.75" customHeight="1">
      <c r="A78" s="1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</row>
    <row r="79" spans="1:25" ht="15.75" customHeight="1">
      <c r="A79" s="1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</row>
    <row r="80" spans="1:25" ht="15.75" customHeight="1">
      <c r="A80" s="1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H1:S1"/>
    <mergeCell ref="D1:G1"/>
    <mergeCell ref="T1:Y1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Y1000"/>
  <sheetViews>
    <sheetView workbookViewId="0"/>
  </sheetViews>
  <sheetFormatPr baseColWidth="10" defaultColWidth="11.1640625" defaultRowHeight="15" customHeight="1"/>
  <cols>
    <col min="1" max="1" width="6.5" customWidth="1"/>
    <col min="2" max="2" width="16.83203125" customWidth="1"/>
    <col min="3" max="3" width="9.1640625" customWidth="1"/>
    <col min="4" max="4" width="10.5" hidden="1" customWidth="1"/>
    <col min="5" max="5" width="10.1640625" hidden="1" customWidth="1"/>
    <col min="6" max="10" width="13" hidden="1" customWidth="1"/>
    <col min="11" max="11" width="5.1640625" hidden="1" customWidth="1"/>
    <col min="12" max="12" width="7.1640625" hidden="1" customWidth="1"/>
    <col min="13" max="13" width="11.1640625" hidden="1" customWidth="1"/>
    <col min="14" max="15" width="9.1640625" customWidth="1"/>
    <col min="16" max="16" width="13.1640625" customWidth="1"/>
    <col min="17" max="17" width="11" customWidth="1"/>
    <col min="18" max="18" width="12.1640625" customWidth="1"/>
    <col min="19" max="19" width="9.33203125" customWidth="1"/>
    <col min="20" max="22" width="6.5" customWidth="1"/>
    <col min="23" max="26" width="8.83203125" customWidth="1"/>
  </cols>
  <sheetData>
    <row r="1" spans="1:25" ht="15.75" customHeight="1">
      <c r="A1" s="11"/>
      <c r="B1" s="11"/>
      <c r="C1" s="47"/>
      <c r="D1" s="78">
        <v>2025</v>
      </c>
      <c r="E1" s="79"/>
      <c r="F1" s="79"/>
      <c r="G1" s="79"/>
      <c r="H1" s="81">
        <v>2026</v>
      </c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3">
        <v>2027</v>
      </c>
      <c r="U1" s="84"/>
      <c r="V1" s="84"/>
      <c r="W1" s="84"/>
      <c r="X1" s="84"/>
      <c r="Y1" s="85"/>
    </row>
    <row r="2" spans="1:25" ht="15.75" customHeight="1">
      <c r="A2" s="11"/>
      <c r="B2" s="11"/>
      <c r="C2" s="47"/>
      <c r="D2" s="80" t="s">
        <v>43</v>
      </c>
      <c r="E2" s="80" t="s">
        <v>44</v>
      </c>
      <c r="F2" s="80" t="s">
        <v>45</v>
      </c>
      <c r="G2" s="80" t="s">
        <v>46</v>
      </c>
      <c r="H2" s="74" t="s">
        <v>47</v>
      </c>
      <c r="I2" s="74" t="s">
        <v>48</v>
      </c>
      <c r="J2" s="74" t="s">
        <v>37</v>
      </c>
      <c r="K2" s="74" t="s">
        <v>38</v>
      </c>
      <c r="L2" s="75" t="s">
        <v>39</v>
      </c>
      <c r="M2" s="75" t="s">
        <v>40</v>
      </c>
      <c r="N2" s="75" t="s">
        <v>41</v>
      </c>
      <c r="O2" s="75" t="s">
        <v>42</v>
      </c>
      <c r="P2" s="75" t="s">
        <v>43</v>
      </c>
      <c r="Q2" s="75" t="s">
        <v>44</v>
      </c>
      <c r="R2" s="75" t="s">
        <v>45</v>
      </c>
      <c r="S2" s="75" t="s">
        <v>46</v>
      </c>
      <c r="T2" s="86" t="s">
        <v>47</v>
      </c>
      <c r="U2" s="86" t="s">
        <v>48</v>
      </c>
      <c r="V2" s="86" t="s">
        <v>37</v>
      </c>
      <c r="W2" s="86" t="s">
        <v>38</v>
      </c>
      <c r="X2" s="86" t="s">
        <v>39</v>
      </c>
      <c r="Y2" s="86" t="s">
        <v>40</v>
      </c>
    </row>
    <row r="3" spans="1:25" ht="15.75" customHeight="1">
      <c r="A3" s="32"/>
      <c r="B3" s="32" t="s">
        <v>58</v>
      </c>
      <c r="C3" s="48">
        <f>SUM(D3:Y3)</f>
        <v>23963.32</v>
      </c>
      <c r="D3" s="48">
        <f t="shared" ref="D3:Y3" si="0">SUM(D4:D133)</f>
        <v>0</v>
      </c>
      <c r="E3" s="48">
        <f t="shared" si="0"/>
        <v>0</v>
      </c>
      <c r="F3" s="48">
        <f t="shared" si="0"/>
        <v>0</v>
      </c>
      <c r="G3" s="48">
        <f t="shared" si="0"/>
        <v>0</v>
      </c>
      <c r="H3" s="48">
        <f t="shared" si="0"/>
        <v>0</v>
      </c>
      <c r="I3" s="48">
        <f t="shared" si="0"/>
        <v>0</v>
      </c>
      <c r="J3" s="48">
        <f t="shared" si="0"/>
        <v>0</v>
      </c>
      <c r="K3" s="48">
        <f t="shared" si="0"/>
        <v>0</v>
      </c>
      <c r="L3" s="48">
        <f t="shared" si="0"/>
        <v>0</v>
      </c>
      <c r="M3" s="48">
        <f t="shared" si="0"/>
        <v>0</v>
      </c>
      <c r="N3" s="48">
        <f t="shared" si="0"/>
        <v>19125.16</v>
      </c>
      <c r="O3" s="48">
        <f t="shared" si="0"/>
        <v>1338.1599999999999</v>
      </c>
      <c r="P3" s="48">
        <f t="shared" si="0"/>
        <v>850</v>
      </c>
      <c r="Q3" s="48">
        <f t="shared" si="0"/>
        <v>1250</v>
      </c>
      <c r="R3" s="48">
        <f t="shared" si="0"/>
        <v>900</v>
      </c>
      <c r="S3" s="48">
        <f t="shared" si="0"/>
        <v>500</v>
      </c>
      <c r="T3" s="48">
        <f t="shared" si="0"/>
        <v>0</v>
      </c>
      <c r="U3" s="48">
        <f t="shared" si="0"/>
        <v>0</v>
      </c>
      <c r="V3" s="48">
        <f t="shared" si="0"/>
        <v>0</v>
      </c>
      <c r="W3" s="48">
        <f t="shared" si="0"/>
        <v>0</v>
      </c>
      <c r="X3" s="48">
        <f t="shared" si="0"/>
        <v>0</v>
      </c>
      <c r="Y3" s="48">
        <f t="shared" si="0"/>
        <v>0</v>
      </c>
    </row>
    <row r="4" spans="1:25" ht="15.75" customHeight="1">
      <c r="A4" s="1" t="s">
        <v>79</v>
      </c>
      <c r="B4" s="31" t="s">
        <v>80</v>
      </c>
      <c r="C4" s="49">
        <f>SUM(D4:Y4)</f>
        <v>3980</v>
      </c>
      <c r="D4" s="49"/>
      <c r="E4" s="49"/>
      <c r="F4" s="49">
        <v>0</v>
      </c>
      <c r="G4" s="49">
        <v>0</v>
      </c>
      <c r="H4" s="49"/>
      <c r="I4" s="50"/>
      <c r="J4" s="50"/>
      <c r="K4" s="50"/>
      <c r="L4" s="49"/>
      <c r="M4" s="49"/>
      <c r="N4" s="49">
        <f>130</f>
        <v>130</v>
      </c>
      <c r="O4" s="49">
        <v>800</v>
      </c>
      <c r="P4" s="49">
        <v>850</v>
      </c>
      <c r="Q4" s="49">
        <v>800</v>
      </c>
      <c r="R4" s="49">
        <v>900</v>
      </c>
      <c r="S4" s="49">
        <v>500</v>
      </c>
      <c r="T4" s="49"/>
      <c r="U4" s="49"/>
      <c r="V4" s="49"/>
      <c r="W4" s="49"/>
      <c r="X4" s="49"/>
      <c r="Y4" s="49"/>
    </row>
    <row r="5" spans="1:25" ht="15.75" customHeight="1">
      <c r="A5" s="1" t="s">
        <v>79</v>
      </c>
      <c r="B5" s="31" t="s">
        <v>81</v>
      </c>
      <c r="C5" s="22">
        <f>SUM(D5:Y5)</f>
        <v>0</v>
      </c>
      <c r="D5" s="22"/>
      <c r="E5" s="22"/>
      <c r="F5" s="21">
        <v>0</v>
      </c>
      <c r="G5" s="22"/>
      <c r="H5" s="22"/>
      <c r="I5" s="22"/>
      <c r="J5" s="22"/>
      <c r="K5" s="22"/>
      <c r="L5" s="21"/>
      <c r="M5" s="22"/>
      <c r="N5" s="21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5.75" customHeight="1">
      <c r="A6" s="1"/>
      <c r="B6" s="31" t="s">
        <v>82</v>
      </c>
      <c r="C6" s="22">
        <f>SUM(D6:Y6)</f>
        <v>18147.18</v>
      </c>
      <c r="D6" s="21"/>
      <c r="E6" s="21"/>
      <c r="F6" s="21">
        <v>0</v>
      </c>
      <c r="G6" s="21"/>
      <c r="H6" s="21"/>
      <c r="I6" s="21"/>
      <c r="J6" s="21"/>
      <c r="K6" s="21"/>
      <c r="L6" s="21"/>
      <c r="M6" s="21"/>
      <c r="N6" s="21">
        <v>17348.16</v>
      </c>
      <c r="O6" s="21">
        <v>349.02</v>
      </c>
      <c r="P6" s="21"/>
      <c r="Q6" s="21">
        <v>450</v>
      </c>
      <c r="R6" s="21"/>
      <c r="S6" s="21"/>
      <c r="T6" s="21"/>
      <c r="U6" s="21"/>
      <c r="V6" s="21"/>
      <c r="W6" s="21"/>
      <c r="X6" s="21"/>
      <c r="Y6" s="21"/>
    </row>
    <row r="7" spans="1:25" ht="15.75" customHeight="1">
      <c r="A7" s="1" t="s">
        <v>79</v>
      </c>
      <c r="B7" s="20" t="s">
        <v>83</v>
      </c>
      <c r="C7" s="22">
        <f>SUM(D7:Y7)</f>
        <v>109.8</v>
      </c>
      <c r="D7" s="22"/>
      <c r="E7" s="22"/>
      <c r="F7" s="21"/>
      <c r="G7" s="21"/>
      <c r="H7" s="21"/>
      <c r="I7" s="22"/>
      <c r="J7" s="22"/>
      <c r="K7" s="22"/>
      <c r="L7" s="22"/>
      <c r="M7" s="22"/>
      <c r="N7" s="22">
        <v>109.8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.75" customHeight="1">
      <c r="A8" s="1">
        <v>1592</v>
      </c>
      <c r="B8" s="1" t="s">
        <v>84</v>
      </c>
      <c r="C8" s="21">
        <f>SUM(D8:Y8)</f>
        <v>1537.2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>
        <v>1537.2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>
      <c r="A9" s="1">
        <v>30</v>
      </c>
      <c r="B9" s="1" t="s">
        <v>85</v>
      </c>
      <c r="C9" s="21">
        <f>SUM(D9:Y9)</f>
        <v>189.14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>
        <v>189.14</v>
      </c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>
      <c r="A10" s="1"/>
      <c r="B10" s="1"/>
      <c r="C10" s="21">
        <f>SUM(D10:Y10)</f>
        <v>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.75" customHeight="1">
      <c r="A11" s="1"/>
      <c r="B11" s="1"/>
      <c r="C11" s="21">
        <f>SUM(D11:Y11)</f>
        <v>0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ht="15.75" customHeight="1">
      <c r="A12" s="1"/>
      <c r="B12" s="1"/>
      <c r="C12" s="22">
        <f>SUM(D12:Y12)</f>
        <v>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5.75" customHeight="1">
      <c r="A13" s="1"/>
      <c r="B13" s="1"/>
      <c r="C13" s="22">
        <f>SUM(D13:Y13)</f>
        <v>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>
      <c r="A14" s="1"/>
      <c r="B14" s="1"/>
      <c r="C14" s="22">
        <f>SUM(D14:Y14)</f>
        <v>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>
      <c r="A15" s="1"/>
      <c r="B15" s="1"/>
      <c r="C15" s="22">
        <f>SUM(D15:Y15)</f>
        <v>0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>
      <c r="A16" s="1"/>
      <c r="B16" s="1"/>
      <c r="C16" s="22">
        <f>SUM(D16:Y16)</f>
        <v>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>
      <c r="A17" s="1"/>
      <c r="B17" s="1"/>
      <c r="C17" s="22">
        <f>SUM(D17:Y17)</f>
        <v>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>
      <c r="A18" s="1"/>
      <c r="B18" s="1"/>
      <c r="C18" s="22">
        <f>SUM(D18:Y18)</f>
        <v>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>
      <c r="A19" s="1"/>
      <c r="B19" s="1"/>
      <c r="C19" s="22">
        <f>SUM(D19:Y19)</f>
        <v>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>
      <c r="A20" s="1"/>
      <c r="B20" s="1"/>
      <c r="C20" s="22">
        <f>SUM(D20:Y20)</f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>
      <c r="A21" s="1"/>
      <c r="B21" s="1"/>
      <c r="C21" s="22">
        <f>SUM(D21:Y21)</f>
        <v>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>
      <c r="A22" s="1"/>
      <c r="B22" s="1"/>
      <c r="C22" s="22">
        <f>SUM(D22:Y22)</f>
        <v>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>
      <c r="A23" s="1"/>
      <c r="B23" s="1"/>
      <c r="C23" s="22">
        <f>SUM(D23:Y23)</f>
        <v>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>
      <c r="A24" s="1"/>
      <c r="B24" s="1"/>
      <c r="C24" s="22">
        <f>SUM(D24:Y24)</f>
        <v>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>
      <c r="A25" s="1"/>
      <c r="B25" s="1"/>
      <c r="C25" s="22">
        <f>SUM(D25:Y25)</f>
        <v>0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>
      <c r="A26" s="1"/>
      <c r="B26" s="1"/>
      <c r="C26" s="22">
        <f>SUM(D26:Y26)</f>
        <v>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>
      <c r="A27" s="1"/>
      <c r="B27" s="1"/>
      <c r="C27" s="22">
        <f>SUM(D27:Y27)</f>
        <v>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>
      <c r="A28" s="1"/>
      <c r="B28" s="1"/>
      <c r="C28" s="22">
        <f>SUM(D28:Y28)</f>
        <v>0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>
      <c r="A29" s="1"/>
      <c r="B29" s="1"/>
      <c r="C29" s="22">
        <f>SUM(D29:Y29)</f>
        <v>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>
      <c r="A30" s="1"/>
      <c r="B30" s="1"/>
      <c r="C30" s="22">
        <f>SUM(D30:Y30)</f>
        <v>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>
      <c r="A31" s="1"/>
      <c r="B31" s="1"/>
      <c r="C31" s="22">
        <f>SUM(D31:Y31)</f>
        <v>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>
      <c r="A32" s="1"/>
      <c r="B32" s="1"/>
      <c r="C32" s="22">
        <f>SUM(D32:Y32)</f>
        <v>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>
      <c r="A33" s="1"/>
      <c r="B33" s="1"/>
      <c r="C33" s="22">
        <f>SUM(D33:Y33)</f>
        <v>0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>
      <c r="A34" s="1"/>
      <c r="B34" s="1"/>
      <c r="C34" s="22">
        <f>SUM(D34:Y34)</f>
        <v>0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>
      <c r="A35" s="1"/>
      <c r="B35" s="1"/>
      <c r="C35" s="22">
        <f>SUM(D35:Y35)</f>
        <v>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>
      <c r="A36" s="1"/>
      <c r="B36" s="1"/>
      <c r="C36" s="22">
        <f>SUM(D36:Y36)</f>
        <v>0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>
      <c r="A37" s="1"/>
      <c r="B37" s="1"/>
      <c r="C37" s="22">
        <f>SUM(D37:Y37)</f>
        <v>0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.75" customHeight="1">
      <c r="A38" s="1"/>
      <c r="B38" s="1"/>
      <c r="C38" s="22">
        <f>SUM(D38:Y38)</f>
        <v>0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.75" customHeight="1">
      <c r="A39" s="1"/>
      <c r="B39" s="1"/>
      <c r="C39" s="22">
        <f>SUM(D39:Y39)</f>
        <v>0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.75" customHeight="1">
      <c r="A40" s="1"/>
      <c r="B40" s="1"/>
      <c r="C40" s="22">
        <f>SUM(D40:Y40)</f>
        <v>0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.75" customHeight="1">
      <c r="A41" s="1"/>
      <c r="B41" s="1"/>
      <c r="C41" s="22">
        <f>SUM(D41:Y41)</f>
        <v>0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.75" customHeight="1">
      <c r="A42" s="1"/>
      <c r="B42" s="1"/>
      <c r="C42" s="22">
        <f>SUM(D42:Y42)</f>
        <v>0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.75" customHeight="1">
      <c r="A43" s="1"/>
      <c r="B43" s="1"/>
      <c r="C43" s="22">
        <f>SUM(D43:Y43)</f>
        <v>0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>
      <c r="A44" s="1"/>
      <c r="B44" s="1"/>
      <c r="C44" s="22">
        <f>SUM(D44:Y44)</f>
        <v>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>
      <c r="A45" s="1"/>
      <c r="B45" s="1"/>
      <c r="C45" s="22">
        <f>SUM(D45:Y45)</f>
        <v>0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>
      <c r="A46" s="1"/>
      <c r="B46" s="1"/>
      <c r="C46" s="22">
        <f>SUM(D46:Y46)</f>
        <v>0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.75" customHeight="1">
      <c r="A47" s="1"/>
      <c r="B47" s="1"/>
      <c r="C47" s="22">
        <f>SUM(D47:Y47)</f>
        <v>0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.75" customHeight="1">
      <c r="A48" s="1"/>
      <c r="B48" s="1"/>
      <c r="C48" s="22">
        <f>SUM(D48:Y48)</f>
        <v>0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>
      <c r="A49" s="1"/>
      <c r="B49" s="1"/>
      <c r="C49" s="22">
        <f>SUM(D49:Y49)</f>
        <v>0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.75" customHeight="1">
      <c r="A50" s="1"/>
      <c r="B50" s="1"/>
      <c r="C50" s="22">
        <f>SUM(D50:Y50)</f>
        <v>0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customHeight="1">
      <c r="A51" s="1"/>
      <c r="B51" s="1"/>
      <c r="C51" s="22">
        <f>SUM(D51:Y51)</f>
        <v>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>
      <c r="A52" s="1"/>
      <c r="B52" s="1"/>
      <c r="C52" s="22">
        <f>SUM(D52:Y52)</f>
        <v>0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customHeight="1">
      <c r="A53" s="1"/>
      <c r="B53" s="1"/>
      <c r="C53" s="22">
        <f>SUM(D53:Y53)</f>
        <v>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customHeight="1">
      <c r="A54" s="1"/>
      <c r="B54" s="1"/>
      <c r="C54" s="22">
        <f>SUM(D54:Y54)</f>
        <v>0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>
      <c r="A55" s="1"/>
      <c r="B55" s="1"/>
      <c r="C55" s="22">
        <f>SUM(D55:Y55)</f>
        <v>0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customHeight="1">
      <c r="A56" s="1"/>
      <c r="B56" s="1"/>
      <c r="C56" s="22">
        <f>SUM(D56:Y56)</f>
        <v>0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customHeight="1">
      <c r="A57" s="1"/>
      <c r="B57" s="1"/>
      <c r="C57" s="22">
        <f>SUM(D57:Y57)</f>
        <v>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>
      <c r="A58" s="1"/>
      <c r="B58" s="1"/>
      <c r="C58" s="22">
        <f>SUM(D58:Y58)</f>
        <v>0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.75" customHeight="1">
      <c r="A59" s="1"/>
      <c r="B59" s="1"/>
      <c r="C59" s="22">
        <f>SUM(D59:Y59)</f>
        <v>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.75" customHeight="1">
      <c r="A60" s="1"/>
      <c r="B60" s="1"/>
      <c r="C60" s="22">
        <f>SUM(D60:Y60)</f>
        <v>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>
      <c r="A61" s="1"/>
      <c r="B61" s="1"/>
      <c r="C61" s="22">
        <f>SUM(D61:Y61)</f>
        <v>0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.75" customHeight="1">
      <c r="A62" s="1"/>
      <c r="B62" s="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.75" customHeight="1">
      <c r="A63" s="1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>
      <c r="A64" s="1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.75" customHeight="1">
      <c r="A65" s="1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.75" customHeight="1">
      <c r="A66" s="1"/>
      <c r="B66" s="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.75" customHeight="1">
      <c r="A67" s="1"/>
      <c r="B67" s="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.75" customHeight="1">
      <c r="A68" s="1"/>
      <c r="B68" s="1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"/>
      <c r="Q68" s="1"/>
      <c r="R68" s="1"/>
      <c r="S68" s="1"/>
      <c r="T68" s="1"/>
      <c r="U68" s="1"/>
      <c r="V68" s="1"/>
    </row>
    <row r="69" spans="1:25" ht="15.75" customHeight="1">
      <c r="A69" s="1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"/>
      <c r="Q69" s="1"/>
      <c r="R69" s="1"/>
      <c r="S69" s="1"/>
      <c r="T69" s="1"/>
      <c r="U69" s="1"/>
      <c r="V69" s="1"/>
    </row>
    <row r="70" spans="1:25" ht="15.75" customHeight="1">
      <c r="A70" s="1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</row>
    <row r="71" spans="1:25" ht="15.75" customHeight="1">
      <c r="A71" s="1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</row>
    <row r="72" spans="1:25" ht="15.75" customHeight="1">
      <c r="A72" s="1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</row>
    <row r="73" spans="1:25" ht="15.75" customHeight="1">
      <c r="A73" s="1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</row>
    <row r="74" spans="1:25" ht="15.75" customHeight="1">
      <c r="A74" s="1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</row>
    <row r="75" spans="1:25" ht="15.75" customHeight="1">
      <c r="A75" s="1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</row>
    <row r="76" spans="1:25" ht="15.75" customHeight="1">
      <c r="A76" s="1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</row>
    <row r="77" spans="1:25" ht="15.75" customHeight="1">
      <c r="A77" s="1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</row>
    <row r="78" spans="1:25" ht="15.75" customHeight="1">
      <c r="A78" s="1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</row>
    <row r="79" spans="1:25" ht="15.75" customHeight="1">
      <c r="A79" s="1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</row>
    <row r="80" spans="1:25" ht="15.75" customHeight="1">
      <c r="A80" s="1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H1:S1"/>
    <mergeCell ref="D1:G1"/>
    <mergeCell ref="T1:Y1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Y1000"/>
  <sheetViews>
    <sheetView workbookViewId="0"/>
  </sheetViews>
  <sheetFormatPr baseColWidth="10" defaultColWidth="11.1640625" defaultRowHeight="15" customHeight="1"/>
  <cols>
    <col min="1" max="1" width="9.83203125" customWidth="1"/>
    <col min="2" max="2" width="21.83203125" customWidth="1"/>
    <col min="3" max="3" width="9.33203125" customWidth="1"/>
    <col min="4" max="4" width="10.5" hidden="1" customWidth="1"/>
    <col min="5" max="5" width="10.1640625" hidden="1" customWidth="1"/>
    <col min="6" max="9" width="13" hidden="1" customWidth="1"/>
    <col min="10" max="10" width="5.5" hidden="1" customWidth="1"/>
    <col min="11" max="11" width="12" hidden="1" customWidth="1"/>
    <col min="12" max="12" width="10" hidden="1" customWidth="1"/>
    <col min="13" max="13" width="8.83203125" hidden="1" customWidth="1"/>
    <col min="14" max="14" width="6.6640625" customWidth="1"/>
    <col min="15" max="15" width="7.5" customWidth="1"/>
    <col min="16" max="16" width="10.83203125" customWidth="1"/>
    <col min="17" max="19" width="8.5" customWidth="1"/>
    <col min="20" max="22" width="6.5" customWidth="1"/>
    <col min="23" max="26" width="8.83203125" customWidth="1"/>
  </cols>
  <sheetData>
    <row r="1" spans="1:25" ht="15.75" customHeight="1">
      <c r="A1" s="51"/>
      <c r="B1" s="11"/>
      <c r="C1" s="47"/>
      <c r="D1" s="78">
        <v>2025</v>
      </c>
      <c r="E1" s="79"/>
      <c r="F1" s="79"/>
      <c r="G1" s="79"/>
      <c r="H1" s="81">
        <v>2026</v>
      </c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3">
        <v>2027</v>
      </c>
      <c r="U1" s="84"/>
      <c r="V1" s="84"/>
      <c r="W1" s="84"/>
      <c r="X1" s="84"/>
      <c r="Y1" s="85"/>
    </row>
    <row r="2" spans="1:25" ht="15.75" customHeight="1">
      <c r="A2" s="51"/>
      <c r="B2" s="11"/>
      <c r="C2" s="47"/>
      <c r="D2" s="80" t="s">
        <v>43</v>
      </c>
      <c r="E2" s="80" t="s">
        <v>44</v>
      </c>
      <c r="F2" s="80" t="s">
        <v>45</v>
      </c>
      <c r="G2" s="80" t="s">
        <v>46</v>
      </c>
      <c r="H2" s="74" t="s">
        <v>47</v>
      </c>
      <c r="I2" s="74" t="s">
        <v>48</v>
      </c>
      <c r="J2" s="74" t="s">
        <v>37</v>
      </c>
      <c r="K2" s="74" t="s">
        <v>38</v>
      </c>
      <c r="L2" s="75" t="s">
        <v>39</v>
      </c>
      <c r="M2" s="75" t="s">
        <v>40</v>
      </c>
      <c r="N2" s="75" t="s">
        <v>41</v>
      </c>
      <c r="O2" s="75" t="s">
        <v>42</v>
      </c>
      <c r="P2" s="75" t="s">
        <v>43</v>
      </c>
      <c r="Q2" s="75" t="s">
        <v>44</v>
      </c>
      <c r="R2" s="75" t="s">
        <v>45</v>
      </c>
      <c r="S2" s="75" t="s">
        <v>46</v>
      </c>
      <c r="T2" s="86" t="s">
        <v>47</v>
      </c>
      <c r="U2" s="86" t="s">
        <v>48</v>
      </c>
      <c r="V2" s="86" t="s">
        <v>37</v>
      </c>
      <c r="W2" s="86" t="s">
        <v>38</v>
      </c>
      <c r="X2" s="86" t="s">
        <v>39</v>
      </c>
      <c r="Y2" s="86" t="s">
        <v>40</v>
      </c>
    </row>
    <row r="3" spans="1:25" ht="15.75" customHeight="1">
      <c r="A3" s="52"/>
      <c r="B3" s="32" t="s">
        <v>86</v>
      </c>
      <c r="C3" s="48">
        <f>SUM(D3:Y3)</f>
        <v>2179.4500000000003</v>
      </c>
      <c r="D3" s="48">
        <f t="shared" ref="D3:Y3" si="0">SUM(D4:D164)</f>
        <v>0</v>
      </c>
      <c r="E3" s="48">
        <f t="shared" si="0"/>
        <v>0</v>
      </c>
      <c r="F3" s="48">
        <f t="shared" si="0"/>
        <v>0</v>
      </c>
      <c r="G3" s="48">
        <f t="shared" si="0"/>
        <v>0</v>
      </c>
      <c r="H3" s="48">
        <f t="shared" si="0"/>
        <v>0</v>
      </c>
      <c r="I3" s="48">
        <f t="shared" si="0"/>
        <v>0</v>
      </c>
      <c r="J3" s="48">
        <f t="shared" si="0"/>
        <v>0</v>
      </c>
      <c r="K3" s="48">
        <f t="shared" si="0"/>
        <v>0</v>
      </c>
      <c r="L3" s="48">
        <f t="shared" si="0"/>
        <v>0</v>
      </c>
      <c r="M3" s="48">
        <f t="shared" si="0"/>
        <v>0</v>
      </c>
      <c r="N3" s="48">
        <f t="shared" si="0"/>
        <v>2179.4500000000003</v>
      </c>
      <c r="O3" s="48">
        <f t="shared" si="0"/>
        <v>0</v>
      </c>
      <c r="P3" s="48">
        <f t="shared" si="0"/>
        <v>0</v>
      </c>
      <c r="Q3" s="48">
        <f t="shared" si="0"/>
        <v>0</v>
      </c>
      <c r="R3" s="48">
        <f t="shared" si="0"/>
        <v>0</v>
      </c>
      <c r="S3" s="48">
        <f t="shared" si="0"/>
        <v>0</v>
      </c>
      <c r="T3" s="48">
        <f t="shared" si="0"/>
        <v>0</v>
      </c>
      <c r="U3" s="48">
        <f t="shared" si="0"/>
        <v>0</v>
      </c>
      <c r="V3" s="48">
        <f t="shared" si="0"/>
        <v>0</v>
      </c>
      <c r="W3" s="48">
        <f t="shared" si="0"/>
        <v>0</v>
      </c>
      <c r="X3" s="48">
        <f t="shared" si="0"/>
        <v>0</v>
      </c>
      <c r="Y3" s="48">
        <f t="shared" si="0"/>
        <v>0</v>
      </c>
    </row>
    <row r="4" spans="1:25" ht="15.75" customHeight="1">
      <c r="A4" s="53">
        <v>48</v>
      </c>
      <c r="B4" s="20" t="s">
        <v>87</v>
      </c>
      <c r="C4" s="54">
        <f>SUM(D4:Y4)</f>
        <v>75.25</v>
      </c>
      <c r="D4" s="54">
        <v>0</v>
      </c>
      <c r="E4" s="38"/>
      <c r="F4" s="49">
        <v>0</v>
      </c>
      <c r="G4" s="49">
        <v>0</v>
      </c>
      <c r="H4" s="38"/>
      <c r="I4" s="38"/>
      <c r="J4" s="50"/>
      <c r="K4" s="50"/>
      <c r="L4" s="38"/>
      <c r="M4" s="50"/>
      <c r="N4" s="50">
        <v>75.25</v>
      </c>
      <c r="O4" s="50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spans="1:25" ht="15.75" customHeight="1">
      <c r="A5" s="53">
        <v>596</v>
      </c>
      <c r="B5" s="1" t="s">
        <v>88</v>
      </c>
      <c r="C5" s="54">
        <f>SUM(D5:Y5)</f>
        <v>175.2</v>
      </c>
      <c r="D5" s="22"/>
      <c r="E5" s="38"/>
      <c r="F5" s="22"/>
      <c r="G5" s="22"/>
      <c r="H5" s="38"/>
      <c r="I5" s="38"/>
      <c r="J5" s="22"/>
      <c r="K5" s="22"/>
      <c r="L5" s="38"/>
      <c r="M5" s="22"/>
      <c r="N5" s="22">
        <v>175.2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5.75" customHeight="1">
      <c r="A6" s="53"/>
      <c r="B6" s="1" t="s">
        <v>89</v>
      </c>
      <c r="C6" s="54">
        <f>SUM(D6:Y6)</f>
        <v>463.6</v>
      </c>
      <c r="D6" s="22"/>
      <c r="E6" s="38"/>
      <c r="F6" s="22"/>
      <c r="G6" s="22"/>
      <c r="H6" s="38"/>
      <c r="I6" s="38"/>
      <c r="J6" s="22"/>
      <c r="K6" s="22"/>
      <c r="L6" s="38"/>
      <c r="M6" s="22"/>
      <c r="N6" s="22">
        <v>463.6</v>
      </c>
      <c r="O6" s="22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ht="15.75" customHeight="1">
      <c r="A7" s="53"/>
      <c r="B7" s="1"/>
      <c r="C7" s="54">
        <f>SUM(D7:Y7)</f>
        <v>0</v>
      </c>
      <c r="D7" s="22"/>
      <c r="E7" s="38"/>
      <c r="F7" s="22"/>
      <c r="G7" s="22"/>
      <c r="H7" s="38"/>
      <c r="I7" s="38"/>
      <c r="J7" s="22"/>
      <c r="K7" s="22"/>
      <c r="L7" s="38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.75" customHeight="1">
      <c r="A8" s="53"/>
      <c r="B8" s="1"/>
      <c r="C8" s="54">
        <f>SUM(D8:Y8)</f>
        <v>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>
      <c r="A9" s="53"/>
      <c r="B9" s="1"/>
      <c r="C9" s="54">
        <f>SUM(D9:Y9)</f>
        <v>0</v>
      </c>
      <c r="D9" s="22"/>
      <c r="E9" s="38"/>
      <c r="F9" s="22"/>
      <c r="G9" s="22"/>
      <c r="H9" s="38"/>
      <c r="I9" s="22"/>
      <c r="J9" s="22"/>
      <c r="K9" s="22"/>
      <c r="L9" s="38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>
      <c r="A10" s="53"/>
      <c r="B10" s="1"/>
      <c r="C10" s="54">
        <f>SUM(D10:Y10)</f>
        <v>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.75" customHeight="1">
      <c r="A11" s="55">
        <v>1273.3800000000001</v>
      </c>
      <c r="B11" s="1" t="s">
        <v>90</v>
      </c>
      <c r="C11" s="54">
        <f>SUM(D11:Y11)</f>
        <v>1273.3800000000001</v>
      </c>
      <c r="D11" s="22"/>
      <c r="E11" s="38"/>
      <c r="F11" s="22"/>
      <c r="G11" s="22"/>
      <c r="H11" s="38"/>
      <c r="I11" s="22"/>
      <c r="J11" s="22"/>
      <c r="K11" s="22"/>
      <c r="L11" s="38"/>
      <c r="M11" s="22"/>
      <c r="N11" s="22">
        <v>1273.3800000000001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>
      <c r="A12" s="55"/>
      <c r="B12" s="1" t="s">
        <v>91</v>
      </c>
      <c r="C12" s="54">
        <f>SUM(D12:Y12)</f>
        <v>0</v>
      </c>
      <c r="D12" s="22"/>
      <c r="E12" s="38"/>
      <c r="F12" s="22"/>
      <c r="G12" s="22"/>
      <c r="H12" s="38"/>
      <c r="I12" s="22"/>
      <c r="J12" s="22"/>
      <c r="K12" s="22"/>
      <c r="L12" s="38"/>
      <c r="M12" s="22"/>
      <c r="N12" s="22"/>
      <c r="O12" s="22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ht="15.75" customHeight="1">
      <c r="A13" s="53"/>
      <c r="B13" s="20" t="s">
        <v>92</v>
      </c>
      <c r="C13" s="54">
        <f>SUM(D13:Y13)</f>
        <v>27</v>
      </c>
      <c r="D13" s="22"/>
      <c r="E13" s="38"/>
      <c r="F13" s="22"/>
      <c r="G13" s="22"/>
      <c r="H13" s="38"/>
      <c r="I13" s="38"/>
      <c r="J13" s="22"/>
      <c r="K13" s="22"/>
      <c r="L13" s="38"/>
      <c r="M13" s="22"/>
      <c r="N13" s="22">
        <v>27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>
      <c r="A14" s="53"/>
      <c r="B14" s="1" t="s">
        <v>93</v>
      </c>
      <c r="C14" s="54">
        <f>SUM(D14:Y14)</f>
        <v>0</v>
      </c>
      <c r="D14" s="22"/>
      <c r="E14" s="38"/>
      <c r="F14" s="22"/>
      <c r="G14" s="22"/>
      <c r="H14" s="38"/>
      <c r="I14" s="22"/>
      <c r="J14" s="22"/>
      <c r="K14" s="22"/>
      <c r="L14" s="38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>
      <c r="A15" s="53"/>
      <c r="B15" s="1" t="s">
        <v>94</v>
      </c>
      <c r="C15" s="54">
        <f>SUM(D15:Y15)</f>
        <v>0</v>
      </c>
      <c r="D15" s="22"/>
      <c r="E15" s="38"/>
      <c r="F15" s="22"/>
      <c r="G15" s="22"/>
      <c r="H15" s="38"/>
      <c r="I15" s="22"/>
      <c r="J15" s="22"/>
      <c r="K15" s="22"/>
      <c r="L15" s="38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>
      <c r="A16" s="53"/>
      <c r="B16" s="1" t="s">
        <v>95</v>
      </c>
      <c r="C16" s="54">
        <f>SUM(D16:Y16)</f>
        <v>64.680000000000007</v>
      </c>
      <c r="D16" s="22"/>
      <c r="E16" s="38"/>
      <c r="F16" s="22"/>
      <c r="G16" s="22"/>
      <c r="H16" s="38"/>
      <c r="I16" s="22"/>
      <c r="J16" s="22"/>
      <c r="K16" s="22"/>
      <c r="L16" s="38"/>
      <c r="M16" s="22"/>
      <c r="N16" s="22">
        <v>64.680000000000007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>
      <c r="A17" s="53"/>
      <c r="B17" s="1" t="s">
        <v>96</v>
      </c>
      <c r="C17" s="54">
        <f>SUM(D17:Y17)</f>
        <v>0</v>
      </c>
      <c r="D17" s="22"/>
      <c r="E17" s="38"/>
      <c r="F17" s="22"/>
      <c r="G17" s="22"/>
      <c r="H17" s="38"/>
      <c r="I17" s="22"/>
      <c r="J17" s="22"/>
      <c r="K17" s="22"/>
      <c r="L17" s="38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>
      <c r="A18" s="53"/>
      <c r="B18" s="1" t="s">
        <v>97</v>
      </c>
      <c r="C18" s="54">
        <f>SUM(D18:Y18)</f>
        <v>0</v>
      </c>
      <c r="D18" s="22"/>
      <c r="E18" s="38"/>
      <c r="F18" s="22"/>
      <c r="G18" s="22"/>
      <c r="H18" s="38"/>
      <c r="I18" s="22"/>
      <c r="J18" s="22"/>
      <c r="K18" s="22"/>
      <c r="L18" s="38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>
      <c r="A19" s="53"/>
      <c r="B19" s="1" t="s">
        <v>98</v>
      </c>
      <c r="C19" s="54">
        <f>SUM(D19:Y19)</f>
        <v>0</v>
      </c>
      <c r="D19" s="22"/>
      <c r="E19" s="38"/>
      <c r="F19" s="21">
        <v>0</v>
      </c>
      <c r="G19" s="21">
        <v>0</v>
      </c>
      <c r="H19" s="38"/>
      <c r="I19" s="38"/>
      <c r="J19" s="22"/>
      <c r="K19" s="22"/>
      <c r="L19" s="38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>
      <c r="A20" s="53"/>
      <c r="B20" s="20" t="s">
        <v>99</v>
      </c>
      <c r="C20" s="54">
        <f>SUM(D20:Y20)</f>
        <v>0</v>
      </c>
      <c r="D20" s="22"/>
      <c r="E20" s="38"/>
      <c r="F20" s="21">
        <v>0</v>
      </c>
      <c r="G20" s="21">
        <v>0</v>
      </c>
      <c r="H20" s="38"/>
      <c r="I20" s="38"/>
      <c r="J20" s="22"/>
      <c r="K20" s="22"/>
      <c r="L20" s="38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>
      <c r="A21" s="53"/>
      <c r="B21" s="20" t="s">
        <v>100</v>
      </c>
      <c r="C21" s="54">
        <f>SUM(D21:Y21)</f>
        <v>0</v>
      </c>
      <c r="D21" s="22"/>
      <c r="E21" s="38"/>
      <c r="F21" s="21"/>
      <c r="G21" s="21"/>
      <c r="H21" s="38"/>
      <c r="I21" s="38"/>
      <c r="J21" s="22"/>
      <c r="K21" s="22"/>
      <c r="L21" s="38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>
      <c r="A22" s="53"/>
      <c r="B22" s="20" t="s">
        <v>101</v>
      </c>
      <c r="C22" s="54">
        <f>SUM(D22:Y22)</f>
        <v>0</v>
      </c>
      <c r="D22" s="22"/>
      <c r="E22" s="38"/>
      <c r="F22" s="22"/>
      <c r="G22" s="22"/>
      <c r="H22" s="38"/>
      <c r="I22" s="38"/>
      <c r="J22" s="22"/>
      <c r="K22" s="22"/>
      <c r="L22" s="38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>
      <c r="A23" s="53"/>
      <c r="B23" s="20" t="s">
        <v>102</v>
      </c>
      <c r="C23" s="54">
        <f>SUM(D23:Y23)</f>
        <v>55.33</v>
      </c>
      <c r="D23" s="22"/>
      <c r="E23" s="38"/>
      <c r="F23" s="22"/>
      <c r="G23" s="22"/>
      <c r="H23" s="38"/>
      <c r="I23" s="38"/>
      <c r="J23" s="22"/>
      <c r="K23" s="22"/>
      <c r="L23" s="38"/>
      <c r="M23" s="22"/>
      <c r="N23" s="22">
        <v>55.33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>
      <c r="A24" s="55">
        <v>412036.53</v>
      </c>
      <c r="B24" s="1" t="s">
        <v>103</v>
      </c>
      <c r="C24" s="54">
        <f>SUM(D24:Y24)</f>
        <v>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>
      <c r="A25" s="53"/>
      <c r="B25" s="1" t="s">
        <v>104</v>
      </c>
      <c r="C25" s="54">
        <f>SUM(D25:Y25)</f>
        <v>0</v>
      </c>
      <c r="D25" s="22"/>
      <c r="E25" s="38"/>
      <c r="F25" s="22"/>
      <c r="G25" s="22"/>
      <c r="H25" s="38"/>
      <c r="I25" s="38"/>
      <c r="J25" s="22"/>
      <c r="K25" s="22"/>
      <c r="L25" s="38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>
      <c r="A26" s="53"/>
      <c r="B26" s="1" t="s">
        <v>105</v>
      </c>
      <c r="C26" s="54">
        <f>SUM(D26:Y26)</f>
        <v>0</v>
      </c>
      <c r="D26" s="22"/>
      <c r="E26" s="38"/>
      <c r="F26" s="22"/>
      <c r="G26" s="22"/>
      <c r="H26" s="38"/>
      <c r="I26" s="38"/>
      <c r="J26" s="22"/>
      <c r="K26" s="22"/>
      <c r="L26" s="38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>
      <c r="A27" s="53"/>
      <c r="B27" s="20" t="s">
        <v>106</v>
      </c>
      <c r="C27" s="54">
        <f>SUM(D27:Y27)</f>
        <v>0</v>
      </c>
      <c r="D27" s="22"/>
      <c r="E27" s="38"/>
      <c r="F27" s="22"/>
      <c r="G27" s="22"/>
      <c r="H27" s="38"/>
      <c r="I27" s="38"/>
      <c r="J27" s="22"/>
      <c r="K27" s="22"/>
      <c r="L27" s="38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>
      <c r="A28" s="55">
        <v>45440</v>
      </c>
      <c r="B28" s="1" t="s">
        <v>107</v>
      </c>
      <c r="C28" s="54">
        <f>SUM(D28:Y28)</f>
        <v>0</v>
      </c>
      <c r="D28" s="22"/>
      <c r="E28" s="38"/>
      <c r="F28" s="22"/>
      <c r="G28" s="22"/>
      <c r="H28" s="38"/>
      <c r="I28" s="38"/>
      <c r="J28" s="22"/>
      <c r="K28" s="22"/>
      <c r="L28" s="38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>
      <c r="A29" s="53"/>
      <c r="B29" s="20" t="s">
        <v>108</v>
      </c>
      <c r="C29" s="54">
        <f>SUM(D29:Y29)</f>
        <v>45.01</v>
      </c>
      <c r="D29" s="22"/>
      <c r="E29" s="38"/>
      <c r="F29" s="21">
        <v>0</v>
      </c>
      <c r="G29" s="21">
        <v>0</v>
      </c>
      <c r="H29" s="38"/>
      <c r="I29" s="38"/>
      <c r="J29" s="22"/>
      <c r="K29" s="22"/>
      <c r="L29" s="38"/>
      <c r="M29" s="22"/>
      <c r="N29" s="22">
        <v>45.01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>
      <c r="A30" s="53"/>
      <c r="B30" s="1"/>
      <c r="C30" s="22"/>
      <c r="D30" s="22"/>
      <c r="E30" s="22"/>
      <c r="F30" s="22"/>
      <c r="G30" s="2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>
      <c r="A31" s="53"/>
      <c r="B31" s="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>
      <c r="A32" s="53"/>
      <c r="B32" s="1"/>
      <c r="C32" s="22"/>
      <c r="D32" s="22"/>
      <c r="E32" s="22"/>
      <c r="F32" s="21"/>
      <c r="G32" s="2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>
      <c r="A33" s="53"/>
      <c r="B33" s="1"/>
      <c r="C33" s="22"/>
      <c r="D33" s="22"/>
      <c r="E33" s="1"/>
      <c r="F33" s="22"/>
      <c r="G33" s="2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>
      <c r="A34" s="53"/>
      <c r="B34" s="1"/>
      <c r="C34" s="22"/>
      <c r="D34" s="22"/>
      <c r="E34" s="22"/>
      <c r="F34" s="21"/>
      <c r="G34" s="2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>
      <c r="A35" s="53"/>
      <c r="B35" s="1"/>
      <c r="C35" s="22"/>
      <c r="D35" s="22"/>
      <c r="E35" s="22"/>
      <c r="F35" s="21"/>
      <c r="G35" s="2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>
      <c r="A36" s="53"/>
      <c r="B36" s="1"/>
      <c r="C36" s="22"/>
      <c r="D36" s="22"/>
      <c r="E36" s="22"/>
      <c r="F36" s="21"/>
      <c r="G36" s="2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>
      <c r="A37" s="53"/>
      <c r="B37" s="1"/>
      <c r="C37" s="22"/>
      <c r="D37" s="22"/>
      <c r="E37" s="22"/>
      <c r="F37" s="21"/>
      <c r="G37" s="2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.75" customHeight="1">
      <c r="A38" s="53"/>
      <c r="B38" s="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.75" customHeight="1">
      <c r="A39" s="53"/>
      <c r="B39" s="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.75" customHeight="1">
      <c r="A40" s="53"/>
      <c r="B40" s="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.75" customHeight="1">
      <c r="A41" s="53"/>
      <c r="B41" s="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.75" customHeight="1">
      <c r="A42" s="53"/>
      <c r="B42" s="1"/>
      <c r="C42" s="22"/>
      <c r="D42" s="21"/>
      <c r="E42" s="22"/>
      <c r="F42" s="21"/>
      <c r="G42" s="21"/>
      <c r="H42" s="21"/>
      <c r="I42" s="21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.75" customHeight="1">
      <c r="A43" s="53"/>
      <c r="B43" s="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>
      <c r="A44" s="53"/>
      <c r="B44" s="20"/>
      <c r="C44" s="22"/>
      <c r="D44" s="22"/>
      <c r="E44" s="22"/>
      <c r="F44" s="21"/>
      <c r="G44" s="2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>
      <c r="A45" s="53"/>
      <c r="B45" s="1"/>
      <c r="C45" s="22"/>
      <c r="D45" s="22"/>
      <c r="E45" s="22"/>
      <c r="F45" s="21"/>
      <c r="G45" s="2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>
      <c r="A46" s="53"/>
      <c r="B46" s="20"/>
      <c r="C46" s="22"/>
      <c r="D46" s="22"/>
      <c r="E46" s="22"/>
      <c r="F46" s="21"/>
      <c r="G46" s="2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.75" customHeight="1">
      <c r="A47" s="53"/>
      <c r="B47" s="1"/>
      <c r="C47" s="22"/>
      <c r="D47" s="22"/>
      <c r="E47" s="22"/>
      <c r="F47" s="21"/>
      <c r="G47" s="2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.75" customHeight="1">
      <c r="A48" s="53"/>
      <c r="B48" s="1"/>
      <c r="C48" s="22"/>
      <c r="D48" s="22"/>
      <c r="E48" s="22"/>
      <c r="F48" s="21"/>
      <c r="G48" s="21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>
      <c r="A49" s="53"/>
      <c r="B49" s="1"/>
      <c r="C49" s="22"/>
      <c r="D49" s="22"/>
      <c r="E49" s="22"/>
      <c r="F49" s="21"/>
      <c r="G49" s="2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.75" customHeight="1">
      <c r="A50" s="53"/>
      <c r="B50" s="20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customHeight="1">
      <c r="A51" s="53"/>
      <c r="B51" s="1"/>
      <c r="C51" s="22"/>
      <c r="D51" s="22"/>
      <c r="E51" s="22"/>
      <c r="F51" s="21"/>
      <c r="G51" s="2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>
      <c r="A52" s="53"/>
      <c r="B52" s="1"/>
      <c r="C52" s="22"/>
      <c r="D52" s="22"/>
      <c r="E52" s="22"/>
      <c r="F52" s="21"/>
      <c r="G52" s="2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customHeight="1">
      <c r="A53" s="53"/>
      <c r="B53" s="20"/>
      <c r="C53" s="22"/>
      <c r="D53" s="22"/>
      <c r="E53" s="22"/>
      <c r="F53" s="21"/>
      <c r="G53" s="2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customHeight="1">
      <c r="A54" s="53"/>
      <c r="B54" s="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>
      <c r="A55" s="53"/>
      <c r="B55" s="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customHeight="1">
      <c r="A56" s="53"/>
      <c r="B56" s="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customHeight="1">
      <c r="A57" s="53"/>
      <c r="B57" s="1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>
      <c r="A58" s="53"/>
      <c r="B58" s="1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"/>
      <c r="Q58" s="1"/>
      <c r="R58" s="1"/>
      <c r="S58" s="1"/>
      <c r="T58" s="1"/>
      <c r="U58" s="1"/>
      <c r="V58" s="1"/>
    </row>
    <row r="59" spans="1:25" ht="15.75" customHeight="1">
      <c r="A59" s="53"/>
      <c r="B59" s="1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"/>
      <c r="Q59" s="1"/>
      <c r="R59" s="1"/>
      <c r="S59" s="1"/>
      <c r="T59" s="1"/>
      <c r="U59" s="1"/>
      <c r="V59" s="1"/>
    </row>
    <row r="60" spans="1:25" ht="15.75" customHeight="1">
      <c r="A60" s="53"/>
      <c r="B60" s="1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"/>
      <c r="Q60" s="1"/>
      <c r="R60" s="1"/>
      <c r="S60" s="1"/>
      <c r="T60" s="1"/>
      <c r="U60" s="1"/>
      <c r="V60" s="1"/>
    </row>
    <row r="61" spans="1:25" ht="15.75" customHeight="1">
      <c r="A61" s="53"/>
      <c r="B61" s="1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"/>
      <c r="Q61" s="1"/>
      <c r="R61" s="1"/>
      <c r="S61" s="1"/>
      <c r="T61" s="1"/>
      <c r="U61" s="1"/>
      <c r="V61" s="1"/>
    </row>
    <row r="62" spans="1:25" ht="15.75" customHeight="1">
      <c r="A62" s="53"/>
      <c r="B62" s="1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"/>
      <c r="Q62" s="1"/>
      <c r="R62" s="1"/>
      <c r="S62" s="1"/>
      <c r="T62" s="1"/>
      <c r="U62" s="1"/>
      <c r="V62" s="1"/>
    </row>
    <row r="63" spans="1:25" ht="15.75" customHeight="1">
      <c r="A63" s="53"/>
      <c r="B63" s="1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"/>
      <c r="Q63" s="1"/>
      <c r="R63" s="1"/>
      <c r="S63" s="1"/>
      <c r="T63" s="1"/>
      <c r="U63" s="1"/>
      <c r="V63" s="1"/>
    </row>
    <row r="64" spans="1:25" ht="15.75" customHeight="1">
      <c r="A64" s="53"/>
      <c r="B64" s="1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"/>
      <c r="Q64" s="1"/>
      <c r="R64" s="1"/>
      <c r="S64" s="1"/>
      <c r="T64" s="1"/>
      <c r="U64" s="1"/>
      <c r="V64" s="1"/>
    </row>
    <row r="65" spans="1:22" ht="15.75" customHeight="1">
      <c r="A65" s="53"/>
      <c r="B65" s="1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"/>
      <c r="Q65" s="1"/>
      <c r="R65" s="1"/>
      <c r="S65" s="1"/>
      <c r="T65" s="1"/>
      <c r="U65" s="1"/>
      <c r="V65" s="1"/>
    </row>
    <row r="66" spans="1:22" ht="15.75" customHeight="1">
      <c r="A66" s="53"/>
      <c r="B66" s="1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"/>
      <c r="Q66" s="1"/>
      <c r="R66" s="1"/>
      <c r="S66" s="1"/>
      <c r="T66" s="1"/>
      <c r="U66" s="1"/>
      <c r="V66" s="1"/>
    </row>
    <row r="67" spans="1:22" ht="15.75" customHeight="1">
      <c r="A67" s="53"/>
      <c r="B67" s="1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"/>
      <c r="Q67" s="1"/>
      <c r="R67" s="1"/>
      <c r="S67" s="1"/>
      <c r="T67" s="1"/>
      <c r="U67" s="1"/>
      <c r="V67" s="1"/>
    </row>
    <row r="68" spans="1:22" ht="15.75" customHeight="1">
      <c r="A68" s="53"/>
      <c r="B68" s="1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"/>
      <c r="Q68" s="1"/>
      <c r="R68" s="1"/>
      <c r="S68" s="1"/>
      <c r="T68" s="1"/>
      <c r="U68" s="1"/>
      <c r="V68" s="1"/>
    </row>
    <row r="69" spans="1:22" ht="15.75" customHeight="1">
      <c r="A69" s="53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"/>
      <c r="Q69" s="1"/>
      <c r="R69" s="1"/>
      <c r="S69" s="1"/>
      <c r="T69" s="1"/>
      <c r="U69" s="1"/>
      <c r="V69" s="1"/>
    </row>
    <row r="70" spans="1:22" ht="15.75" customHeight="1">
      <c r="A70" s="53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</row>
    <row r="71" spans="1:22" ht="15.75" customHeight="1">
      <c r="A71" s="53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</row>
    <row r="72" spans="1:22" ht="15.75" customHeight="1">
      <c r="A72" s="53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</row>
    <row r="73" spans="1:22" ht="15.75" customHeight="1">
      <c r="A73" s="53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</row>
    <row r="74" spans="1:22" ht="15.75" customHeight="1">
      <c r="A74" s="53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</row>
    <row r="75" spans="1:22" ht="15.75" customHeight="1">
      <c r="A75" s="53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</row>
    <row r="76" spans="1:22" ht="15.75" customHeight="1">
      <c r="A76" s="53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</row>
    <row r="77" spans="1:22" ht="15.75" customHeight="1">
      <c r="A77" s="53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</row>
    <row r="78" spans="1:22" ht="15.75" customHeight="1">
      <c r="A78" s="53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</row>
    <row r="79" spans="1:22" ht="15.75" customHeight="1">
      <c r="A79" s="53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</row>
    <row r="80" spans="1:22" ht="15.75" customHeight="1">
      <c r="A80" s="53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</row>
    <row r="81" spans="1:22" ht="15.75" customHeight="1">
      <c r="A81" s="53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</row>
    <row r="82" spans="1:22" ht="15.75" customHeight="1">
      <c r="A82" s="53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</row>
    <row r="83" spans="1:22" ht="15.75" customHeight="1">
      <c r="A83" s="53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</row>
    <row r="84" spans="1:22" ht="15.75" customHeight="1">
      <c r="A84" s="53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</row>
    <row r="85" spans="1:22" ht="15.75" customHeight="1">
      <c r="A85" s="53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</row>
    <row r="86" spans="1:22" ht="15.75" customHeight="1">
      <c r="A86" s="53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</row>
    <row r="87" spans="1:22" ht="15.75" customHeight="1">
      <c r="A87" s="53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</row>
    <row r="88" spans="1:22" ht="15.75" customHeight="1">
      <c r="A88" s="53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</row>
    <row r="89" spans="1:22" ht="15.75" customHeight="1">
      <c r="A89" s="53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</row>
    <row r="90" spans="1:22" ht="15.75" customHeight="1">
      <c r="A90" s="53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</row>
    <row r="91" spans="1:22" ht="15.75" customHeight="1">
      <c r="A91" s="53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</row>
    <row r="92" spans="1:22" ht="15.75" customHeight="1">
      <c r="A92" s="53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</row>
    <row r="93" spans="1:22" ht="15.75" customHeight="1">
      <c r="A93" s="53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</row>
    <row r="94" spans="1:22" ht="15.75" customHeight="1">
      <c r="A94" s="53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</row>
    <row r="95" spans="1:22" ht="15.75" customHeight="1">
      <c r="A95" s="53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</row>
    <row r="96" spans="1:22" ht="15.75" customHeight="1">
      <c r="A96" s="53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</row>
    <row r="97" spans="1:22" ht="15.75" customHeight="1">
      <c r="A97" s="53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</row>
    <row r="98" spans="1:22" ht="15.75" customHeight="1">
      <c r="A98" s="53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</row>
    <row r="99" spans="1:22" ht="15.75" customHeight="1">
      <c r="A99" s="53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</row>
    <row r="100" spans="1:22" ht="15.75" customHeight="1">
      <c r="A100" s="53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</row>
    <row r="101" spans="1:22" ht="15.75" customHeight="1">
      <c r="A101" s="53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</row>
    <row r="102" spans="1:22" ht="15.75" customHeight="1">
      <c r="A102" s="53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</row>
    <row r="103" spans="1:22" ht="15.75" customHeight="1">
      <c r="A103" s="53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</row>
    <row r="104" spans="1:22" ht="15.75" customHeight="1">
      <c r="A104" s="53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</row>
    <row r="105" spans="1:22" ht="15.75" customHeight="1">
      <c r="A105" s="53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</row>
    <row r="106" spans="1:22" ht="15.75" customHeight="1">
      <c r="A106" s="53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</row>
    <row r="107" spans="1:22" ht="15.75" customHeight="1">
      <c r="A107" s="53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</row>
    <row r="108" spans="1:22" ht="15.75" customHeight="1">
      <c r="A108" s="53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</row>
    <row r="109" spans="1:22" ht="15.75" customHeight="1">
      <c r="A109" s="53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</row>
    <row r="110" spans="1:22" ht="15.75" customHeight="1">
      <c r="A110" s="53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</row>
    <row r="111" spans="1:22" ht="15.75" customHeight="1">
      <c r="A111" s="53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</row>
    <row r="112" spans="1:22" ht="15.75" customHeight="1">
      <c r="A112" s="53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</row>
    <row r="113" spans="1:22" ht="15.75" customHeight="1">
      <c r="A113" s="53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</row>
    <row r="114" spans="1:22" ht="15.75" customHeight="1">
      <c r="A114" s="53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</row>
    <row r="115" spans="1:22" ht="15.75" customHeight="1">
      <c r="A115" s="53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</row>
    <row r="116" spans="1:22" ht="15.75" customHeight="1">
      <c r="A116" s="53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</row>
    <row r="117" spans="1:22" ht="15.75" customHeight="1">
      <c r="A117" s="53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</row>
    <row r="118" spans="1:22" ht="15.75" customHeight="1">
      <c r="A118" s="53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</row>
    <row r="119" spans="1:22" ht="15.75" customHeight="1">
      <c r="A119" s="53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</row>
    <row r="120" spans="1:22" ht="15.75" customHeight="1">
      <c r="A120" s="53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</row>
    <row r="121" spans="1:22" ht="15.75" customHeight="1">
      <c r="A121" s="53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</row>
    <row r="122" spans="1:22" ht="15.75" customHeight="1">
      <c r="A122" s="53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</row>
    <row r="123" spans="1:22" ht="15.75" customHeight="1">
      <c r="A123" s="53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</row>
    <row r="124" spans="1:22" ht="15.75" customHeight="1">
      <c r="A124" s="53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</row>
    <row r="125" spans="1:22" ht="15.75" customHeight="1">
      <c r="A125" s="53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</row>
    <row r="126" spans="1:22" ht="15.75" customHeight="1">
      <c r="A126" s="53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</row>
    <row r="127" spans="1:22" ht="15.75" customHeight="1">
      <c r="A127" s="53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</row>
    <row r="128" spans="1:22" ht="15.75" customHeight="1">
      <c r="A128" s="53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</row>
    <row r="129" spans="1:22" ht="15.75" customHeight="1">
      <c r="A129" s="53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</row>
    <row r="130" spans="1:22" ht="15.75" customHeight="1">
      <c r="A130" s="53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</row>
    <row r="131" spans="1:22" ht="15.75" customHeight="1">
      <c r="A131" s="53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</row>
    <row r="132" spans="1:22" ht="15.75" customHeight="1">
      <c r="A132" s="53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</row>
    <row r="133" spans="1:22" ht="15.75" customHeight="1">
      <c r="A133" s="53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</row>
    <row r="134" spans="1:22" ht="15.75" customHeight="1">
      <c r="A134" s="53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</row>
    <row r="135" spans="1:22" ht="15.75" customHeight="1">
      <c r="A135" s="53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</row>
    <row r="136" spans="1:22" ht="15.75" customHeight="1">
      <c r="A136" s="53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</row>
    <row r="137" spans="1:22" ht="15.75" customHeight="1">
      <c r="A137" s="53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</row>
    <row r="138" spans="1:22" ht="15.75" customHeight="1">
      <c r="A138" s="53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</row>
    <row r="139" spans="1:22" ht="15.75" customHeight="1">
      <c r="A139" s="53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</row>
    <row r="140" spans="1:22" ht="15.75" customHeight="1">
      <c r="A140" s="53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</row>
    <row r="141" spans="1:22" ht="15.75" customHeight="1">
      <c r="A141" s="53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</row>
    <row r="142" spans="1:22" ht="15.75" customHeight="1">
      <c r="A142" s="53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</row>
    <row r="143" spans="1:22" ht="15.75" customHeight="1">
      <c r="A143" s="53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</row>
    <row r="144" spans="1:22" ht="15.75" customHeight="1">
      <c r="A144" s="53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</row>
    <row r="145" spans="1:22" ht="15.75" customHeight="1">
      <c r="A145" s="53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</row>
    <row r="146" spans="1:22" ht="15.75" customHeight="1">
      <c r="A146" s="53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</row>
    <row r="147" spans="1:22" ht="15.75" customHeight="1">
      <c r="A147" s="53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</row>
    <row r="148" spans="1:22" ht="15.75" customHeight="1">
      <c r="A148" s="53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</row>
    <row r="149" spans="1:22" ht="15.75" customHeight="1">
      <c r="A149" s="53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</row>
    <row r="150" spans="1:22" ht="15.75" customHeight="1">
      <c r="A150" s="53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</row>
    <row r="151" spans="1:22" ht="15.75" customHeight="1">
      <c r="A151" s="53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</row>
    <row r="152" spans="1:22" ht="15.75" customHeight="1">
      <c r="A152" s="53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</row>
    <row r="153" spans="1:22" ht="15.75" customHeight="1">
      <c r="A153" s="53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</row>
    <row r="154" spans="1:22" ht="15.75" customHeight="1">
      <c r="A154" s="53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</row>
    <row r="155" spans="1:22" ht="15.75" customHeight="1">
      <c r="A155" s="53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</row>
    <row r="156" spans="1:22" ht="15.75" customHeight="1">
      <c r="A156" s="53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</row>
    <row r="157" spans="1:22" ht="15.75" customHeight="1">
      <c r="A157" s="53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</row>
    <row r="158" spans="1:22" ht="15.75" customHeight="1">
      <c r="A158" s="53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</row>
    <row r="159" spans="1:22" ht="15.75" customHeight="1">
      <c r="A159" s="53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</row>
    <row r="160" spans="1:22" ht="15.75" customHeight="1">
      <c r="A160" s="53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</row>
    <row r="161" spans="1:22" ht="15.75" customHeight="1">
      <c r="A161" s="53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</row>
    <row r="162" spans="1:22" ht="15.75" customHeight="1">
      <c r="A162" s="53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</row>
    <row r="163" spans="1:22" ht="15.75" customHeight="1">
      <c r="A163" s="53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</row>
    <row r="164" spans="1:22" ht="15.75" customHeight="1">
      <c r="A164" s="53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</row>
    <row r="165" spans="1:22" ht="15.75" customHeight="1">
      <c r="A165" s="53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</row>
    <row r="166" spans="1:22" ht="15.75" customHeight="1">
      <c r="A166" s="53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</row>
    <row r="167" spans="1:22" ht="15.75" customHeight="1">
      <c r="A167" s="53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</row>
    <row r="168" spans="1:22" ht="15.75" customHeight="1">
      <c r="A168" s="53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</row>
    <row r="169" spans="1:22" ht="15.75" customHeight="1">
      <c r="A169" s="53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</row>
    <row r="170" spans="1:22" ht="15.75" customHeight="1">
      <c r="A170" s="53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</row>
    <row r="171" spans="1:22" ht="15.75" customHeight="1">
      <c r="A171" s="53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</row>
    <row r="172" spans="1:22" ht="15.75" customHeight="1">
      <c r="A172" s="53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</row>
    <row r="173" spans="1:22" ht="15.75" customHeight="1">
      <c r="A173" s="53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</row>
    <row r="174" spans="1:22" ht="15.75" customHeight="1">
      <c r="A174" s="53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</row>
    <row r="175" spans="1:22" ht="15.75" customHeight="1">
      <c r="A175" s="53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</row>
    <row r="176" spans="1:22" ht="15.75" customHeight="1">
      <c r="A176" s="53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</row>
    <row r="177" spans="1:22" ht="15.75" customHeight="1">
      <c r="A177" s="53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</row>
    <row r="178" spans="1:22" ht="15.75" customHeight="1">
      <c r="A178" s="53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</row>
    <row r="179" spans="1:22" ht="15.75" customHeight="1">
      <c r="A179" s="53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</row>
    <row r="180" spans="1:22" ht="15.75" customHeight="1">
      <c r="A180" s="53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</row>
    <row r="181" spans="1:22" ht="15.75" customHeight="1">
      <c r="A181" s="53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</row>
    <row r="182" spans="1:22" ht="15.75" customHeight="1">
      <c r="A182" s="53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</row>
    <row r="183" spans="1:22" ht="15.75" customHeight="1">
      <c r="A183" s="53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</row>
    <row r="184" spans="1:22" ht="15.75" customHeight="1">
      <c r="A184" s="53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</row>
    <row r="185" spans="1:22" ht="15.75" customHeight="1">
      <c r="A185" s="53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</row>
    <row r="186" spans="1:22" ht="15.75" customHeight="1">
      <c r="A186" s="53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</row>
    <row r="187" spans="1:22" ht="15.75" customHeight="1">
      <c r="A187" s="53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</row>
    <row r="188" spans="1:22" ht="15.75" customHeight="1">
      <c r="A188" s="53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</row>
    <row r="189" spans="1:22" ht="15.75" customHeight="1">
      <c r="A189" s="53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</row>
    <row r="190" spans="1:22" ht="15.75" customHeight="1">
      <c r="A190" s="53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</row>
    <row r="191" spans="1:22" ht="15.75" customHeight="1">
      <c r="A191" s="53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</row>
    <row r="192" spans="1:22" ht="15.75" customHeight="1">
      <c r="A192" s="53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</row>
    <row r="193" spans="1:22" ht="15.75" customHeight="1">
      <c r="A193" s="53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</row>
    <row r="194" spans="1:22" ht="15.75" customHeight="1">
      <c r="A194" s="53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</row>
    <row r="195" spans="1:22" ht="15.75" customHeight="1">
      <c r="A195" s="53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</row>
    <row r="196" spans="1:22" ht="15.75" customHeight="1">
      <c r="A196" s="53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</row>
    <row r="197" spans="1:22" ht="15.75" customHeight="1">
      <c r="A197" s="53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</row>
    <row r="198" spans="1:22" ht="15.75" customHeight="1">
      <c r="A198" s="53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</row>
    <row r="199" spans="1:22" ht="15.75" customHeight="1">
      <c r="A199" s="53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</row>
    <row r="200" spans="1:22" ht="15.75" customHeight="1">
      <c r="A200" s="53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</row>
    <row r="201" spans="1:22" ht="15.75" customHeight="1">
      <c r="A201" s="53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</row>
    <row r="202" spans="1:22" ht="15.75" customHeight="1">
      <c r="A202" s="53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</row>
    <row r="203" spans="1:22" ht="15.75" customHeight="1">
      <c r="A203" s="53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</row>
    <row r="204" spans="1:22" ht="15.75" customHeight="1">
      <c r="A204" s="53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</row>
    <row r="205" spans="1:22" ht="15.75" customHeight="1">
      <c r="A205" s="53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</row>
    <row r="206" spans="1:22" ht="15.75" customHeight="1">
      <c r="A206" s="53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</row>
    <row r="207" spans="1:22" ht="15.75" customHeight="1">
      <c r="A207" s="53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</row>
    <row r="208" spans="1:22" ht="15.75" customHeight="1">
      <c r="A208" s="53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</row>
    <row r="209" spans="1:22" ht="15.75" customHeight="1">
      <c r="A209" s="53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</row>
    <row r="210" spans="1:22" ht="15.75" customHeight="1">
      <c r="A210" s="5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5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5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5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5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5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5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5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5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5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5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5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5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5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5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5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5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5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5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5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H1:S1"/>
    <mergeCell ref="D1:G1"/>
    <mergeCell ref="T1:Y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06666"/>
  </sheetPr>
  <dimension ref="A1:Y1000"/>
  <sheetViews>
    <sheetView workbookViewId="0"/>
  </sheetViews>
  <sheetFormatPr baseColWidth="10" defaultColWidth="11.1640625" defaultRowHeight="15" customHeight="1"/>
  <cols>
    <col min="1" max="1" width="9" customWidth="1"/>
    <col min="2" max="2" width="19.83203125" customWidth="1"/>
    <col min="3" max="3" width="11" customWidth="1"/>
    <col min="4" max="4" width="10.5" hidden="1" customWidth="1"/>
    <col min="5" max="5" width="10.1640625" hidden="1" customWidth="1"/>
    <col min="6" max="11" width="13" hidden="1" customWidth="1"/>
    <col min="12" max="12" width="7.1640625" hidden="1" customWidth="1"/>
    <col min="13" max="13" width="12.1640625" hidden="1" customWidth="1"/>
    <col min="14" max="16" width="10.5" customWidth="1"/>
    <col min="17" max="17" width="8.5" customWidth="1"/>
    <col min="18" max="18" width="10" customWidth="1"/>
    <col min="19" max="19" width="8.5" customWidth="1"/>
    <col min="20" max="22" width="6.5" customWidth="1"/>
    <col min="23" max="26" width="8.83203125" customWidth="1"/>
  </cols>
  <sheetData>
    <row r="1" spans="1:25" ht="15.75" customHeight="1">
      <c r="A1" s="51"/>
      <c r="B1" s="11"/>
      <c r="C1" s="47"/>
      <c r="D1" s="78">
        <v>2025</v>
      </c>
      <c r="E1" s="79"/>
      <c r="F1" s="79"/>
      <c r="G1" s="79"/>
      <c r="H1" s="81">
        <v>2026</v>
      </c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3">
        <v>2027</v>
      </c>
      <c r="U1" s="84"/>
      <c r="V1" s="84"/>
      <c r="W1" s="84"/>
      <c r="X1" s="84"/>
      <c r="Y1" s="85"/>
    </row>
    <row r="2" spans="1:25" ht="15.75" customHeight="1">
      <c r="A2" s="51"/>
      <c r="B2" s="11"/>
      <c r="C2" s="47"/>
      <c r="D2" s="80" t="s">
        <v>43</v>
      </c>
      <c r="E2" s="80" t="s">
        <v>44</v>
      </c>
      <c r="F2" s="80" t="s">
        <v>45</v>
      </c>
      <c r="G2" s="80" t="s">
        <v>46</v>
      </c>
      <c r="H2" s="74" t="s">
        <v>47</v>
      </c>
      <c r="I2" s="74" t="s">
        <v>48</v>
      </c>
      <c r="J2" s="74" t="s">
        <v>37</v>
      </c>
      <c r="K2" s="74" t="s">
        <v>38</v>
      </c>
      <c r="L2" s="75" t="s">
        <v>39</v>
      </c>
      <c r="M2" s="75" t="s">
        <v>40</v>
      </c>
      <c r="N2" s="75" t="s">
        <v>41</v>
      </c>
      <c r="O2" s="75" t="s">
        <v>42</v>
      </c>
      <c r="P2" s="75" t="s">
        <v>43</v>
      </c>
      <c r="Q2" s="75" t="s">
        <v>44</v>
      </c>
      <c r="R2" s="75" t="s">
        <v>45</v>
      </c>
      <c r="S2" s="75" t="s">
        <v>46</v>
      </c>
      <c r="T2" s="86" t="s">
        <v>47</v>
      </c>
      <c r="U2" s="86" t="s">
        <v>48</v>
      </c>
      <c r="V2" s="86" t="s">
        <v>37</v>
      </c>
      <c r="W2" s="86" t="s">
        <v>38</v>
      </c>
      <c r="X2" s="86" t="s">
        <v>39</v>
      </c>
      <c r="Y2" s="86" t="s">
        <v>40</v>
      </c>
    </row>
    <row r="3" spans="1:25" ht="15.75" customHeight="1">
      <c r="A3" s="52"/>
      <c r="B3" s="32" t="s">
        <v>60</v>
      </c>
      <c r="C3" s="48">
        <f>SUM(D3:Y3)</f>
        <v>32000</v>
      </c>
      <c r="D3" s="48">
        <f t="shared" ref="D3:Y3" si="0">SUM(D4:D131)</f>
        <v>0</v>
      </c>
      <c r="E3" s="48">
        <f t="shared" si="0"/>
        <v>0</v>
      </c>
      <c r="F3" s="48">
        <f t="shared" si="0"/>
        <v>0</v>
      </c>
      <c r="G3" s="48">
        <f t="shared" si="0"/>
        <v>0</v>
      </c>
      <c r="H3" s="48">
        <f t="shared" si="0"/>
        <v>0</v>
      </c>
      <c r="I3" s="48">
        <f t="shared" si="0"/>
        <v>0</v>
      </c>
      <c r="J3" s="48">
        <f t="shared" si="0"/>
        <v>0</v>
      </c>
      <c r="K3" s="48">
        <f t="shared" si="0"/>
        <v>0</v>
      </c>
      <c r="L3" s="48">
        <f t="shared" si="0"/>
        <v>0</v>
      </c>
      <c r="M3" s="48">
        <f t="shared" si="0"/>
        <v>0</v>
      </c>
      <c r="N3" s="48">
        <f t="shared" si="0"/>
        <v>800</v>
      </c>
      <c r="O3" s="48">
        <f t="shared" si="0"/>
        <v>800</v>
      </c>
      <c r="P3" s="48">
        <f t="shared" si="0"/>
        <v>800</v>
      </c>
      <c r="Q3" s="48">
        <f t="shared" si="0"/>
        <v>800</v>
      </c>
      <c r="R3" s="48">
        <f t="shared" si="0"/>
        <v>28800</v>
      </c>
      <c r="S3" s="48">
        <f t="shared" si="0"/>
        <v>0</v>
      </c>
      <c r="T3" s="48">
        <f t="shared" si="0"/>
        <v>0</v>
      </c>
      <c r="U3" s="48">
        <f t="shared" si="0"/>
        <v>0</v>
      </c>
      <c r="V3" s="48">
        <f t="shared" si="0"/>
        <v>0</v>
      </c>
      <c r="W3" s="48">
        <f t="shared" si="0"/>
        <v>0</v>
      </c>
      <c r="X3" s="48">
        <f t="shared" si="0"/>
        <v>0</v>
      </c>
      <c r="Y3" s="48">
        <f t="shared" si="0"/>
        <v>0</v>
      </c>
    </row>
    <row r="4" spans="1:25" ht="15.75" customHeight="1">
      <c r="A4" s="53"/>
      <c r="B4" s="31" t="s">
        <v>109</v>
      </c>
      <c r="C4" s="49">
        <f>SUM(D4:Y4)</f>
        <v>0</v>
      </c>
      <c r="D4" s="50"/>
      <c r="E4" s="50"/>
      <c r="F4" s="50"/>
      <c r="G4" s="49">
        <v>0</v>
      </c>
      <c r="H4" s="49"/>
      <c r="I4" s="49"/>
      <c r="J4" s="49"/>
      <c r="K4" s="50"/>
      <c r="L4" s="50"/>
      <c r="M4" s="50"/>
      <c r="N4" s="56"/>
      <c r="O4" s="56"/>
      <c r="P4" s="57"/>
      <c r="Q4" s="57"/>
      <c r="R4" s="57"/>
      <c r="S4" s="57"/>
      <c r="T4" s="57"/>
      <c r="U4" s="57"/>
      <c r="V4" s="57"/>
      <c r="W4" s="57"/>
      <c r="X4" s="57"/>
      <c r="Y4" s="57"/>
    </row>
    <row r="5" spans="1:25" ht="15.75" customHeight="1">
      <c r="A5" s="53"/>
      <c r="B5" s="31" t="s">
        <v>110</v>
      </c>
      <c r="C5" s="22">
        <f>SUM(D5:Y5)</f>
        <v>0</v>
      </c>
      <c r="D5" s="21"/>
      <c r="E5" s="21"/>
      <c r="F5" s="38">
        <v>0</v>
      </c>
      <c r="G5" s="22"/>
      <c r="H5" s="22"/>
      <c r="I5" s="22"/>
      <c r="J5" s="22"/>
      <c r="K5" s="22"/>
      <c r="L5" s="21"/>
      <c r="M5" s="21"/>
      <c r="N5" s="58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 spans="1:25" ht="15.75" customHeight="1">
      <c r="A6" s="53"/>
      <c r="B6" s="31" t="s">
        <v>111</v>
      </c>
      <c r="C6" s="22">
        <f>SUM(F6:S6)</f>
        <v>0</v>
      </c>
      <c r="D6" s="22"/>
      <c r="E6" s="22"/>
      <c r="F6" s="22"/>
      <c r="G6" s="21"/>
      <c r="H6" s="21"/>
      <c r="I6" s="21"/>
      <c r="J6" s="21"/>
      <c r="K6" s="21"/>
      <c r="L6" s="22"/>
      <c r="M6" s="22"/>
      <c r="N6" s="59"/>
      <c r="O6" s="59"/>
      <c r="P6" s="58"/>
      <c r="Q6" s="58"/>
      <c r="R6" s="58"/>
      <c r="S6" s="58"/>
      <c r="T6" s="58"/>
      <c r="U6" s="58"/>
      <c r="V6" s="58"/>
      <c r="W6" s="58"/>
      <c r="X6" s="58"/>
      <c r="Y6" s="58"/>
    </row>
    <row r="7" spans="1:25" ht="15.75" customHeight="1">
      <c r="A7" s="53"/>
      <c r="B7" s="31" t="s">
        <v>112</v>
      </c>
      <c r="C7" s="22">
        <f>SUM(E7:S7)</f>
        <v>4000</v>
      </c>
      <c r="D7" s="21"/>
      <c r="E7" s="21"/>
      <c r="F7" s="38">
        <v>0</v>
      </c>
      <c r="G7" s="21">
        <v>0</v>
      </c>
      <c r="H7" s="21"/>
      <c r="I7" s="21"/>
      <c r="J7" s="21"/>
      <c r="K7" s="21"/>
      <c r="L7" s="21"/>
      <c r="M7" s="21"/>
      <c r="N7" s="58">
        <v>800</v>
      </c>
      <c r="O7" s="58">
        <v>800</v>
      </c>
      <c r="P7" s="58">
        <v>800</v>
      </c>
      <c r="Q7" s="58">
        <v>800</v>
      </c>
      <c r="R7" s="58">
        <v>800</v>
      </c>
      <c r="S7" s="58"/>
      <c r="T7" s="58"/>
      <c r="U7" s="58"/>
      <c r="V7" s="58"/>
      <c r="W7" s="58"/>
      <c r="X7" s="58"/>
      <c r="Y7" s="58"/>
    </row>
    <row r="8" spans="1:25" ht="15.75" customHeight="1">
      <c r="A8" s="53"/>
      <c r="B8" s="31" t="s">
        <v>113</v>
      </c>
      <c r="C8" s="21">
        <f>SUM(E8:S8)</f>
        <v>28000</v>
      </c>
      <c r="D8" s="22"/>
      <c r="E8" s="22"/>
      <c r="F8" s="38">
        <v>0</v>
      </c>
      <c r="G8" s="38"/>
      <c r="H8" s="22"/>
      <c r="I8" s="22"/>
      <c r="J8" s="22"/>
      <c r="K8" s="22"/>
      <c r="L8" s="22"/>
      <c r="M8" s="21"/>
      <c r="N8" s="59"/>
      <c r="O8" s="59"/>
      <c r="P8" s="59"/>
      <c r="Q8" s="59"/>
      <c r="R8" s="59">
        <v>28000</v>
      </c>
      <c r="S8" s="59"/>
      <c r="T8" s="59"/>
      <c r="U8" s="59"/>
      <c r="V8" s="59"/>
      <c r="W8" s="59"/>
      <c r="X8" s="59"/>
      <c r="Y8" s="59"/>
    </row>
    <row r="9" spans="1:25" ht="15.75" customHeight="1">
      <c r="A9" s="53"/>
      <c r="B9" s="31" t="s">
        <v>114</v>
      </c>
      <c r="C9" s="21">
        <f>SUM(E9:S9)</f>
        <v>0</v>
      </c>
      <c r="D9" s="22"/>
      <c r="E9" s="22"/>
      <c r="F9" s="38">
        <v>0</v>
      </c>
      <c r="G9" s="38"/>
      <c r="H9" s="22"/>
      <c r="I9" s="22"/>
      <c r="J9" s="22"/>
      <c r="K9" s="22"/>
      <c r="L9" s="22"/>
      <c r="M9" s="21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</row>
    <row r="10" spans="1:25" ht="15.75" customHeight="1">
      <c r="A10" s="53"/>
      <c r="B10" s="31" t="s">
        <v>115</v>
      </c>
      <c r="C10" s="22">
        <f>SUM(E10:S10)</f>
        <v>0</v>
      </c>
      <c r="D10" s="22"/>
      <c r="E10" s="22"/>
      <c r="F10" s="22"/>
      <c r="G10" s="22"/>
      <c r="H10" s="22"/>
      <c r="I10" s="22"/>
      <c r="J10" s="22"/>
      <c r="K10" s="22"/>
      <c r="L10" s="22"/>
      <c r="M10" s="21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</row>
    <row r="11" spans="1:25" ht="15.75" customHeight="1">
      <c r="A11" s="55">
        <v>68696</v>
      </c>
      <c r="B11" s="31" t="s">
        <v>116</v>
      </c>
      <c r="C11" s="22">
        <f>SUM(E11:S11)</f>
        <v>0</v>
      </c>
      <c r="D11" s="22"/>
      <c r="E11" s="21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>
      <c r="A12" s="53"/>
      <c r="B12" s="31" t="s">
        <v>117</v>
      </c>
      <c r="C12" s="22">
        <f>SUM(D12:Y12)</f>
        <v>0</v>
      </c>
      <c r="D12" s="22"/>
      <c r="E12" s="21"/>
      <c r="F12" s="38">
        <v>0</v>
      </c>
      <c r="G12" s="21">
        <v>0</v>
      </c>
      <c r="H12" s="22"/>
      <c r="I12" s="22"/>
      <c r="J12" s="1"/>
      <c r="K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5.75" customHeight="1">
      <c r="A13" s="53"/>
      <c r="B13" s="31" t="s">
        <v>118</v>
      </c>
      <c r="C13" s="22">
        <f>SUM(D13:Y13)</f>
        <v>0</v>
      </c>
      <c r="D13" s="22"/>
      <c r="E13" s="22"/>
      <c r="F13" s="22"/>
      <c r="G13" s="22"/>
      <c r="H13" s="21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>
      <c r="A14" s="53"/>
      <c r="B14" s="1"/>
      <c r="C14" s="22">
        <f>SUM(D14:Y14)</f>
        <v>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>
      <c r="A15" s="53"/>
      <c r="B15" s="1"/>
      <c r="C15" s="22">
        <f>SUM(D15:Y15)</f>
        <v>0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>
      <c r="A16" s="53"/>
      <c r="B16" s="1"/>
      <c r="C16" s="22">
        <f>SUM(D16:Y16)</f>
        <v>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>
      <c r="A17" s="53"/>
      <c r="B17" s="1"/>
      <c r="C17" s="22">
        <f>SUM(D17:Y17)</f>
        <v>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>
      <c r="A18" s="53"/>
      <c r="B18" s="1"/>
      <c r="C18" s="22">
        <f>SUM(D18:Y18)</f>
        <v>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>
      <c r="A19" s="53"/>
      <c r="B19" s="1"/>
      <c r="C19" s="22">
        <f>SUM(D19:Y19)</f>
        <v>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>
      <c r="A20" s="53"/>
      <c r="B20" s="1"/>
      <c r="C20" s="22">
        <f>SUM(D20:Y20)</f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>
      <c r="A21" s="53"/>
      <c r="B21" s="1"/>
      <c r="C21" s="22">
        <f>SUM(D21:Y21)</f>
        <v>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>
      <c r="A22" s="53"/>
      <c r="B22" s="1"/>
      <c r="C22" s="22">
        <f>SUM(D22:Y22)</f>
        <v>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>
      <c r="A23" s="53"/>
      <c r="B23" s="1"/>
      <c r="C23" s="22">
        <f>SUM(D23:Y23)</f>
        <v>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>
      <c r="A24" s="53"/>
      <c r="B24" s="1"/>
      <c r="C24" s="22">
        <f>SUM(D24:Y24)</f>
        <v>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>
      <c r="A25" s="53"/>
      <c r="B25" s="1"/>
      <c r="C25" s="22">
        <f>SUM(D25:Y25)</f>
        <v>0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>
      <c r="A26" s="53"/>
      <c r="B26" s="1"/>
      <c r="C26" s="22">
        <f>SUM(D26:Y26)</f>
        <v>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>
      <c r="A27" s="53"/>
      <c r="B27" s="1"/>
      <c r="C27" s="22">
        <f>SUM(D27:Y27)</f>
        <v>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>
      <c r="A28" s="53"/>
      <c r="B28" s="1"/>
      <c r="C28" s="22">
        <f>SUM(D28:Y28)</f>
        <v>0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>
      <c r="A29" s="53"/>
      <c r="B29" s="1"/>
      <c r="C29" s="22">
        <f>SUM(D29:Y29)</f>
        <v>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>
      <c r="A30" s="53"/>
      <c r="B30" s="1"/>
      <c r="C30" s="22">
        <f>SUM(D30:Y30)</f>
        <v>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>
      <c r="A31" s="53"/>
      <c r="B31" s="1"/>
      <c r="C31" s="22">
        <f>SUM(D31:Y31)</f>
        <v>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>
      <c r="A32" s="53"/>
      <c r="B32" s="1"/>
      <c r="C32" s="22">
        <f>SUM(D32:Y32)</f>
        <v>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>
      <c r="A33" s="53"/>
      <c r="B33" s="1"/>
      <c r="C33" s="22">
        <f>SUM(D33:Y33)</f>
        <v>0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>
      <c r="A34" s="53"/>
      <c r="B34" s="1"/>
      <c r="C34" s="22">
        <f>SUM(D34:Y34)</f>
        <v>0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>
      <c r="A35" s="53"/>
      <c r="B35" s="1"/>
      <c r="C35" s="22">
        <f>SUM(D35:Y35)</f>
        <v>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>
      <c r="A36" s="53"/>
      <c r="B36" s="1"/>
      <c r="C36" s="22">
        <f>SUM(D36:Y36)</f>
        <v>0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>
      <c r="A37" s="53"/>
      <c r="B37" s="1"/>
      <c r="C37" s="22">
        <f>SUM(D37:Y37)</f>
        <v>0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.75" customHeight="1">
      <c r="A38" s="53"/>
      <c r="B38" s="1"/>
      <c r="C38" s="22">
        <f>SUM(D38:Y38)</f>
        <v>0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.75" customHeight="1">
      <c r="A39" s="53"/>
      <c r="B39" s="1"/>
      <c r="C39" s="22">
        <f>SUM(D39:Y39)</f>
        <v>0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.75" customHeight="1">
      <c r="A40" s="53"/>
      <c r="B40" s="1"/>
      <c r="C40" s="22">
        <f>SUM(D40:Y40)</f>
        <v>0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.75" customHeight="1">
      <c r="A41" s="53"/>
      <c r="B41" s="1"/>
      <c r="C41" s="22">
        <f>SUM(D41:Y41)</f>
        <v>0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.75" customHeight="1">
      <c r="A42" s="53"/>
      <c r="B42" s="1"/>
      <c r="C42" s="22">
        <f>SUM(D42:Y42)</f>
        <v>0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.75" customHeight="1">
      <c r="A43" s="53"/>
      <c r="B43" s="1"/>
      <c r="C43" s="22">
        <f>SUM(D43:Y43)</f>
        <v>0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>
      <c r="A44" s="53"/>
      <c r="B44" s="1"/>
      <c r="C44" s="22">
        <f>SUM(D44:Y44)</f>
        <v>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>
      <c r="A45" s="53"/>
      <c r="B45" s="1"/>
      <c r="C45" s="22">
        <f>SUM(D45:Y45)</f>
        <v>0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>
      <c r="A46" s="53"/>
      <c r="B46" s="1"/>
      <c r="C46" s="22">
        <f>SUM(D46:Y46)</f>
        <v>0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.75" customHeight="1">
      <c r="A47" s="53"/>
      <c r="B47" s="1"/>
      <c r="C47" s="22">
        <f>SUM(D47:Y47)</f>
        <v>0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.75" customHeight="1">
      <c r="A48" s="53"/>
      <c r="B48" s="1"/>
      <c r="C48" s="22">
        <f>SUM(D48:Y48)</f>
        <v>0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>
      <c r="A49" s="53"/>
      <c r="B49" s="1"/>
      <c r="C49" s="22">
        <f>SUM(D49:Y49)</f>
        <v>0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.75" customHeight="1">
      <c r="A50" s="53"/>
      <c r="B50" s="1"/>
      <c r="C50" s="22">
        <f>SUM(D50:Y50)</f>
        <v>0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customHeight="1">
      <c r="A51" s="53"/>
      <c r="B51" s="1"/>
      <c r="C51" s="22">
        <f>SUM(D51:Y51)</f>
        <v>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>
      <c r="A52" s="53"/>
      <c r="B52" s="1"/>
      <c r="C52" s="22">
        <f>SUM(D52:Y52)</f>
        <v>0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customHeight="1">
      <c r="A53" s="53"/>
      <c r="B53" s="1"/>
      <c r="C53" s="22">
        <f>SUM(D53:Y53)</f>
        <v>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customHeight="1">
      <c r="A54" s="53"/>
      <c r="B54" s="1"/>
      <c r="C54" s="22">
        <f>SUM(D54:Y54)</f>
        <v>0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>
      <c r="A55" s="53"/>
      <c r="B55" s="1"/>
      <c r="C55" s="22">
        <f>SUM(D55:Y55)</f>
        <v>0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customHeight="1">
      <c r="A56" s="53"/>
      <c r="B56" s="1"/>
      <c r="C56" s="22">
        <f>SUM(D56:Y56)</f>
        <v>0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customHeight="1">
      <c r="A57" s="53"/>
      <c r="B57" s="1"/>
      <c r="C57" s="22">
        <f>SUM(D57:Y57)</f>
        <v>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>
      <c r="A58" s="53"/>
      <c r="B58" s="1"/>
      <c r="C58" s="22">
        <f>SUM(D58:Y58)</f>
        <v>0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.75" customHeight="1">
      <c r="A59" s="53"/>
      <c r="B59" s="1"/>
      <c r="C59" s="22">
        <f>SUM(D59:Y59)</f>
        <v>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.75" customHeight="1">
      <c r="A60" s="53"/>
      <c r="B60" s="1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>
      <c r="A61" s="53"/>
      <c r="B61" s="1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.75" customHeight="1">
      <c r="A62" s="53"/>
      <c r="B62" s="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.75" customHeight="1">
      <c r="A63" s="53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>
      <c r="A64" s="53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.75" customHeight="1">
      <c r="A65" s="53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.75" customHeight="1">
      <c r="A66" s="53"/>
      <c r="B66" s="1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"/>
      <c r="Q66" s="1"/>
      <c r="R66" s="1"/>
      <c r="S66" s="1"/>
      <c r="T66" s="1"/>
      <c r="U66" s="1"/>
      <c r="V66" s="1"/>
    </row>
    <row r="67" spans="1:25" ht="15.75" customHeight="1">
      <c r="A67" s="53"/>
      <c r="B67" s="1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"/>
      <c r="Q67" s="1"/>
      <c r="R67" s="1"/>
      <c r="S67" s="1"/>
      <c r="T67" s="1"/>
      <c r="U67" s="1"/>
      <c r="V67" s="1"/>
    </row>
    <row r="68" spans="1:25" ht="15.75" customHeight="1">
      <c r="A68" s="53"/>
      <c r="B68" s="1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"/>
      <c r="Q68" s="1"/>
      <c r="R68" s="1"/>
      <c r="S68" s="1"/>
      <c r="T68" s="1"/>
      <c r="U68" s="1"/>
      <c r="V68" s="1"/>
    </row>
    <row r="69" spans="1:25" ht="15.75" customHeight="1">
      <c r="A69" s="53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"/>
      <c r="Q69" s="1"/>
      <c r="R69" s="1"/>
      <c r="S69" s="1"/>
      <c r="T69" s="1"/>
      <c r="U69" s="1"/>
      <c r="V69" s="1"/>
    </row>
    <row r="70" spans="1:25" ht="15.75" customHeight="1">
      <c r="A70" s="53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</row>
    <row r="71" spans="1:25" ht="15.75" customHeight="1">
      <c r="A71" s="53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</row>
    <row r="72" spans="1:25" ht="15.75" customHeight="1">
      <c r="A72" s="53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</row>
    <row r="73" spans="1:25" ht="15.75" customHeight="1">
      <c r="A73" s="53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</row>
    <row r="74" spans="1:25" ht="15.75" customHeight="1">
      <c r="A74" s="53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</row>
    <row r="75" spans="1:25" ht="15.75" customHeight="1">
      <c r="A75" s="53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</row>
    <row r="76" spans="1:25" ht="15.75" customHeight="1">
      <c r="A76" s="53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</row>
    <row r="77" spans="1:25" ht="15.75" customHeight="1">
      <c r="A77" s="53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</row>
    <row r="78" spans="1:25" ht="15.75" customHeight="1">
      <c r="A78" s="53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</row>
    <row r="79" spans="1:25" ht="15.75" customHeight="1">
      <c r="A79" s="53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</row>
    <row r="80" spans="1:25" ht="15.75" customHeight="1">
      <c r="A80" s="53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</row>
    <row r="81" spans="1:22" ht="15.75" customHeight="1">
      <c r="A81" s="53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</row>
    <row r="82" spans="1:22" ht="15.75" customHeight="1">
      <c r="A82" s="53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</row>
    <row r="83" spans="1:22" ht="15.75" customHeight="1">
      <c r="A83" s="53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</row>
    <row r="84" spans="1:22" ht="15.75" customHeight="1">
      <c r="A84" s="53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</row>
    <row r="85" spans="1:22" ht="15.75" customHeight="1">
      <c r="A85" s="53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</row>
    <row r="86" spans="1:22" ht="15.75" customHeight="1">
      <c r="A86" s="53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</row>
    <row r="87" spans="1:22" ht="15.75" customHeight="1">
      <c r="A87" s="53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</row>
    <row r="88" spans="1:22" ht="15.75" customHeight="1">
      <c r="A88" s="53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</row>
    <row r="89" spans="1:22" ht="15.75" customHeight="1">
      <c r="A89" s="53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</row>
    <row r="90" spans="1:22" ht="15.75" customHeight="1">
      <c r="A90" s="53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</row>
    <row r="91" spans="1:22" ht="15.75" customHeight="1">
      <c r="A91" s="53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</row>
    <row r="92" spans="1:22" ht="15.75" customHeight="1">
      <c r="A92" s="53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</row>
    <row r="93" spans="1:22" ht="15.75" customHeight="1">
      <c r="A93" s="53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</row>
    <row r="94" spans="1:22" ht="15.75" customHeight="1">
      <c r="A94" s="53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</row>
    <row r="95" spans="1:22" ht="15.75" customHeight="1">
      <c r="A95" s="53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</row>
    <row r="96" spans="1:22" ht="15.75" customHeight="1">
      <c r="A96" s="53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</row>
    <row r="97" spans="1:22" ht="15.75" customHeight="1">
      <c r="A97" s="53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</row>
    <row r="98" spans="1:22" ht="15.75" customHeight="1">
      <c r="A98" s="53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</row>
    <row r="99" spans="1:22" ht="15.75" customHeight="1">
      <c r="A99" s="53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</row>
    <row r="100" spans="1:22" ht="15.75" customHeight="1">
      <c r="A100" s="53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</row>
    <row r="101" spans="1:22" ht="15.75" customHeight="1">
      <c r="A101" s="53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</row>
    <row r="102" spans="1:22" ht="15.75" customHeight="1">
      <c r="A102" s="53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</row>
    <row r="103" spans="1:22" ht="15.75" customHeight="1">
      <c r="A103" s="53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</row>
    <row r="104" spans="1:22" ht="15.75" customHeight="1">
      <c r="A104" s="53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</row>
    <row r="105" spans="1:22" ht="15.75" customHeight="1">
      <c r="A105" s="53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</row>
    <row r="106" spans="1:22" ht="15.75" customHeight="1">
      <c r="A106" s="53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</row>
    <row r="107" spans="1:22" ht="15.75" customHeight="1">
      <c r="A107" s="53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</row>
    <row r="108" spans="1:22" ht="15.75" customHeight="1">
      <c r="A108" s="53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</row>
    <row r="109" spans="1:22" ht="15.75" customHeight="1">
      <c r="A109" s="53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</row>
    <row r="110" spans="1:22" ht="15.75" customHeight="1">
      <c r="A110" s="53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</row>
    <row r="111" spans="1:22" ht="15.75" customHeight="1">
      <c r="A111" s="53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</row>
    <row r="112" spans="1:22" ht="15.75" customHeight="1">
      <c r="A112" s="53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</row>
    <row r="113" spans="1:22" ht="15.75" customHeight="1">
      <c r="A113" s="53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</row>
    <row r="114" spans="1:22" ht="15.75" customHeight="1">
      <c r="A114" s="53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</row>
    <row r="115" spans="1:22" ht="15.75" customHeight="1">
      <c r="A115" s="53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</row>
    <row r="116" spans="1:22" ht="15.75" customHeight="1">
      <c r="A116" s="53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</row>
    <row r="117" spans="1:22" ht="15.75" customHeight="1">
      <c r="A117" s="53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</row>
    <row r="118" spans="1:22" ht="15.75" customHeight="1">
      <c r="A118" s="53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</row>
    <row r="119" spans="1:22" ht="15.75" customHeight="1">
      <c r="A119" s="53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</row>
    <row r="120" spans="1:22" ht="15.75" customHeight="1">
      <c r="A120" s="53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</row>
    <row r="121" spans="1:22" ht="15.75" customHeight="1">
      <c r="A121" s="53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</row>
    <row r="122" spans="1:22" ht="15.75" customHeight="1">
      <c r="A122" s="53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</row>
    <row r="123" spans="1:22" ht="15.75" customHeight="1">
      <c r="A123" s="53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</row>
    <row r="124" spans="1:22" ht="15.75" customHeight="1">
      <c r="A124" s="53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</row>
    <row r="125" spans="1:22" ht="15.75" customHeight="1">
      <c r="A125" s="53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</row>
    <row r="126" spans="1:22" ht="15.75" customHeight="1">
      <c r="A126" s="53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</row>
    <row r="127" spans="1:22" ht="15.75" customHeight="1">
      <c r="A127" s="53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</row>
    <row r="128" spans="1:22" ht="15.75" customHeight="1">
      <c r="A128" s="53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</row>
    <row r="129" spans="1:22" ht="15.75" customHeight="1">
      <c r="A129" s="53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</row>
    <row r="130" spans="1:22" ht="15.75" customHeight="1">
      <c r="A130" s="53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</row>
    <row r="131" spans="1:22" ht="15.75" customHeight="1">
      <c r="A131" s="53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</row>
    <row r="132" spans="1:22" ht="15.75" customHeight="1">
      <c r="A132" s="53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</row>
    <row r="133" spans="1:22" ht="15.75" customHeight="1">
      <c r="A133" s="53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</row>
    <row r="134" spans="1:22" ht="15.75" customHeight="1">
      <c r="A134" s="53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</row>
    <row r="135" spans="1:22" ht="15.75" customHeight="1">
      <c r="A135" s="53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</row>
    <row r="136" spans="1:22" ht="15.75" customHeight="1">
      <c r="A136" s="53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</row>
    <row r="137" spans="1:22" ht="15.75" customHeight="1">
      <c r="A137" s="53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</row>
    <row r="138" spans="1:22" ht="15.75" customHeight="1">
      <c r="A138" s="53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</row>
    <row r="139" spans="1:22" ht="15.75" customHeight="1">
      <c r="A139" s="53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</row>
    <row r="140" spans="1:22" ht="15.75" customHeight="1">
      <c r="A140" s="53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</row>
    <row r="141" spans="1:22" ht="15.75" customHeight="1">
      <c r="A141" s="53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</row>
    <row r="142" spans="1:22" ht="15.75" customHeight="1">
      <c r="A142" s="53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</row>
    <row r="143" spans="1:22" ht="15.75" customHeight="1">
      <c r="A143" s="53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</row>
    <row r="144" spans="1:22" ht="15.75" customHeight="1">
      <c r="A144" s="53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</row>
    <row r="145" spans="1:22" ht="15.75" customHeight="1">
      <c r="A145" s="53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</row>
    <row r="146" spans="1:22" ht="15.75" customHeight="1">
      <c r="A146" s="53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</row>
    <row r="147" spans="1:22" ht="15.75" customHeight="1">
      <c r="A147" s="53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</row>
    <row r="148" spans="1:22" ht="15.75" customHeight="1">
      <c r="A148" s="53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</row>
    <row r="149" spans="1:22" ht="15.75" customHeight="1">
      <c r="A149" s="53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</row>
    <row r="150" spans="1:22" ht="15.75" customHeight="1">
      <c r="A150" s="53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</row>
    <row r="151" spans="1:22" ht="15.75" customHeight="1">
      <c r="A151" s="53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</row>
    <row r="152" spans="1:22" ht="15.75" customHeight="1">
      <c r="A152" s="53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</row>
    <row r="153" spans="1:22" ht="15.75" customHeight="1">
      <c r="A153" s="53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</row>
    <row r="154" spans="1:22" ht="15.75" customHeight="1">
      <c r="A154" s="53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</row>
    <row r="155" spans="1:22" ht="15.75" customHeight="1">
      <c r="A155" s="53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</row>
    <row r="156" spans="1:22" ht="15.75" customHeight="1">
      <c r="A156" s="53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</row>
    <row r="157" spans="1:22" ht="15.75" customHeight="1">
      <c r="A157" s="53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</row>
    <row r="158" spans="1:22" ht="15.75" customHeight="1">
      <c r="A158" s="53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</row>
    <row r="159" spans="1:22" ht="15.75" customHeight="1">
      <c r="A159" s="53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</row>
    <row r="160" spans="1:22" ht="15.75" customHeight="1">
      <c r="A160" s="53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</row>
    <row r="161" spans="1:22" ht="15.75" customHeight="1">
      <c r="A161" s="53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</row>
    <row r="162" spans="1:22" ht="15.75" customHeight="1">
      <c r="A162" s="53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</row>
    <row r="163" spans="1:22" ht="15.75" customHeight="1">
      <c r="A163" s="53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</row>
    <row r="164" spans="1:22" ht="15.75" customHeight="1">
      <c r="A164" s="53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</row>
    <row r="165" spans="1:22" ht="15.75" customHeight="1">
      <c r="A165" s="53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</row>
    <row r="166" spans="1:22" ht="15.75" customHeight="1">
      <c r="A166" s="53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</row>
    <row r="167" spans="1:22" ht="15.75" customHeight="1">
      <c r="A167" s="53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</row>
    <row r="168" spans="1:22" ht="15.75" customHeight="1">
      <c r="A168" s="53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</row>
    <row r="169" spans="1:22" ht="15.75" customHeight="1">
      <c r="A169" s="53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</row>
    <row r="170" spans="1:22" ht="15.75" customHeight="1">
      <c r="A170" s="53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</row>
    <row r="171" spans="1:22" ht="15.75" customHeight="1">
      <c r="A171" s="53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</row>
    <row r="172" spans="1:22" ht="15.75" customHeight="1">
      <c r="A172" s="53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</row>
    <row r="173" spans="1:22" ht="15.75" customHeight="1">
      <c r="A173" s="53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</row>
    <row r="174" spans="1:22" ht="15.75" customHeight="1">
      <c r="A174" s="53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</row>
    <row r="175" spans="1:22" ht="15.75" customHeight="1">
      <c r="A175" s="53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</row>
    <row r="176" spans="1:22" ht="15.75" customHeight="1">
      <c r="A176" s="53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</row>
    <row r="177" spans="1:22" ht="15.75" customHeight="1">
      <c r="A177" s="53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</row>
    <row r="178" spans="1:22" ht="15.75" customHeight="1">
      <c r="A178" s="53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</row>
    <row r="179" spans="1:22" ht="15.75" customHeight="1">
      <c r="A179" s="53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</row>
    <row r="180" spans="1:22" ht="15.75" customHeight="1">
      <c r="A180" s="53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</row>
    <row r="181" spans="1:22" ht="15.75" customHeight="1">
      <c r="A181" s="53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</row>
    <row r="182" spans="1:22" ht="15.75" customHeight="1">
      <c r="A182" s="53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</row>
    <row r="183" spans="1:22" ht="15.75" customHeight="1">
      <c r="A183" s="53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</row>
    <row r="184" spans="1:22" ht="15.75" customHeight="1">
      <c r="A184" s="53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</row>
    <row r="185" spans="1:22" ht="15.75" customHeight="1">
      <c r="A185" s="53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</row>
    <row r="186" spans="1:22" ht="15.75" customHeight="1">
      <c r="A186" s="53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</row>
    <row r="187" spans="1:22" ht="15.75" customHeight="1">
      <c r="A187" s="53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</row>
    <row r="188" spans="1:22" ht="15.75" customHeight="1">
      <c r="A188" s="53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</row>
    <row r="189" spans="1:22" ht="15.75" customHeight="1">
      <c r="A189" s="53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</row>
    <row r="190" spans="1:22" ht="15.75" customHeight="1">
      <c r="A190" s="53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</row>
    <row r="191" spans="1:22" ht="15.75" customHeight="1">
      <c r="A191" s="53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</row>
    <row r="192" spans="1:22" ht="15.75" customHeight="1">
      <c r="A192" s="53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</row>
    <row r="193" spans="1:22" ht="15.75" customHeight="1">
      <c r="A193" s="53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</row>
    <row r="194" spans="1:22" ht="15.75" customHeight="1">
      <c r="A194" s="53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</row>
    <row r="195" spans="1:22" ht="15.75" customHeight="1">
      <c r="A195" s="53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</row>
    <row r="196" spans="1:22" ht="15.75" customHeight="1">
      <c r="A196" s="53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</row>
    <row r="197" spans="1:22" ht="15.75" customHeight="1">
      <c r="A197" s="53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</row>
    <row r="198" spans="1:22" ht="15.75" customHeight="1">
      <c r="A198" s="53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</row>
    <row r="199" spans="1:22" ht="15.75" customHeight="1">
      <c r="A199" s="53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</row>
    <row r="200" spans="1:22" ht="15.75" customHeight="1">
      <c r="A200" s="53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</row>
    <row r="201" spans="1:22" ht="15.75" customHeight="1">
      <c r="A201" s="53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</row>
    <row r="202" spans="1:22" ht="15.75" customHeight="1">
      <c r="A202" s="53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</row>
    <row r="203" spans="1:22" ht="15.75" customHeight="1">
      <c r="A203" s="53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</row>
    <row r="204" spans="1:22" ht="15.75" customHeight="1">
      <c r="A204" s="53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</row>
    <row r="205" spans="1:22" ht="15.75" customHeight="1">
      <c r="A205" s="53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</row>
    <row r="206" spans="1:22" ht="15.75" customHeight="1">
      <c r="A206" s="53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</row>
    <row r="207" spans="1:22" ht="15.75" customHeight="1">
      <c r="A207" s="53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</row>
    <row r="208" spans="1:22" ht="15.75" customHeight="1">
      <c r="A208" s="53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</row>
    <row r="209" spans="1:22" ht="15.75" customHeight="1">
      <c r="A209" s="53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</row>
    <row r="210" spans="1:22" ht="15.75" customHeight="1">
      <c r="A210" s="53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"/>
      <c r="Q210" s="1"/>
      <c r="R210" s="1"/>
      <c r="S210" s="1"/>
      <c r="T210" s="1"/>
      <c r="U210" s="1"/>
      <c r="V210" s="1"/>
    </row>
    <row r="211" spans="1:22" ht="15.75" customHeight="1">
      <c r="A211" s="53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"/>
      <c r="Q211" s="1"/>
      <c r="R211" s="1"/>
      <c r="S211" s="1"/>
      <c r="T211" s="1"/>
      <c r="U211" s="1"/>
      <c r="V211" s="1"/>
    </row>
    <row r="212" spans="1:22" ht="15.75" customHeight="1">
      <c r="A212" s="53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"/>
      <c r="Q212" s="1"/>
      <c r="R212" s="1"/>
      <c r="S212" s="1"/>
      <c r="T212" s="1"/>
      <c r="U212" s="1"/>
      <c r="V212" s="1"/>
    </row>
    <row r="213" spans="1:22" ht="15.75" customHeight="1">
      <c r="A213" s="53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"/>
      <c r="Q213" s="1"/>
      <c r="R213" s="1"/>
      <c r="S213" s="1"/>
      <c r="T213" s="1"/>
      <c r="U213" s="1"/>
      <c r="V213" s="1"/>
    </row>
    <row r="214" spans="1:22" ht="15.75" customHeight="1">
      <c r="A214" s="53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"/>
      <c r="Q214" s="1"/>
      <c r="R214" s="1"/>
      <c r="S214" s="1"/>
      <c r="T214" s="1"/>
      <c r="U214" s="1"/>
      <c r="V214" s="1"/>
    </row>
    <row r="215" spans="1:22" ht="15.75" customHeight="1">
      <c r="A215" s="53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"/>
      <c r="Q215" s="1"/>
      <c r="R215" s="1"/>
      <c r="S215" s="1"/>
      <c r="T215" s="1"/>
      <c r="U215" s="1"/>
      <c r="V215" s="1"/>
    </row>
    <row r="216" spans="1:22" ht="15.75" customHeight="1">
      <c r="A216" s="53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"/>
      <c r="Q216" s="1"/>
      <c r="R216" s="1"/>
      <c r="S216" s="1"/>
      <c r="T216" s="1"/>
      <c r="U216" s="1"/>
      <c r="V216" s="1"/>
    </row>
    <row r="217" spans="1:22" ht="15.75" customHeight="1">
      <c r="A217" s="53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"/>
      <c r="Q217" s="1"/>
      <c r="R217" s="1"/>
      <c r="S217" s="1"/>
      <c r="T217" s="1"/>
      <c r="U217" s="1"/>
      <c r="V217" s="1"/>
    </row>
    <row r="218" spans="1:22" ht="15.75" customHeight="1">
      <c r="A218" s="5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5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5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5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5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5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5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5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5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5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5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5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5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5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5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5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5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5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5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5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5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5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5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5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5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5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5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5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5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5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5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5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5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5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5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5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5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5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5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5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5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5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H1:S1"/>
    <mergeCell ref="D1:G1"/>
    <mergeCell ref="T1:Y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Y1000"/>
  <sheetViews>
    <sheetView workbookViewId="0"/>
  </sheetViews>
  <sheetFormatPr baseColWidth="10" defaultColWidth="11.1640625" defaultRowHeight="15" customHeight="1"/>
  <cols>
    <col min="1" max="1" width="6.5" customWidth="1"/>
    <col min="2" max="2" width="22.1640625" customWidth="1"/>
    <col min="3" max="3" width="11" customWidth="1"/>
    <col min="4" max="4" width="8.1640625" hidden="1" customWidth="1"/>
    <col min="5" max="5" width="6.6640625" hidden="1" customWidth="1"/>
    <col min="6" max="6" width="8.1640625" hidden="1" customWidth="1"/>
    <col min="7" max="7" width="7.5" hidden="1" customWidth="1"/>
    <col min="8" max="8" width="6.6640625" hidden="1" customWidth="1"/>
    <col min="9" max="9" width="7.1640625" hidden="1" customWidth="1"/>
    <col min="10" max="10" width="5.5" hidden="1" customWidth="1"/>
    <col min="11" max="11" width="5.1640625" hidden="1" customWidth="1"/>
    <col min="12" max="12" width="11.1640625" hidden="1" customWidth="1"/>
    <col min="13" max="13" width="11" hidden="1" customWidth="1"/>
    <col min="14" max="14" width="12.83203125" customWidth="1"/>
    <col min="15" max="15" width="11.6640625" customWidth="1"/>
    <col min="16" max="16" width="14.1640625" customWidth="1"/>
    <col min="17" max="17" width="13.1640625" customWidth="1"/>
    <col min="18" max="18" width="13.83203125" customWidth="1"/>
    <col min="19" max="19" width="16.33203125" customWidth="1"/>
    <col min="20" max="22" width="6.5" customWidth="1"/>
    <col min="23" max="26" width="8.83203125" customWidth="1"/>
  </cols>
  <sheetData>
    <row r="1" spans="1:25" ht="15.75" customHeight="1">
      <c r="A1" s="11"/>
      <c r="B1" s="11"/>
      <c r="C1" s="47"/>
      <c r="D1" s="78">
        <v>2025</v>
      </c>
      <c r="E1" s="79"/>
      <c r="F1" s="79"/>
      <c r="G1" s="79"/>
      <c r="H1" s="81">
        <v>2026</v>
      </c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3">
        <v>2027</v>
      </c>
      <c r="U1" s="84"/>
      <c r="V1" s="84"/>
      <c r="W1" s="84"/>
      <c r="X1" s="84"/>
      <c r="Y1" s="85"/>
    </row>
    <row r="2" spans="1:25" ht="15.75" customHeight="1">
      <c r="A2" s="11"/>
      <c r="B2" s="11"/>
      <c r="C2" s="47"/>
      <c r="D2" s="80" t="s">
        <v>43</v>
      </c>
      <c r="E2" s="80" t="s">
        <v>44</v>
      </c>
      <c r="F2" s="80" t="s">
        <v>45</v>
      </c>
      <c r="G2" s="80" t="s">
        <v>46</v>
      </c>
      <c r="H2" s="74" t="s">
        <v>47</v>
      </c>
      <c r="I2" s="74" t="s">
        <v>48</v>
      </c>
      <c r="J2" s="74" t="s">
        <v>37</v>
      </c>
      <c r="K2" s="74" t="s">
        <v>38</v>
      </c>
      <c r="L2" s="75" t="s">
        <v>39</v>
      </c>
      <c r="M2" s="75" t="s">
        <v>40</v>
      </c>
      <c r="N2" s="75" t="s">
        <v>41</v>
      </c>
      <c r="O2" s="75" t="s">
        <v>42</v>
      </c>
      <c r="P2" s="75" t="s">
        <v>43</v>
      </c>
      <c r="Q2" s="75" t="s">
        <v>44</v>
      </c>
      <c r="R2" s="75" t="s">
        <v>45</v>
      </c>
      <c r="S2" s="75" t="s">
        <v>46</v>
      </c>
      <c r="T2" s="86" t="s">
        <v>47</v>
      </c>
      <c r="U2" s="86" t="s">
        <v>48</v>
      </c>
      <c r="V2" s="86" t="s">
        <v>37</v>
      </c>
      <c r="W2" s="86" t="s">
        <v>38</v>
      </c>
      <c r="X2" s="86" t="s">
        <v>39</v>
      </c>
      <c r="Y2" s="86" t="s">
        <v>40</v>
      </c>
    </row>
    <row r="3" spans="1:25" ht="15.75" customHeight="1">
      <c r="A3" s="32"/>
      <c r="B3" s="32" t="s">
        <v>119</v>
      </c>
      <c r="C3" s="48">
        <f>SUM(D3:Y3)</f>
        <v>83330.87999999999</v>
      </c>
      <c r="D3" s="48">
        <f t="shared" ref="D3:Y3" si="0">SUM(D4:D134)</f>
        <v>0</v>
      </c>
      <c r="E3" s="48">
        <f t="shared" si="0"/>
        <v>0</v>
      </c>
      <c r="F3" s="48">
        <f t="shared" si="0"/>
        <v>0</v>
      </c>
      <c r="G3" s="48">
        <f t="shared" si="0"/>
        <v>0</v>
      </c>
      <c r="H3" s="48">
        <f t="shared" si="0"/>
        <v>0</v>
      </c>
      <c r="I3" s="48">
        <f t="shared" si="0"/>
        <v>0</v>
      </c>
      <c r="J3" s="48">
        <f t="shared" si="0"/>
        <v>0</v>
      </c>
      <c r="K3" s="48">
        <f t="shared" si="0"/>
        <v>0</v>
      </c>
      <c r="L3" s="48">
        <f t="shared" si="0"/>
        <v>0</v>
      </c>
      <c r="M3" s="48">
        <f t="shared" si="0"/>
        <v>0</v>
      </c>
      <c r="N3" s="48">
        <f t="shared" si="0"/>
        <v>13888.48</v>
      </c>
      <c r="O3" s="48">
        <f t="shared" si="0"/>
        <v>13888.48</v>
      </c>
      <c r="P3" s="48">
        <f t="shared" si="0"/>
        <v>13888.48</v>
      </c>
      <c r="Q3" s="48">
        <f t="shared" si="0"/>
        <v>13888.48</v>
      </c>
      <c r="R3" s="48">
        <f t="shared" si="0"/>
        <v>13888.48</v>
      </c>
      <c r="S3" s="48">
        <f t="shared" si="0"/>
        <v>13888.48</v>
      </c>
      <c r="T3" s="48">
        <f t="shared" si="0"/>
        <v>0</v>
      </c>
      <c r="U3" s="48">
        <f t="shared" si="0"/>
        <v>0</v>
      </c>
      <c r="V3" s="48">
        <f t="shared" si="0"/>
        <v>0</v>
      </c>
      <c r="W3" s="48">
        <f t="shared" si="0"/>
        <v>0</v>
      </c>
      <c r="X3" s="48">
        <f t="shared" si="0"/>
        <v>0</v>
      </c>
      <c r="Y3" s="48">
        <f t="shared" si="0"/>
        <v>0</v>
      </c>
    </row>
    <row r="4" spans="1:25" ht="15.75" customHeight="1">
      <c r="A4" s="1"/>
      <c r="B4" s="31" t="s">
        <v>120</v>
      </c>
      <c r="C4" s="49">
        <f>SUM(D4:Y4)</f>
        <v>54000</v>
      </c>
      <c r="D4" s="54"/>
      <c r="E4" s="54"/>
      <c r="F4" s="54">
        <v>0</v>
      </c>
      <c r="G4" s="54"/>
      <c r="H4" s="54"/>
      <c r="I4" s="54"/>
      <c r="J4" s="54"/>
      <c r="K4" s="54"/>
      <c r="L4" s="54"/>
      <c r="M4" s="54"/>
      <c r="N4" s="54">
        <v>9000</v>
      </c>
      <c r="O4" s="54">
        <v>9000</v>
      </c>
      <c r="P4" s="54">
        <v>9000</v>
      </c>
      <c r="Q4" s="54">
        <v>9000</v>
      </c>
      <c r="R4" s="54">
        <v>9000</v>
      </c>
      <c r="S4" s="54">
        <v>9000</v>
      </c>
      <c r="T4" s="54"/>
      <c r="U4" s="54"/>
      <c r="V4" s="54"/>
      <c r="W4" s="54"/>
      <c r="X4" s="54"/>
      <c r="Y4" s="54"/>
    </row>
    <row r="5" spans="1:25" ht="15.75" customHeight="1">
      <c r="A5" s="1"/>
      <c r="B5" s="31" t="s">
        <v>121</v>
      </c>
      <c r="C5" s="22">
        <f>SUM(D5:Y5)</f>
        <v>0</v>
      </c>
      <c r="D5" s="38"/>
      <c r="E5" s="38"/>
      <c r="F5" s="38">
        <v>0</v>
      </c>
      <c r="G5" s="38"/>
      <c r="H5" s="22"/>
      <c r="I5" s="22"/>
      <c r="J5" s="22"/>
      <c r="K5" s="22"/>
      <c r="L5" s="21"/>
      <c r="M5" s="21"/>
      <c r="N5" s="21"/>
      <c r="O5" s="21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5.75" customHeight="1">
      <c r="A6" s="1"/>
      <c r="B6" s="31" t="s">
        <v>122</v>
      </c>
      <c r="C6" s="22">
        <f>SUM(D6:Y6)</f>
        <v>8330.8799999999992</v>
      </c>
      <c r="D6" s="38"/>
      <c r="E6" s="38"/>
      <c r="F6" s="38">
        <v>0</v>
      </c>
      <c r="G6" s="38"/>
      <c r="H6" s="38"/>
      <c r="I6" s="38"/>
      <c r="J6" s="38"/>
      <c r="K6" s="38"/>
      <c r="L6" s="38"/>
      <c r="M6" s="38"/>
      <c r="N6" s="38">
        <v>1388.48</v>
      </c>
      <c r="O6" s="38">
        <v>1388.48</v>
      </c>
      <c r="P6" s="38">
        <v>1388.48</v>
      </c>
      <c r="Q6" s="38">
        <v>1388.48</v>
      </c>
      <c r="R6" s="38">
        <v>1388.48</v>
      </c>
      <c r="S6" s="38">
        <v>1388.48</v>
      </c>
      <c r="T6" s="38"/>
      <c r="U6" s="38"/>
      <c r="V6" s="38"/>
      <c r="W6" s="38"/>
      <c r="X6" s="38"/>
      <c r="Y6" s="38"/>
    </row>
    <row r="7" spans="1:25" ht="15.75" customHeight="1">
      <c r="A7" s="1"/>
      <c r="B7" s="31" t="s">
        <v>123</v>
      </c>
      <c r="C7" s="22">
        <f>SUM(D7:Y7)</f>
        <v>21000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>
        <v>3500</v>
      </c>
      <c r="O7" s="22">
        <v>3500</v>
      </c>
      <c r="P7" s="22">
        <v>3500</v>
      </c>
      <c r="Q7" s="22">
        <v>3500</v>
      </c>
      <c r="R7" s="22">
        <v>3500</v>
      </c>
      <c r="S7" s="22">
        <v>3500</v>
      </c>
      <c r="T7" s="22"/>
      <c r="U7" s="22"/>
      <c r="V7" s="22"/>
      <c r="W7" s="22"/>
      <c r="X7" s="22"/>
      <c r="Y7" s="22"/>
    </row>
    <row r="8" spans="1:25" ht="15.75" customHeight="1">
      <c r="A8" s="1"/>
      <c r="B8" s="31"/>
      <c r="C8" s="21">
        <f>SUM(D8:Y8)</f>
        <v>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>
      <c r="A9" s="1"/>
      <c r="B9" s="31"/>
      <c r="C9" s="21">
        <f>SUM(D9:Y9)</f>
        <v>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>
      <c r="A10" s="1"/>
      <c r="B10" s="31"/>
      <c r="C10" s="21">
        <f>SUM(D10:Y10)</f>
        <v>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.75" customHeight="1">
      <c r="A11" s="1"/>
      <c r="B11" s="31"/>
      <c r="C11" s="21">
        <f>SUM(D11:Y11)</f>
        <v>0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>
      <c r="A12" s="1"/>
      <c r="B12" s="31"/>
      <c r="C12" s="21">
        <f>SUM(D12:Y12)</f>
        <v>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ht="15.75" customHeight="1">
      <c r="A13" s="1"/>
      <c r="B13" s="31"/>
      <c r="C13" s="22">
        <f>SUM(D13:Y13)</f>
        <v>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>
      <c r="A14" s="1"/>
      <c r="B14" s="31"/>
      <c r="C14" s="22">
        <f>SUM(D14:Y14)</f>
        <v>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>
      <c r="A15" s="1"/>
      <c r="B15" s="1"/>
      <c r="C15" s="22">
        <f>SUM(D15:Y15)</f>
        <v>0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>
      <c r="A16" s="1"/>
      <c r="B16" s="1"/>
      <c r="C16" s="22">
        <f>SUM(D16:Y16)</f>
        <v>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>
      <c r="A17" s="1"/>
      <c r="B17" s="1"/>
      <c r="C17" s="22">
        <f>SUM(D17:Y17)</f>
        <v>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>
      <c r="A18" s="1"/>
      <c r="B18" s="1"/>
      <c r="C18" s="22">
        <f>SUM(D18:Y18)</f>
        <v>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>
      <c r="A19" s="1"/>
      <c r="B19" s="1"/>
      <c r="C19" s="22">
        <f>SUM(D19:Y19)</f>
        <v>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>
      <c r="A20" s="1"/>
      <c r="B20" s="1"/>
      <c r="C20" s="22">
        <f>SUM(D20:Y20)</f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>
      <c r="A21" s="1"/>
      <c r="B21" s="1"/>
      <c r="C21" s="22">
        <f>SUM(D21:Y21)</f>
        <v>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>
      <c r="A22" s="1"/>
      <c r="B22" s="1"/>
      <c r="C22" s="22">
        <f>SUM(D22:Y22)</f>
        <v>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>
      <c r="A23" s="1"/>
      <c r="B23" s="1"/>
      <c r="C23" s="22">
        <f>SUM(D23:Y23)</f>
        <v>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>
      <c r="A24" s="1"/>
      <c r="B24" s="1"/>
      <c r="C24" s="22">
        <f>SUM(D24:Y24)</f>
        <v>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>
      <c r="A25" s="1"/>
      <c r="B25" s="1"/>
      <c r="C25" s="22">
        <f>SUM(D25:Y25)</f>
        <v>0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>
      <c r="A26" s="1"/>
      <c r="B26" s="1"/>
      <c r="C26" s="22">
        <f>SUM(D26:Y26)</f>
        <v>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>
      <c r="A27" s="1"/>
      <c r="B27" s="1"/>
      <c r="C27" s="22">
        <f>SUM(D27:Y27)</f>
        <v>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>
      <c r="A28" s="1"/>
      <c r="B28" s="1"/>
      <c r="C28" s="22">
        <f>SUM(D28:Y28)</f>
        <v>0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>
      <c r="A29" s="1"/>
      <c r="B29" s="1"/>
      <c r="C29" s="22">
        <f>SUM(D29:Y29)</f>
        <v>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>
      <c r="A30" s="1"/>
      <c r="B30" s="1"/>
      <c r="C30" s="22">
        <f>SUM(D30:Y30)</f>
        <v>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>
      <c r="A31" s="1"/>
      <c r="B31" s="1"/>
      <c r="C31" s="22">
        <f>SUM(D31:Y31)</f>
        <v>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>
      <c r="A32" s="1"/>
      <c r="B32" s="1"/>
      <c r="C32" s="22">
        <f>SUM(D32:Y32)</f>
        <v>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>
      <c r="A33" s="1"/>
      <c r="B33" s="1"/>
      <c r="C33" s="22">
        <f>SUM(D33:Y33)</f>
        <v>0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>
      <c r="A34" s="1"/>
      <c r="B34" s="1"/>
      <c r="C34" s="22">
        <f>SUM(D34:Y34)</f>
        <v>0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>
      <c r="A35" s="1"/>
      <c r="B35" s="1"/>
      <c r="C35" s="22">
        <f>SUM(D35:Y35)</f>
        <v>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>
      <c r="A36" s="1"/>
      <c r="B36" s="1"/>
      <c r="C36" s="22">
        <f>SUM(D36:Y36)</f>
        <v>0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>
      <c r="A37" s="1"/>
      <c r="B37" s="1"/>
      <c r="C37" s="22">
        <f>SUM(D37:Y37)</f>
        <v>0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.75" customHeight="1">
      <c r="A38" s="1"/>
      <c r="B38" s="1"/>
      <c r="C38" s="22">
        <f>SUM(D38:Y38)</f>
        <v>0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.75" customHeight="1">
      <c r="A39" s="1"/>
      <c r="B39" s="1"/>
      <c r="C39" s="22">
        <f>SUM(D39:Y39)</f>
        <v>0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.75" customHeight="1">
      <c r="A40" s="1"/>
      <c r="B40" s="1"/>
      <c r="C40" s="22">
        <f>SUM(D40:Y40)</f>
        <v>0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.75" customHeight="1">
      <c r="A41" s="1"/>
      <c r="B41" s="1"/>
      <c r="C41" s="22">
        <f>SUM(D41:Y41)</f>
        <v>0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.75" customHeight="1">
      <c r="A42" s="1"/>
      <c r="B42" s="1"/>
      <c r="C42" s="22">
        <f>SUM(D42:Y42)</f>
        <v>0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.75" customHeight="1">
      <c r="A43" s="1"/>
      <c r="B43" s="1"/>
      <c r="C43" s="22">
        <f>SUM(D43:Y43)</f>
        <v>0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>
      <c r="A44" s="1"/>
      <c r="B44" s="1"/>
      <c r="C44" s="22">
        <f>SUM(D44:Y44)</f>
        <v>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>
      <c r="A45" s="1"/>
      <c r="B45" s="1"/>
      <c r="C45" s="22">
        <f>SUM(D45:Y45)</f>
        <v>0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>
      <c r="A46" s="1"/>
      <c r="B46" s="1"/>
      <c r="C46" s="22">
        <f>SUM(D46:Y46)</f>
        <v>0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.75" customHeight="1">
      <c r="A47" s="1"/>
      <c r="B47" s="1"/>
      <c r="C47" s="22">
        <f>SUM(D47:Y47)</f>
        <v>0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.75" customHeight="1">
      <c r="A48" s="1"/>
      <c r="B48" s="1"/>
      <c r="C48" s="22">
        <f>SUM(D48:Y48)</f>
        <v>0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>
      <c r="A49" s="1"/>
      <c r="B49" s="1"/>
      <c r="C49" s="22">
        <f>SUM(D49:Y49)</f>
        <v>0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.75" customHeight="1">
      <c r="A50" s="1"/>
      <c r="B50" s="1"/>
      <c r="C50" s="22">
        <f>SUM(D50:Y50)</f>
        <v>0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customHeight="1">
      <c r="A51" s="1"/>
      <c r="B51" s="1"/>
      <c r="C51" s="22">
        <f>SUM(D51:Y51)</f>
        <v>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>
      <c r="A52" s="1"/>
      <c r="B52" s="1"/>
      <c r="C52" s="22">
        <f>SUM(D52:Y52)</f>
        <v>0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customHeight="1">
      <c r="A53" s="1"/>
      <c r="B53" s="1"/>
      <c r="C53" s="22">
        <f>SUM(D53:Y53)</f>
        <v>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customHeight="1">
      <c r="A54" s="1"/>
      <c r="B54" s="1"/>
      <c r="C54" s="22">
        <f>SUM(D54:Y54)</f>
        <v>0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>
      <c r="A55" s="1"/>
      <c r="B55" s="1"/>
      <c r="C55" s="22">
        <f>SUM(D55:Y55)</f>
        <v>0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customHeight="1">
      <c r="A56" s="1"/>
      <c r="B56" s="1"/>
      <c r="C56" s="22">
        <f>SUM(D56:Y56)</f>
        <v>0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customHeight="1">
      <c r="A57" s="1"/>
      <c r="B57" s="1"/>
      <c r="C57" s="22">
        <f>SUM(D57:Y57)</f>
        <v>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>
      <c r="A58" s="1"/>
      <c r="B58" s="1"/>
      <c r="C58" s="22">
        <f>SUM(D58:Y58)</f>
        <v>0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.75" customHeight="1">
      <c r="A59" s="1"/>
      <c r="B59" s="1"/>
      <c r="C59" s="22">
        <f>SUM(D59:Y59)</f>
        <v>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.75" customHeight="1">
      <c r="A60" s="1"/>
      <c r="B60" s="1"/>
      <c r="C60" s="22">
        <f>SUM(D60:Y60)</f>
        <v>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>
      <c r="A61" s="1"/>
      <c r="B61" s="1"/>
      <c r="C61" s="22">
        <f>SUM(D61:Y61)</f>
        <v>0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.75" customHeight="1">
      <c r="A62" s="1"/>
      <c r="B62" s="1"/>
      <c r="C62" s="22">
        <f>SUM(D62:Y62)</f>
        <v>0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.75" customHeight="1">
      <c r="A63" s="1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>
      <c r="A64" s="1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.75" customHeight="1">
      <c r="A65" s="1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.75" customHeight="1">
      <c r="A66" s="1"/>
      <c r="B66" s="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.75" customHeight="1">
      <c r="A67" s="1"/>
      <c r="B67" s="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.75" customHeight="1">
      <c r="A68" s="1"/>
      <c r="B68" s="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5.75" customHeight="1">
      <c r="A69" s="1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"/>
      <c r="Q69" s="1"/>
      <c r="R69" s="1"/>
      <c r="S69" s="1"/>
      <c r="T69" s="1"/>
      <c r="U69" s="1"/>
      <c r="V69" s="1"/>
    </row>
    <row r="70" spans="1:25" ht="15.75" customHeight="1">
      <c r="A70" s="1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</row>
    <row r="71" spans="1:25" ht="15.75" customHeight="1">
      <c r="A71" s="1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</row>
    <row r="72" spans="1:25" ht="15.75" customHeight="1">
      <c r="A72" s="1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</row>
    <row r="73" spans="1:25" ht="15.75" customHeight="1">
      <c r="A73" s="1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</row>
    <row r="74" spans="1:25" ht="15.75" customHeight="1">
      <c r="A74" s="1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</row>
    <row r="75" spans="1:25" ht="15.75" customHeight="1">
      <c r="A75" s="1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</row>
    <row r="76" spans="1:25" ht="15.75" customHeight="1">
      <c r="A76" s="1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</row>
    <row r="77" spans="1:25" ht="15.75" customHeight="1">
      <c r="A77" s="1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</row>
    <row r="78" spans="1:25" ht="15.75" customHeight="1">
      <c r="A78" s="1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</row>
    <row r="79" spans="1:25" ht="15.75" customHeight="1">
      <c r="A79" s="1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</row>
    <row r="80" spans="1:25" ht="15.75" customHeight="1">
      <c r="A80" s="1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H1:S1"/>
    <mergeCell ref="D1:G1"/>
    <mergeCell ref="T1:Y1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Y1000"/>
  <sheetViews>
    <sheetView workbookViewId="0"/>
  </sheetViews>
  <sheetFormatPr baseColWidth="10" defaultColWidth="11.1640625" defaultRowHeight="15" customHeight="1"/>
  <cols>
    <col min="1" max="1" width="7.1640625" customWidth="1"/>
    <col min="2" max="2" width="32.1640625" customWidth="1"/>
    <col min="3" max="3" width="9.1640625" customWidth="1"/>
    <col min="4" max="4" width="8.1640625" hidden="1" customWidth="1"/>
    <col min="5" max="5" width="6.6640625" hidden="1" customWidth="1"/>
    <col min="6" max="6" width="8.1640625" hidden="1" customWidth="1"/>
    <col min="7" max="7" width="7.5" hidden="1" customWidth="1"/>
    <col min="8" max="8" width="6.6640625" hidden="1" customWidth="1"/>
    <col min="9" max="9" width="7.1640625" hidden="1" customWidth="1"/>
    <col min="10" max="10" width="5.5" hidden="1" customWidth="1"/>
    <col min="11" max="11" width="5.1640625" hidden="1" customWidth="1"/>
    <col min="12" max="12" width="7.1640625" hidden="1" customWidth="1"/>
    <col min="13" max="13" width="9.1640625" hidden="1" customWidth="1"/>
    <col min="14" max="14" width="12" bestFit="1" customWidth="1"/>
    <col min="15" max="15" width="7.5" customWidth="1"/>
    <col min="16" max="16" width="10.83203125" customWidth="1"/>
    <col min="17" max="17" width="12" bestFit="1" customWidth="1"/>
    <col min="18" max="18" width="10" customWidth="1"/>
    <col min="19" max="19" width="12" bestFit="1" customWidth="1"/>
    <col min="20" max="22" width="6.5" customWidth="1"/>
    <col min="23" max="26" width="8.83203125" customWidth="1"/>
  </cols>
  <sheetData>
    <row r="1" spans="1:25" ht="15.75" customHeight="1">
      <c r="A1" s="51"/>
      <c r="B1" s="11"/>
      <c r="C1" s="47"/>
      <c r="D1" s="78">
        <v>2025</v>
      </c>
      <c r="E1" s="79"/>
      <c r="F1" s="79"/>
      <c r="G1" s="79"/>
      <c r="H1" s="81">
        <v>2026</v>
      </c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3">
        <v>2027</v>
      </c>
      <c r="U1" s="84"/>
      <c r="V1" s="84"/>
      <c r="W1" s="84"/>
      <c r="X1" s="84"/>
      <c r="Y1" s="85"/>
    </row>
    <row r="2" spans="1:25" ht="15.75" customHeight="1">
      <c r="A2" s="51"/>
      <c r="B2" s="11"/>
      <c r="C2" s="47"/>
      <c r="D2" s="80" t="s">
        <v>43</v>
      </c>
      <c r="E2" s="80" t="s">
        <v>44</v>
      </c>
      <c r="F2" s="80" t="s">
        <v>45</v>
      </c>
      <c r="G2" s="80" t="s">
        <v>46</v>
      </c>
      <c r="H2" s="74" t="s">
        <v>47</v>
      </c>
      <c r="I2" s="74" t="s">
        <v>48</v>
      </c>
      <c r="J2" s="74" t="s">
        <v>37</v>
      </c>
      <c r="K2" s="74" t="s">
        <v>38</v>
      </c>
      <c r="L2" s="75" t="s">
        <v>39</v>
      </c>
      <c r="M2" s="75" t="s">
        <v>40</v>
      </c>
      <c r="N2" s="75" t="s">
        <v>41</v>
      </c>
      <c r="O2" s="75" t="s">
        <v>42</v>
      </c>
      <c r="P2" s="75" t="s">
        <v>43</v>
      </c>
      <c r="Q2" s="75" t="s">
        <v>44</v>
      </c>
      <c r="R2" s="75" t="s">
        <v>45</v>
      </c>
      <c r="S2" s="75" t="s">
        <v>46</v>
      </c>
      <c r="T2" s="86" t="s">
        <v>47</v>
      </c>
      <c r="U2" s="86" t="s">
        <v>48</v>
      </c>
      <c r="V2" s="86" t="s">
        <v>37</v>
      </c>
      <c r="W2" s="86" t="s">
        <v>38</v>
      </c>
      <c r="X2" s="86" t="s">
        <v>39</v>
      </c>
      <c r="Y2" s="86" t="s">
        <v>40</v>
      </c>
    </row>
    <row r="3" spans="1:25" ht="15.75" customHeight="1">
      <c r="A3" s="52"/>
      <c r="B3" s="32" t="s">
        <v>62</v>
      </c>
      <c r="C3" s="48">
        <f>SUM(D3:Y3)</f>
        <v>10269.18</v>
      </c>
      <c r="D3" s="48">
        <f t="shared" ref="D3:Y3" si="0">SUM(D4:D134)</f>
        <v>0</v>
      </c>
      <c r="E3" s="48">
        <f t="shared" si="0"/>
        <v>0</v>
      </c>
      <c r="F3" s="48">
        <f t="shared" si="0"/>
        <v>0</v>
      </c>
      <c r="G3" s="48">
        <f t="shared" si="0"/>
        <v>0</v>
      </c>
      <c r="H3" s="48">
        <f t="shared" si="0"/>
        <v>0</v>
      </c>
      <c r="I3" s="48">
        <f t="shared" si="0"/>
        <v>0</v>
      </c>
      <c r="J3" s="48">
        <f t="shared" si="0"/>
        <v>0</v>
      </c>
      <c r="K3" s="48">
        <f t="shared" si="0"/>
        <v>0</v>
      </c>
      <c r="L3" s="48">
        <f t="shared" si="0"/>
        <v>0</v>
      </c>
      <c r="M3" s="48">
        <f t="shared" si="0"/>
        <v>0</v>
      </c>
      <c r="N3" s="48">
        <f t="shared" si="0"/>
        <v>6614.5300000000007</v>
      </c>
      <c r="O3" s="48">
        <f t="shared" si="0"/>
        <v>354.65</v>
      </c>
      <c r="P3" s="48">
        <f t="shared" si="0"/>
        <v>700</v>
      </c>
      <c r="Q3" s="48">
        <f t="shared" si="0"/>
        <v>2000</v>
      </c>
      <c r="R3" s="48">
        <f t="shared" si="0"/>
        <v>0</v>
      </c>
      <c r="S3" s="48">
        <f t="shared" si="0"/>
        <v>600</v>
      </c>
      <c r="T3" s="48">
        <f t="shared" si="0"/>
        <v>0</v>
      </c>
      <c r="U3" s="48">
        <f t="shared" si="0"/>
        <v>0</v>
      </c>
      <c r="V3" s="48">
        <f t="shared" si="0"/>
        <v>0</v>
      </c>
      <c r="W3" s="48">
        <f t="shared" si="0"/>
        <v>0</v>
      </c>
      <c r="X3" s="48">
        <f t="shared" si="0"/>
        <v>0</v>
      </c>
      <c r="Y3" s="48">
        <f t="shared" si="0"/>
        <v>0</v>
      </c>
    </row>
    <row r="4" spans="1:25" ht="15.75" customHeight="1">
      <c r="A4" s="53"/>
      <c r="B4" s="31" t="s">
        <v>124</v>
      </c>
      <c r="C4" s="49">
        <f>SUM(D4:Y4)</f>
        <v>1900</v>
      </c>
      <c r="D4" s="49"/>
      <c r="E4" s="49"/>
      <c r="F4" s="49">
        <v>0</v>
      </c>
      <c r="G4" s="49">
        <v>0</v>
      </c>
      <c r="H4" s="49"/>
      <c r="I4" s="49"/>
      <c r="J4" s="49"/>
      <c r="K4" s="49"/>
      <c r="L4" s="49"/>
      <c r="M4" s="49"/>
      <c r="N4" s="49">
        <v>600</v>
      </c>
      <c r="O4" s="49"/>
      <c r="P4" s="49">
        <v>700</v>
      </c>
      <c r="Q4" s="49"/>
      <c r="R4" s="49"/>
      <c r="S4" s="49">
        <v>600</v>
      </c>
      <c r="T4" s="49"/>
      <c r="U4" s="49"/>
      <c r="V4" s="49"/>
      <c r="W4" s="49"/>
      <c r="X4" s="49"/>
      <c r="Y4" s="49"/>
    </row>
    <row r="5" spans="1:25" ht="15.75" customHeight="1">
      <c r="A5" s="53"/>
      <c r="B5" s="31" t="s">
        <v>125</v>
      </c>
      <c r="C5" s="49">
        <f>SUM(D5:Y5)</f>
        <v>4000</v>
      </c>
      <c r="D5" s="22"/>
      <c r="E5" s="21"/>
      <c r="F5" s="22"/>
      <c r="G5" s="22"/>
      <c r="H5" s="21"/>
      <c r="I5" s="21"/>
      <c r="J5" s="22"/>
      <c r="K5" s="21"/>
      <c r="L5" s="22"/>
      <c r="M5" s="21"/>
      <c r="N5" s="21">
        <v>2000</v>
      </c>
      <c r="O5" s="21"/>
      <c r="P5" s="21"/>
      <c r="Q5" s="21">
        <v>2000</v>
      </c>
      <c r="R5" s="22"/>
      <c r="S5" s="22"/>
      <c r="T5" s="22"/>
      <c r="U5" s="22"/>
      <c r="V5" s="22"/>
      <c r="W5" s="22"/>
      <c r="X5" s="22"/>
      <c r="Y5" s="22"/>
    </row>
    <row r="6" spans="1:25" ht="15.75" customHeight="1">
      <c r="A6" s="53"/>
      <c r="B6" s="31" t="s">
        <v>126</v>
      </c>
      <c r="C6" s="49">
        <f>SUM(D6:Y6)</f>
        <v>0</v>
      </c>
      <c r="D6" s="22"/>
      <c r="E6" s="22"/>
      <c r="F6" s="22"/>
      <c r="G6" s="22"/>
      <c r="H6" s="21"/>
      <c r="I6" s="21"/>
      <c r="J6" s="21"/>
      <c r="K6" s="21"/>
      <c r="L6" s="22"/>
      <c r="M6" s="22"/>
      <c r="N6" s="22"/>
      <c r="O6" s="22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ht="15.75" customHeight="1">
      <c r="A7" s="53"/>
      <c r="B7" s="31" t="s">
        <v>127</v>
      </c>
      <c r="C7" s="49">
        <f>SUM(D7:Y7)</f>
        <v>0</v>
      </c>
      <c r="D7" s="22"/>
      <c r="E7" s="22"/>
      <c r="F7" s="22"/>
      <c r="G7" s="22"/>
      <c r="H7" s="22"/>
      <c r="I7" s="22"/>
      <c r="J7" s="22"/>
      <c r="K7" s="22"/>
      <c r="L7" s="22"/>
      <c r="M7" s="4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.75" customHeight="1">
      <c r="A8" s="55"/>
      <c r="B8" s="31" t="s">
        <v>128</v>
      </c>
      <c r="C8" s="49">
        <f>SUM(D8:Y8)</f>
        <v>244</v>
      </c>
      <c r="D8" s="22"/>
      <c r="E8" s="22"/>
      <c r="F8" s="22"/>
      <c r="G8" s="22"/>
      <c r="H8" s="22"/>
      <c r="I8" s="22"/>
      <c r="J8" s="22"/>
      <c r="K8" s="22"/>
      <c r="L8" s="22"/>
      <c r="M8" s="49"/>
      <c r="N8" s="22">
        <v>244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>
      <c r="A9" s="53"/>
      <c r="B9" s="31" t="s">
        <v>129</v>
      </c>
      <c r="C9" s="49">
        <f>SUM(D9:Y9)</f>
        <v>0</v>
      </c>
      <c r="D9" s="22"/>
      <c r="E9" s="22"/>
      <c r="F9" s="22"/>
      <c r="G9" s="22"/>
      <c r="H9" s="22"/>
      <c r="I9" s="22"/>
      <c r="J9" s="22"/>
      <c r="K9" s="22"/>
      <c r="L9" s="22"/>
      <c r="M9" s="49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>
      <c r="A10" s="53"/>
      <c r="B10" s="31" t="s">
        <v>130</v>
      </c>
      <c r="C10" s="49">
        <f>SUM(D10:Y10)</f>
        <v>0</v>
      </c>
      <c r="D10" s="22"/>
      <c r="E10" s="22"/>
      <c r="F10" s="22"/>
      <c r="G10" s="22"/>
      <c r="H10" s="22"/>
      <c r="I10" s="21"/>
      <c r="J10" s="22"/>
      <c r="K10" s="22"/>
      <c r="L10" s="22"/>
      <c r="M10" s="49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.75" customHeight="1">
      <c r="A11" s="53"/>
      <c r="B11" s="31" t="s">
        <v>131</v>
      </c>
      <c r="C11" s="49">
        <f>SUM(D11:Y11)</f>
        <v>0</v>
      </c>
      <c r="D11" s="22"/>
      <c r="E11" s="22"/>
      <c r="F11" s="22"/>
      <c r="G11" s="22"/>
      <c r="H11" s="21"/>
      <c r="I11" s="22"/>
      <c r="J11" s="22"/>
      <c r="K11" s="22"/>
      <c r="L11" s="22"/>
      <c r="M11" s="49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>
      <c r="A12" s="53"/>
      <c r="B12" s="31" t="s">
        <v>132</v>
      </c>
      <c r="C12" s="49">
        <f>SUM(D12:Y12)</f>
        <v>1015.04</v>
      </c>
      <c r="D12" s="22"/>
      <c r="E12" s="22"/>
      <c r="F12" s="22"/>
      <c r="G12" s="22"/>
      <c r="H12" s="21"/>
      <c r="I12" s="22"/>
      <c r="J12" s="22"/>
      <c r="K12" s="22"/>
      <c r="L12" s="22"/>
      <c r="M12" s="49"/>
      <c r="N12" s="22">
        <v>1015.04</v>
      </c>
      <c r="O12" s="22"/>
      <c r="P12" s="22"/>
      <c r="Q12" s="21"/>
      <c r="R12" s="21"/>
      <c r="S12" s="21"/>
      <c r="T12" s="21"/>
      <c r="U12" s="21"/>
      <c r="V12" s="21"/>
      <c r="W12" s="21"/>
      <c r="X12" s="21"/>
      <c r="Y12" s="21"/>
    </row>
    <row r="13" spans="1:25" ht="15.75" customHeight="1">
      <c r="A13" s="53">
        <v>1027</v>
      </c>
      <c r="B13" s="31" t="s">
        <v>133</v>
      </c>
      <c r="C13" s="49">
        <f>SUM(D13:Y13)</f>
        <v>30</v>
      </c>
      <c r="D13" s="22"/>
      <c r="E13" s="22"/>
      <c r="F13" s="22"/>
      <c r="G13" s="22"/>
      <c r="H13" s="22"/>
      <c r="I13" s="22"/>
      <c r="J13" s="22"/>
      <c r="K13" s="22"/>
      <c r="L13" s="22"/>
      <c r="M13" s="49"/>
      <c r="N13" s="22">
        <v>30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>
      <c r="A14" s="53"/>
      <c r="B14" s="31" t="s">
        <v>134</v>
      </c>
      <c r="C14" s="49">
        <f>SUM(D14:Y14)</f>
        <v>226.92</v>
      </c>
      <c r="D14" s="22"/>
      <c r="E14" s="22"/>
      <c r="F14" s="22"/>
      <c r="G14" s="22"/>
      <c r="H14" s="22"/>
      <c r="I14" s="22"/>
      <c r="J14" s="22"/>
      <c r="K14" s="22"/>
      <c r="L14" s="22"/>
      <c r="M14" s="49"/>
      <c r="N14" s="22">
        <v>226.92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>
      <c r="A15" s="53">
        <v>41</v>
      </c>
      <c r="B15" s="1" t="s">
        <v>135</v>
      </c>
      <c r="C15" s="49">
        <f>SUM(D15:Y15)</f>
        <v>2853.2200000000003</v>
      </c>
      <c r="D15" s="22"/>
      <c r="E15" s="22"/>
      <c r="F15" s="22"/>
      <c r="G15" s="22"/>
      <c r="H15" s="22"/>
      <c r="I15" s="22"/>
      <c r="J15" s="22"/>
      <c r="K15" s="22"/>
      <c r="L15" s="22"/>
      <c r="M15" s="49"/>
      <c r="N15" s="22">
        <v>2498.5700000000002</v>
      </c>
      <c r="O15" s="22">
        <v>354.65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>
      <c r="A16" s="53"/>
      <c r="B16" s="20"/>
      <c r="C16" s="49">
        <f>SUM(D16:Y16)</f>
        <v>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>
      <c r="A17" s="53"/>
      <c r="B17" s="20"/>
      <c r="C17" s="49">
        <f>SUM(D17:Y17)</f>
        <v>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>
      <c r="A18" s="53"/>
      <c r="B18" s="20"/>
      <c r="C18" s="49">
        <f>SUM(D18:Y18)</f>
        <v>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>
      <c r="A19" s="53"/>
      <c r="B19" s="1"/>
      <c r="C19" s="49">
        <f>SUM(D19:Y19)</f>
        <v>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>
      <c r="A20" s="53"/>
      <c r="B20" s="1"/>
      <c r="C20" s="49">
        <f>SUM(D20:Y20)</f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>
      <c r="A21" s="53"/>
      <c r="B21" s="1"/>
      <c r="C21" s="49">
        <f>SUM(D21:Y21)</f>
        <v>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>
      <c r="A22" s="53"/>
      <c r="B22" s="1"/>
      <c r="C22" s="49">
        <f>SUM(D22:Y22)</f>
        <v>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>
      <c r="A23" s="53"/>
      <c r="B23" s="1"/>
      <c r="C23" s="49">
        <f>SUM(D23:Y23)</f>
        <v>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>
      <c r="A24" s="53"/>
      <c r="B24" s="1"/>
      <c r="C24" s="49">
        <f>SUM(D24:Y24)</f>
        <v>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>
      <c r="A25" s="53"/>
      <c r="B25" s="1"/>
      <c r="C25" s="49">
        <f>SUM(D25:Y25)</f>
        <v>0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>
      <c r="A26" s="53"/>
      <c r="B26" s="1"/>
      <c r="C26" s="49">
        <f>SUM(D26:Y26)</f>
        <v>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>
      <c r="A27" s="53"/>
      <c r="B27" s="1"/>
      <c r="C27" s="49">
        <f>SUM(D27:Y27)</f>
        <v>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>
      <c r="A28" s="53"/>
      <c r="B28" s="1"/>
      <c r="C28" s="49">
        <f>SUM(D28:Y28)</f>
        <v>0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>
      <c r="A29" s="53"/>
      <c r="B29" s="1"/>
      <c r="C29" s="49">
        <f>SUM(D29:Y29)</f>
        <v>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>
      <c r="A30" s="53"/>
      <c r="B30" s="1"/>
      <c r="C30" s="49">
        <f>SUM(D30:Y30)</f>
        <v>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>
      <c r="A31" s="53"/>
      <c r="B31" s="1"/>
      <c r="C31" s="22">
        <f>SUM(D31:Y31)</f>
        <v>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>
      <c r="A32" s="53"/>
      <c r="B32" s="1"/>
      <c r="C32" s="22">
        <f>SUM(D32:Y32)</f>
        <v>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>
      <c r="A33" s="53"/>
      <c r="B33" s="1"/>
      <c r="C33" s="22">
        <f>SUM(D33:Y33)</f>
        <v>0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>
      <c r="A34" s="53"/>
      <c r="B34" s="1"/>
      <c r="C34" s="22">
        <f>SUM(D34:Y34)</f>
        <v>0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>
      <c r="A35" s="53"/>
      <c r="B35" s="1"/>
      <c r="C35" s="22">
        <f>SUM(D35:Y35)</f>
        <v>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>
      <c r="A36" s="53"/>
      <c r="B36" s="1"/>
      <c r="C36" s="22">
        <f>SUM(D36:Y36)</f>
        <v>0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>
      <c r="A37" s="53"/>
      <c r="B37" s="1"/>
      <c r="C37" s="22">
        <f>SUM(D37:Y37)</f>
        <v>0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.75" customHeight="1">
      <c r="A38" s="53"/>
      <c r="B38" s="1"/>
      <c r="C38" s="22">
        <f>SUM(D38:Y38)</f>
        <v>0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.75" customHeight="1">
      <c r="A39" s="53"/>
      <c r="B39" s="1"/>
      <c r="C39" s="22">
        <f>SUM(D39:Y39)</f>
        <v>0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.75" customHeight="1">
      <c r="A40" s="53"/>
      <c r="B40" s="1"/>
      <c r="C40" s="22">
        <f>SUM(D40:Y40)</f>
        <v>0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.75" customHeight="1">
      <c r="A41" s="53"/>
      <c r="B41" s="1"/>
      <c r="C41" s="22">
        <f>SUM(D41:Y41)</f>
        <v>0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.75" customHeight="1">
      <c r="A42" s="53"/>
      <c r="B42" s="1"/>
      <c r="C42" s="22">
        <f>SUM(D42:Y42)</f>
        <v>0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.75" customHeight="1">
      <c r="A43" s="53"/>
      <c r="B43" s="1"/>
      <c r="C43" s="22">
        <f>SUM(D43:Y43)</f>
        <v>0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>
      <c r="A44" s="53"/>
      <c r="B44" s="1"/>
      <c r="C44" s="22">
        <f>SUM(D44:Y44)</f>
        <v>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>
      <c r="A45" s="53"/>
      <c r="B45" s="1"/>
      <c r="C45" s="22">
        <f>SUM(D45:Y45)</f>
        <v>0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>
      <c r="A46" s="53"/>
      <c r="B46" s="1"/>
      <c r="C46" s="22">
        <f>SUM(D46:Y46)</f>
        <v>0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.75" customHeight="1">
      <c r="A47" s="53"/>
      <c r="B47" s="1"/>
      <c r="C47" s="22">
        <f>SUM(D47:Y47)</f>
        <v>0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.75" customHeight="1">
      <c r="A48" s="53"/>
      <c r="B48" s="1"/>
      <c r="C48" s="22">
        <f>SUM(D48:Y48)</f>
        <v>0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>
      <c r="A49" s="53"/>
      <c r="B49" s="1"/>
      <c r="C49" s="22">
        <f>SUM(D49:Y49)</f>
        <v>0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.75" customHeight="1">
      <c r="A50" s="53"/>
      <c r="B50" s="1"/>
      <c r="C50" s="22">
        <f>SUM(D50:Y50)</f>
        <v>0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customHeight="1">
      <c r="A51" s="53"/>
      <c r="B51" s="1"/>
      <c r="C51" s="22">
        <f>SUM(D51:Y51)</f>
        <v>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>
      <c r="A52" s="53"/>
      <c r="B52" s="1"/>
      <c r="C52" s="22">
        <f>SUM(D52:Y52)</f>
        <v>0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customHeight="1">
      <c r="A53" s="53"/>
      <c r="B53" s="1"/>
      <c r="C53" s="22">
        <f>SUM(D53:Y53)</f>
        <v>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customHeight="1">
      <c r="A54" s="53"/>
      <c r="B54" s="1"/>
      <c r="C54" s="22">
        <f>SUM(D54:Y54)</f>
        <v>0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>
      <c r="A55" s="53"/>
      <c r="B55" s="1"/>
      <c r="C55" s="22">
        <f>SUM(D55:Y55)</f>
        <v>0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customHeight="1">
      <c r="A56" s="53"/>
      <c r="B56" s="1"/>
      <c r="C56" s="22">
        <f>SUM(D56:Y56)</f>
        <v>0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customHeight="1">
      <c r="A57" s="53"/>
      <c r="B57" s="1"/>
      <c r="C57" s="22">
        <f>SUM(D57:Y57)</f>
        <v>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>
      <c r="A58" s="53"/>
      <c r="B58" s="1"/>
      <c r="C58" s="22">
        <f>SUM(D58:Y58)</f>
        <v>0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.75" customHeight="1">
      <c r="A59" s="53"/>
      <c r="B59" s="1"/>
      <c r="C59" s="22">
        <f>SUM(D59:Y59)</f>
        <v>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.75" customHeight="1">
      <c r="A60" s="53"/>
      <c r="B60" s="1"/>
      <c r="C60" s="22">
        <f>SUM(D60:Y60)</f>
        <v>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>
      <c r="A61" s="53"/>
      <c r="B61" s="1"/>
      <c r="C61" s="22">
        <f>SUM(D61:Y61)</f>
        <v>0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.75" customHeight="1">
      <c r="A62" s="53"/>
      <c r="B62" s="1"/>
      <c r="C62" s="22">
        <f>SUM(D62:Y62)</f>
        <v>0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.75" customHeight="1">
      <c r="A63" s="53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>
      <c r="A64" s="53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.75" customHeight="1">
      <c r="A65" s="53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.75" customHeight="1">
      <c r="A66" s="53"/>
      <c r="B66" s="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.75" customHeight="1">
      <c r="A67" s="53"/>
      <c r="B67" s="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.75" customHeight="1">
      <c r="A68" s="53"/>
      <c r="B68" s="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5.75" customHeight="1">
      <c r="A69" s="53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"/>
      <c r="Q69" s="1"/>
      <c r="R69" s="1"/>
      <c r="S69" s="1"/>
      <c r="T69" s="1"/>
      <c r="U69" s="1"/>
      <c r="V69" s="1"/>
    </row>
    <row r="70" spans="1:25" ht="15.75" customHeight="1">
      <c r="A70" s="53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</row>
    <row r="71" spans="1:25" ht="15.75" customHeight="1">
      <c r="A71" s="53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</row>
    <row r="72" spans="1:25" ht="15.75" customHeight="1">
      <c r="A72" s="53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</row>
    <row r="73" spans="1:25" ht="15.75" customHeight="1">
      <c r="A73" s="53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</row>
    <row r="74" spans="1:25" ht="15.75" customHeight="1">
      <c r="A74" s="53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</row>
    <row r="75" spans="1:25" ht="15.75" customHeight="1">
      <c r="A75" s="53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</row>
    <row r="76" spans="1:25" ht="15.75" customHeight="1">
      <c r="A76" s="53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</row>
    <row r="77" spans="1:25" ht="15.75" customHeight="1">
      <c r="A77" s="53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</row>
    <row r="78" spans="1:25" ht="15.75" customHeight="1">
      <c r="A78" s="53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</row>
    <row r="79" spans="1:25" ht="15.75" customHeight="1">
      <c r="A79" s="53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</row>
    <row r="80" spans="1:25" ht="15.75" customHeight="1">
      <c r="A80" s="53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</row>
    <row r="81" spans="1:22" ht="15.75" customHeight="1">
      <c r="A81" s="53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</row>
    <row r="82" spans="1:22" ht="15.75" customHeight="1">
      <c r="A82" s="53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</row>
    <row r="83" spans="1:22" ht="15.75" customHeight="1">
      <c r="A83" s="53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</row>
    <row r="84" spans="1:22" ht="15.75" customHeight="1">
      <c r="A84" s="53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</row>
    <row r="85" spans="1:22" ht="15.75" customHeight="1">
      <c r="A85" s="53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</row>
    <row r="86" spans="1:22" ht="15.75" customHeight="1">
      <c r="A86" s="53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</row>
    <row r="87" spans="1:22" ht="15.75" customHeight="1">
      <c r="A87" s="53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</row>
    <row r="88" spans="1:22" ht="15.75" customHeight="1">
      <c r="A88" s="53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</row>
    <row r="89" spans="1:22" ht="15.75" customHeight="1">
      <c r="A89" s="53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</row>
    <row r="90" spans="1:22" ht="15.75" customHeight="1">
      <c r="A90" s="53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</row>
    <row r="91" spans="1:22" ht="15.75" customHeight="1">
      <c r="A91" s="53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</row>
    <row r="92" spans="1:22" ht="15.75" customHeight="1">
      <c r="A92" s="53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</row>
    <row r="93" spans="1:22" ht="15.75" customHeight="1">
      <c r="A93" s="53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</row>
    <row r="94" spans="1:22" ht="15.75" customHeight="1">
      <c r="A94" s="53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</row>
    <row r="95" spans="1:22" ht="15.75" customHeight="1">
      <c r="A95" s="53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</row>
    <row r="96" spans="1:22" ht="15.75" customHeight="1">
      <c r="A96" s="53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</row>
    <row r="97" spans="1:22" ht="15.75" customHeight="1">
      <c r="A97" s="53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</row>
    <row r="98" spans="1:22" ht="15.75" customHeight="1">
      <c r="A98" s="53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</row>
    <row r="99" spans="1:22" ht="15.75" customHeight="1">
      <c r="A99" s="53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</row>
    <row r="100" spans="1:22" ht="15.75" customHeight="1">
      <c r="A100" s="53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</row>
    <row r="101" spans="1:22" ht="15.75" customHeight="1">
      <c r="A101" s="53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</row>
    <row r="102" spans="1:22" ht="15.75" customHeight="1">
      <c r="A102" s="53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</row>
    <row r="103" spans="1:22" ht="15.75" customHeight="1">
      <c r="A103" s="53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</row>
    <row r="104" spans="1:22" ht="15.75" customHeight="1">
      <c r="A104" s="53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</row>
    <row r="105" spans="1:22" ht="15.75" customHeight="1">
      <c r="A105" s="53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</row>
    <row r="106" spans="1:22" ht="15.75" customHeight="1">
      <c r="A106" s="53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</row>
    <row r="107" spans="1:22" ht="15.75" customHeight="1">
      <c r="A107" s="53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</row>
    <row r="108" spans="1:22" ht="15.75" customHeight="1">
      <c r="A108" s="53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</row>
    <row r="109" spans="1:22" ht="15.75" customHeight="1">
      <c r="A109" s="53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</row>
    <row r="110" spans="1:22" ht="15.75" customHeight="1">
      <c r="A110" s="53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</row>
    <row r="111" spans="1:22" ht="15.75" customHeight="1">
      <c r="A111" s="53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</row>
    <row r="112" spans="1:22" ht="15.75" customHeight="1">
      <c r="A112" s="53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</row>
    <row r="113" spans="1:22" ht="15.75" customHeight="1">
      <c r="A113" s="53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</row>
    <row r="114" spans="1:22" ht="15.75" customHeight="1">
      <c r="A114" s="53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</row>
    <row r="115" spans="1:22" ht="15.75" customHeight="1">
      <c r="A115" s="53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</row>
    <row r="116" spans="1:22" ht="15.75" customHeight="1">
      <c r="A116" s="53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</row>
    <row r="117" spans="1:22" ht="15.75" customHeight="1">
      <c r="A117" s="53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</row>
    <row r="118" spans="1:22" ht="15.75" customHeight="1">
      <c r="A118" s="53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</row>
    <row r="119" spans="1:22" ht="15.75" customHeight="1">
      <c r="A119" s="53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</row>
    <row r="120" spans="1:22" ht="15.75" customHeight="1">
      <c r="A120" s="53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</row>
    <row r="121" spans="1:22" ht="15.75" customHeight="1">
      <c r="A121" s="53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</row>
    <row r="122" spans="1:22" ht="15.75" customHeight="1">
      <c r="A122" s="53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</row>
    <row r="123" spans="1:22" ht="15.75" customHeight="1">
      <c r="A123" s="53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</row>
    <row r="124" spans="1:22" ht="15.75" customHeight="1">
      <c r="A124" s="53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</row>
    <row r="125" spans="1:22" ht="15.75" customHeight="1">
      <c r="A125" s="53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</row>
    <row r="126" spans="1:22" ht="15.75" customHeight="1">
      <c r="A126" s="53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</row>
    <row r="127" spans="1:22" ht="15.75" customHeight="1">
      <c r="A127" s="53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</row>
    <row r="128" spans="1:22" ht="15.75" customHeight="1">
      <c r="A128" s="53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</row>
    <row r="129" spans="1:22" ht="15.75" customHeight="1">
      <c r="A129" s="53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</row>
    <row r="130" spans="1:22" ht="15.75" customHeight="1">
      <c r="A130" s="53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</row>
    <row r="131" spans="1:22" ht="15.75" customHeight="1">
      <c r="A131" s="53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</row>
    <row r="132" spans="1:22" ht="15.75" customHeight="1">
      <c r="A132" s="53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</row>
    <row r="133" spans="1:22" ht="15.75" customHeight="1">
      <c r="A133" s="53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</row>
    <row r="134" spans="1:22" ht="15.75" customHeight="1">
      <c r="A134" s="53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</row>
    <row r="135" spans="1:22" ht="15.75" customHeight="1">
      <c r="A135" s="53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</row>
    <row r="136" spans="1:22" ht="15.75" customHeight="1">
      <c r="A136" s="53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</row>
    <row r="137" spans="1:22" ht="15.75" customHeight="1">
      <c r="A137" s="53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</row>
    <row r="138" spans="1:22" ht="15.75" customHeight="1">
      <c r="A138" s="53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</row>
    <row r="139" spans="1:22" ht="15.75" customHeight="1">
      <c r="A139" s="53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</row>
    <row r="140" spans="1:22" ht="15.75" customHeight="1">
      <c r="A140" s="53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</row>
    <row r="141" spans="1:22" ht="15.75" customHeight="1">
      <c r="A141" s="53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</row>
    <row r="142" spans="1:22" ht="15.75" customHeight="1">
      <c r="A142" s="53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</row>
    <row r="143" spans="1:22" ht="15.75" customHeight="1">
      <c r="A143" s="53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</row>
    <row r="144" spans="1:22" ht="15.75" customHeight="1">
      <c r="A144" s="53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</row>
    <row r="145" spans="1:22" ht="15.75" customHeight="1">
      <c r="A145" s="53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</row>
    <row r="146" spans="1:22" ht="15.75" customHeight="1">
      <c r="A146" s="53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</row>
    <row r="147" spans="1:22" ht="15.75" customHeight="1">
      <c r="A147" s="53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</row>
    <row r="148" spans="1:22" ht="15.75" customHeight="1">
      <c r="A148" s="53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</row>
    <row r="149" spans="1:22" ht="15.75" customHeight="1">
      <c r="A149" s="53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</row>
    <row r="150" spans="1:22" ht="15.75" customHeight="1">
      <c r="A150" s="53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</row>
    <row r="151" spans="1:22" ht="15.75" customHeight="1">
      <c r="A151" s="53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</row>
    <row r="152" spans="1:22" ht="15.75" customHeight="1">
      <c r="A152" s="53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</row>
    <row r="153" spans="1:22" ht="15.75" customHeight="1">
      <c r="A153" s="53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</row>
    <row r="154" spans="1:22" ht="15.75" customHeight="1">
      <c r="A154" s="53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</row>
    <row r="155" spans="1:22" ht="15.75" customHeight="1">
      <c r="A155" s="53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</row>
    <row r="156" spans="1:22" ht="15.75" customHeight="1">
      <c r="A156" s="53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</row>
    <row r="157" spans="1:22" ht="15.75" customHeight="1">
      <c r="A157" s="53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</row>
    <row r="158" spans="1:22" ht="15.75" customHeight="1">
      <c r="A158" s="53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</row>
    <row r="159" spans="1:22" ht="15.75" customHeight="1">
      <c r="A159" s="53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</row>
    <row r="160" spans="1:22" ht="15.75" customHeight="1">
      <c r="A160" s="53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</row>
    <row r="161" spans="1:22" ht="15.75" customHeight="1">
      <c r="A161" s="53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</row>
    <row r="162" spans="1:22" ht="15.75" customHeight="1">
      <c r="A162" s="53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</row>
    <row r="163" spans="1:22" ht="15.75" customHeight="1">
      <c r="A163" s="53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</row>
    <row r="164" spans="1:22" ht="15.75" customHeight="1">
      <c r="A164" s="53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</row>
    <row r="165" spans="1:22" ht="15.75" customHeight="1">
      <c r="A165" s="53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</row>
    <row r="166" spans="1:22" ht="15.75" customHeight="1">
      <c r="A166" s="53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</row>
    <row r="167" spans="1:22" ht="15.75" customHeight="1">
      <c r="A167" s="53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</row>
    <row r="168" spans="1:22" ht="15.75" customHeight="1">
      <c r="A168" s="53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</row>
    <row r="169" spans="1:22" ht="15.75" customHeight="1">
      <c r="A169" s="53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</row>
    <row r="170" spans="1:22" ht="15.75" customHeight="1">
      <c r="A170" s="53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</row>
    <row r="171" spans="1:22" ht="15.75" customHeight="1">
      <c r="A171" s="53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</row>
    <row r="172" spans="1:22" ht="15.75" customHeight="1">
      <c r="A172" s="53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</row>
    <row r="173" spans="1:22" ht="15.75" customHeight="1">
      <c r="A173" s="53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</row>
    <row r="174" spans="1:22" ht="15.75" customHeight="1">
      <c r="A174" s="53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</row>
    <row r="175" spans="1:22" ht="15.75" customHeight="1">
      <c r="A175" s="53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</row>
    <row r="176" spans="1:22" ht="15.75" customHeight="1">
      <c r="A176" s="53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</row>
    <row r="177" spans="1:22" ht="15.75" customHeight="1">
      <c r="A177" s="53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</row>
    <row r="178" spans="1:22" ht="15.75" customHeight="1">
      <c r="A178" s="53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</row>
    <row r="179" spans="1:22" ht="15.75" customHeight="1">
      <c r="A179" s="53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</row>
    <row r="180" spans="1:22" ht="15.75" customHeight="1">
      <c r="A180" s="53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</row>
    <row r="181" spans="1:22" ht="15.75" customHeight="1">
      <c r="A181" s="53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</row>
    <row r="182" spans="1:22" ht="15.75" customHeight="1">
      <c r="A182" s="53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</row>
    <row r="183" spans="1:22" ht="15.75" customHeight="1">
      <c r="A183" s="53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</row>
    <row r="184" spans="1:22" ht="15.75" customHeight="1">
      <c r="A184" s="53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</row>
    <row r="185" spans="1:22" ht="15.75" customHeight="1">
      <c r="A185" s="53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</row>
    <row r="186" spans="1:22" ht="15.75" customHeight="1">
      <c r="A186" s="53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</row>
    <row r="187" spans="1:22" ht="15.75" customHeight="1">
      <c r="A187" s="53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</row>
    <row r="188" spans="1:22" ht="15.75" customHeight="1">
      <c r="A188" s="53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</row>
    <row r="189" spans="1:22" ht="15.75" customHeight="1">
      <c r="A189" s="53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</row>
    <row r="190" spans="1:22" ht="15.75" customHeight="1">
      <c r="A190" s="53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</row>
    <row r="191" spans="1:22" ht="15.75" customHeight="1">
      <c r="A191" s="53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</row>
    <row r="192" spans="1:22" ht="15.75" customHeight="1">
      <c r="A192" s="53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</row>
    <row r="193" spans="1:22" ht="15.75" customHeight="1">
      <c r="A193" s="53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</row>
    <row r="194" spans="1:22" ht="15.75" customHeight="1">
      <c r="A194" s="53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</row>
    <row r="195" spans="1:22" ht="15.75" customHeight="1">
      <c r="A195" s="53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</row>
    <row r="196" spans="1:22" ht="15.75" customHeight="1">
      <c r="A196" s="53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</row>
    <row r="197" spans="1:22" ht="15.75" customHeight="1">
      <c r="A197" s="53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</row>
    <row r="198" spans="1:22" ht="15.75" customHeight="1">
      <c r="A198" s="53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</row>
    <row r="199" spans="1:22" ht="15.75" customHeight="1">
      <c r="A199" s="53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</row>
    <row r="200" spans="1:22" ht="15.75" customHeight="1">
      <c r="A200" s="53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</row>
    <row r="201" spans="1:22" ht="15.75" customHeight="1">
      <c r="A201" s="53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</row>
    <row r="202" spans="1:22" ht="15.75" customHeight="1">
      <c r="A202" s="53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</row>
    <row r="203" spans="1:22" ht="15.75" customHeight="1">
      <c r="A203" s="53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</row>
    <row r="204" spans="1:22" ht="15.75" customHeight="1">
      <c r="A204" s="53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</row>
    <row r="205" spans="1:22" ht="15.75" customHeight="1">
      <c r="A205" s="53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</row>
    <row r="206" spans="1:22" ht="15.75" customHeight="1">
      <c r="A206" s="53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</row>
    <row r="207" spans="1:22" ht="15.75" customHeight="1">
      <c r="A207" s="53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</row>
    <row r="208" spans="1:22" ht="15.75" customHeight="1">
      <c r="A208" s="53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</row>
    <row r="209" spans="1:22" ht="15.75" customHeight="1">
      <c r="A209" s="53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</row>
    <row r="210" spans="1:22" ht="15.75" customHeight="1">
      <c r="A210" s="53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"/>
      <c r="Q210" s="1"/>
      <c r="R210" s="1"/>
      <c r="S210" s="1"/>
      <c r="T210" s="1"/>
      <c r="U210" s="1"/>
      <c r="V210" s="1"/>
    </row>
    <row r="211" spans="1:22" ht="15.75" customHeight="1">
      <c r="A211" s="53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"/>
      <c r="Q211" s="1"/>
      <c r="R211" s="1"/>
      <c r="S211" s="1"/>
      <c r="T211" s="1"/>
      <c r="U211" s="1"/>
      <c r="V211" s="1"/>
    </row>
    <row r="212" spans="1:22" ht="15.75" customHeight="1">
      <c r="A212" s="53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"/>
      <c r="Q212" s="1"/>
      <c r="R212" s="1"/>
      <c r="S212" s="1"/>
      <c r="T212" s="1"/>
      <c r="U212" s="1"/>
      <c r="V212" s="1"/>
    </row>
    <row r="213" spans="1:22" ht="15.75" customHeight="1">
      <c r="A213" s="53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"/>
      <c r="Q213" s="1"/>
      <c r="R213" s="1"/>
      <c r="S213" s="1"/>
      <c r="T213" s="1"/>
      <c r="U213" s="1"/>
      <c r="V213" s="1"/>
    </row>
    <row r="214" spans="1:22" ht="15.75" customHeight="1">
      <c r="A214" s="53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"/>
      <c r="Q214" s="1"/>
      <c r="R214" s="1"/>
      <c r="S214" s="1"/>
      <c r="T214" s="1"/>
      <c r="U214" s="1"/>
      <c r="V214" s="1"/>
    </row>
    <row r="215" spans="1:22" ht="15.75" customHeight="1">
      <c r="A215" s="53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"/>
      <c r="Q215" s="1"/>
      <c r="R215" s="1"/>
      <c r="S215" s="1"/>
      <c r="T215" s="1"/>
      <c r="U215" s="1"/>
      <c r="V215" s="1"/>
    </row>
    <row r="216" spans="1:22" ht="15.75" customHeight="1">
      <c r="A216" s="53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"/>
      <c r="Q216" s="1"/>
      <c r="R216" s="1"/>
      <c r="S216" s="1"/>
      <c r="T216" s="1"/>
      <c r="U216" s="1"/>
      <c r="V216" s="1"/>
    </row>
    <row r="217" spans="1:22" ht="15.75" customHeight="1">
      <c r="A217" s="53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"/>
      <c r="Q217" s="1"/>
      <c r="R217" s="1"/>
      <c r="S217" s="1"/>
      <c r="T217" s="1"/>
      <c r="U217" s="1"/>
      <c r="V217" s="1"/>
    </row>
    <row r="218" spans="1:22" ht="15.75" customHeight="1">
      <c r="A218" s="53"/>
      <c r="B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"/>
      <c r="Q218" s="1"/>
      <c r="R218" s="1"/>
      <c r="S218" s="1"/>
      <c r="T218" s="1"/>
      <c r="U218" s="1"/>
      <c r="V218" s="1"/>
    </row>
    <row r="219" spans="1:22" ht="15.75" customHeight="1">
      <c r="A219" s="53"/>
      <c r="B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"/>
      <c r="Q219" s="1"/>
      <c r="R219" s="1"/>
      <c r="S219" s="1"/>
      <c r="T219" s="1"/>
      <c r="U219" s="1"/>
      <c r="V219" s="1"/>
    </row>
    <row r="220" spans="1:22" ht="15.75" customHeight="1">
      <c r="A220" s="53"/>
      <c r="B220" s="1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"/>
      <c r="Q220" s="1"/>
      <c r="R220" s="1"/>
      <c r="S220" s="1"/>
      <c r="T220" s="1"/>
      <c r="U220" s="1"/>
      <c r="V220" s="1"/>
    </row>
    <row r="221" spans="1:22" ht="15.75" customHeight="1">
      <c r="A221" s="5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5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5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5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5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5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5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5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5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5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5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5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5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5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5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5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5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5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5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5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5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5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5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5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5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5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5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5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5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5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5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5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5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5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5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5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5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5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5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5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5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5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H1:S1"/>
    <mergeCell ref="D1:G1"/>
    <mergeCell ref="T1:Y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</sheetPr>
  <dimension ref="A1:Y1000"/>
  <sheetViews>
    <sheetView workbookViewId="0"/>
  </sheetViews>
  <sheetFormatPr baseColWidth="10" defaultColWidth="11.1640625" defaultRowHeight="15" customHeight="1"/>
  <cols>
    <col min="1" max="1" width="9" customWidth="1"/>
    <col min="2" max="2" width="31.6640625" customWidth="1"/>
    <col min="3" max="3" width="5.33203125" customWidth="1"/>
    <col min="4" max="4" width="10.5" hidden="1" customWidth="1"/>
    <col min="5" max="5" width="10.1640625" hidden="1" customWidth="1"/>
    <col min="6" max="10" width="13" hidden="1" customWidth="1"/>
    <col min="11" max="11" width="10.83203125" hidden="1" customWidth="1"/>
    <col min="12" max="12" width="9.83203125" hidden="1" customWidth="1"/>
    <col min="13" max="13" width="10.1640625" hidden="1" customWidth="1"/>
    <col min="14" max="14" width="9.83203125" customWidth="1"/>
    <col min="15" max="15" width="14.33203125" customWidth="1"/>
    <col min="16" max="16" width="10.83203125" customWidth="1"/>
    <col min="17" max="17" width="11.83203125" customWidth="1"/>
    <col min="18" max="18" width="13.1640625" customWidth="1"/>
    <col min="19" max="19" width="11.83203125" customWidth="1"/>
    <col min="20" max="22" width="6.5" customWidth="1"/>
    <col min="23" max="26" width="8.83203125" customWidth="1"/>
  </cols>
  <sheetData>
    <row r="1" spans="1:25" ht="15.75" customHeight="1">
      <c r="A1" s="60"/>
      <c r="B1" s="11"/>
      <c r="C1" s="47"/>
      <c r="D1" s="78">
        <v>2025</v>
      </c>
      <c r="E1" s="79"/>
      <c r="F1" s="79"/>
      <c r="G1" s="79"/>
      <c r="H1" s="81">
        <v>2026</v>
      </c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3">
        <v>2027</v>
      </c>
      <c r="U1" s="84"/>
      <c r="V1" s="84"/>
      <c r="W1" s="84"/>
      <c r="X1" s="84"/>
      <c r="Y1" s="85"/>
    </row>
    <row r="2" spans="1:25" ht="15.75" customHeight="1">
      <c r="A2" s="51"/>
      <c r="B2" s="11"/>
      <c r="C2" s="47"/>
      <c r="D2" s="80" t="s">
        <v>43</v>
      </c>
      <c r="E2" s="80" t="s">
        <v>44</v>
      </c>
      <c r="F2" s="80" t="s">
        <v>45</v>
      </c>
      <c r="G2" s="80" t="s">
        <v>46</v>
      </c>
      <c r="H2" s="74" t="s">
        <v>47</v>
      </c>
      <c r="I2" s="74" t="s">
        <v>48</v>
      </c>
      <c r="J2" s="74" t="s">
        <v>37</v>
      </c>
      <c r="K2" s="74" t="s">
        <v>38</v>
      </c>
      <c r="L2" s="75" t="s">
        <v>39</v>
      </c>
      <c r="M2" s="75" t="s">
        <v>40</v>
      </c>
      <c r="N2" s="75" t="s">
        <v>41</v>
      </c>
      <c r="O2" s="75" t="s">
        <v>42</v>
      </c>
      <c r="P2" s="75" t="s">
        <v>43</v>
      </c>
      <c r="Q2" s="75" t="s">
        <v>44</v>
      </c>
      <c r="R2" s="75" t="s">
        <v>45</v>
      </c>
      <c r="S2" s="75" t="s">
        <v>46</v>
      </c>
      <c r="T2" s="86" t="s">
        <v>47</v>
      </c>
      <c r="U2" s="86" t="s">
        <v>48</v>
      </c>
      <c r="V2" s="86" t="s">
        <v>37</v>
      </c>
      <c r="W2" s="86" t="s">
        <v>38</v>
      </c>
      <c r="X2" s="86" t="s">
        <v>39</v>
      </c>
      <c r="Y2" s="86" t="s">
        <v>40</v>
      </c>
    </row>
    <row r="3" spans="1:25" ht="15.75" customHeight="1">
      <c r="A3" s="52">
        <f>SUM(A4:A31)</f>
        <v>33600</v>
      </c>
      <c r="B3" s="31" t="s">
        <v>136</v>
      </c>
      <c r="C3" s="48">
        <f>SUM(D3:Y3)</f>
        <v>0</v>
      </c>
      <c r="D3" s="48">
        <f t="shared" ref="D3:Y3" si="0">SUM(D4:D134)</f>
        <v>0</v>
      </c>
      <c r="E3" s="48">
        <f t="shared" si="0"/>
        <v>0</v>
      </c>
      <c r="F3" s="48">
        <f t="shared" si="0"/>
        <v>0</v>
      </c>
      <c r="G3" s="48">
        <f t="shared" si="0"/>
        <v>0</v>
      </c>
      <c r="H3" s="48">
        <f t="shared" si="0"/>
        <v>0</v>
      </c>
      <c r="I3" s="48">
        <f t="shared" si="0"/>
        <v>0</v>
      </c>
      <c r="J3" s="48">
        <f t="shared" si="0"/>
        <v>0</v>
      </c>
      <c r="K3" s="48">
        <f t="shared" si="0"/>
        <v>0</v>
      </c>
      <c r="L3" s="48">
        <f t="shared" si="0"/>
        <v>0</v>
      </c>
      <c r="M3" s="48">
        <f t="shared" si="0"/>
        <v>0</v>
      </c>
      <c r="N3" s="48">
        <f t="shared" si="0"/>
        <v>0</v>
      </c>
      <c r="O3" s="48">
        <f t="shared" si="0"/>
        <v>0</v>
      </c>
      <c r="P3" s="48">
        <f t="shared" si="0"/>
        <v>0</v>
      </c>
      <c r="Q3" s="48">
        <f t="shared" si="0"/>
        <v>0</v>
      </c>
      <c r="R3" s="48">
        <f t="shared" si="0"/>
        <v>0</v>
      </c>
      <c r="S3" s="48">
        <f t="shared" si="0"/>
        <v>0</v>
      </c>
      <c r="T3" s="48">
        <f t="shared" si="0"/>
        <v>0</v>
      </c>
      <c r="U3" s="48">
        <f t="shared" si="0"/>
        <v>0</v>
      </c>
      <c r="V3" s="48">
        <f t="shared" si="0"/>
        <v>0</v>
      </c>
      <c r="W3" s="48">
        <f t="shared" si="0"/>
        <v>0</v>
      </c>
      <c r="X3" s="48">
        <f t="shared" si="0"/>
        <v>0</v>
      </c>
      <c r="Y3" s="48">
        <f t="shared" si="0"/>
        <v>0</v>
      </c>
    </row>
    <row r="4" spans="1:25" ht="15.75" customHeight="1">
      <c r="A4" s="55">
        <v>14400</v>
      </c>
      <c r="B4" s="20" t="s">
        <v>137</v>
      </c>
      <c r="C4" s="49">
        <f>SUM(D4:Y4)</f>
        <v>0</v>
      </c>
      <c r="D4" s="49"/>
      <c r="E4" s="49"/>
      <c r="F4" s="49"/>
      <c r="G4" s="49"/>
      <c r="H4" s="50"/>
      <c r="I4" s="50"/>
      <c r="J4" s="50"/>
      <c r="K4" s="50"/>
      <c r="L4" s="50"/>
      <c r="M4" s="49"/>
      <c r="N4" s="50"/>
      <c r="O4" s="50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spans="1:25" ht="15.75" customHeight="1">
      <c r="A5" s="55">
        <v>19200</v>
      </c>
      <c r="B5" s="20" t="s">
        <v>138</v>
      </c>
      <c r="C5" s="22">
        <f>SUM(D5:Y5)</f>
        <v>0</v>
      </c>
      <c r="D5" s="22"/>
      <c r="E5" s="21"/>
      <c r="F5" s="22"/>
      <c r="G5" s="22"/>
      <c r="H5" s="22"/>
      <c r="I5" s="22"/>
      <c r="J5" s="22"/>
      <c r="K5" s="22"/>
      <c r="L5" s="22"/>
      <c r="M5" s="21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5.75" customHeight="1">
      <c r="A6" s="53"/>
      <c r="B6" s="61"/>
      <c r="C6" s="22">
        <f>SUM(D6:Y6)</f>
        <v>0</v>
      </c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ht="15.75" customHeight="1">
      <c r="A7" s="53"/>
      <c r="B7" s="61"/>
      <c r="C7" s="22">
        <f>SUM(D7:Y7)</f>
        <v>0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.75" customHeight="1">
      <c r="A8" s="1"/>
      <c r="B8" s="1"/>
      <c r="C8" s="21">
        <f>SUM(D8:Y8)</f>
        <v>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>
      <c r="A9" s="1"/>
      <c r="B9" s="1"/>
      <c r="C9" s="21">
        <f>SUM(D9:Y9)</f>
        <v>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>
      <c r="A10" s="53"/>
      <c r="B10" s="31"/>
      <c r="C10" s="21">
        <f>SUM(D10:Y10)</f>
        <v>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.75" customHeight="1">
      <c r="A11" s="53"/>
      <c r="B11" s="31"/>
      <c r="C11" s="21">
        <f>SUM(D11:Y11)</f>
        <v>0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>
      <c r="A12" s="53"/>
      <c r="B12" s="31"/>
      <c r="C12" s="21">
        <f>SUM(D12:Y12)</f>
        <v>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ht="15.75" customHeight="1">
      <c r="A13" s="53"/>
      <c r="B13" s="31"/>
      <c r="C13" s="22">
        <f>SUM(D13:Y13)</f>
        <v>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>
      <c r="A14" s="53"/>
      <c r="B14" s="31"/>
      <c r="C14" s="22">
        <f>SUM(D14:Y14)</f>
        <v>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>
      <c r="A15" s="53"/>
      <c r="B15" s="1"/>
      <c r="C15" s="22">
        <f>SUM(D15:Y15)</f>
        <v>0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>
      <c r="A16" s="53"/>
      <c r="B16" s="1"/>
      <c r="C16" s="22">
        <f>SUM(D16:Y16)</f>
        <v>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>
      <c r="A17" s="53"/>
      <c r="B17" s="1"/>
      <c r="C17" s="22">
        <f>SUM(D17:Y17)</f>
        <v>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>
      <c r="A18" s="53"/>
      <c r="B18" s="1"/>
      <c r="C18" s="22">
        <f>SUM(D18:Y18)</f>
        <v>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>
      <c r="A19" s="53"/>
      <c r="B19" s="1"/>
      <c r="C19" s="22">
        <f>SUM(D19:Y19)</f>
        <v>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>
      <c r="A20" s="53"/>
      <c r="B20" s="1"/>
      <c r="C20" s="22">
        <f>SUM(D20:Y20)</f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>
      <c r="A21" s="53"/>
      <c r="B21" s="1"/>
      <c r="C21" s="22">
        <f>SUM(D21:Y21)</f>
        <v>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>
      <c r="A22" s="53"/>
      <c r="B22" s="1"/>
      <c r="C22" s="22">
        <f>SUM(D22:Y22)</f>
        <v>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>
      <c r="A23" s="53"/>
      <c r="B23" s="1"/>
      <c r="C23" s="22">
        <f>SUM(D23:Y23)</f>
        <v>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>
      <c r="A24" s="53"/>
      <c r="B24" s="1"/>
      <c r="C24" s="22">
        <f>SUM(D24:Y24)</f>
        <v>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>
      <c r="A25" s="53"/>
      <c r="B25" s="1"/>
      <c r="C25" s="22">
        <f>SUM(D25:Y25)</f>
        <v>0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>
      <c r="A26" s="53"/>
      <c r="B26" s="1"/>
      <c r="C26" s="22">
        <f>SUM(D26:Y26)</f>
        <v>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>
      <c r="A27" s="53"/>
      <c r="B27" s="1"/>
      <c r="C27" s="22">
        <f>SUM(D27:Y27)</f>
        <v>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>
      <c r="A28" s="53"/>
      <c r="B28" s="1"/>
      <c r="C28" s="22">
        <f>SUM(D28:Y28)</f>
        <v>0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>
      <c r="A29" s="53"/>
      <c r="B29" s="1"/>
      <c r="C29" s="22">
        <f>SUM(D29:Y29)</f>
        <v>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>
      <c r="A30" s="53"/>
      <c r="B30" s="1"/>
      <c r="C30" s="22">
        <f>SUM(D30:Y30)</f>
        <v>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>
      <c r="A31" s="53"/>
      <c r="B31" s="1"/>
      <c r="C31" s="22">
        <f>SUM(D31:Y31)</f>
        <v>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>
      <c r="A32" s="53"/>
      <c r="B32" s="1"/>
      <c r="C32" s="22">
        <f>SUM(D32:Y32)</f>
        <v>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>
      <c r="A33" s="53"/>
      <c r="B33" s="1"/>
      <c r="C33" s="22">
        <f>SUM(D33:Y33)</f>
        <v>0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>
      <c r="A34" s="53"/>
      <c r="B34" s="1"/>
      <c r="C34" s="22">
        <f>SUM(D34:Y34)</f>
        <v>0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>
      <c r="A35" s="53"/>
      <c r="B35" s="1"/>
      <c r="C35" s="22">
        <f>SUM(D35:Y35)</f>
        <v>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>
      <c r="A36" s="53"/>
      <c r="B36" s="1"/>
      <c r="C36" s="22">
        <f>SUM(D36:Y36)</f>
        <v>0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>
      <c r="A37" s="53"/>
      <c r="B37" s="1"/>
      <c r="C37" s="22">
        <f>SUM(D37:Y37)</f>
        <v>0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.75" customHeight="1">
      <c r="A38" s="53"/>
      <c r="B38" s="1"/>
      <c r="C38" s="22">
        <f>SUM(D38:Y38)</f>
        <v>0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.75" customHeight="1">
      <c r="A39" s="53"/>
      <c r="B39" s="1"/>
      <c r="C39" s="22">
        <f>SUM(D39:Y39)</f>
        <v>0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.75" customHeight="1">
      <c r="A40" s="53"/>
      <c r="B40" s="1"/>
      <c r="C40" s="22">
        <f>SUM(D40:Y40)</f>
        <v>0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.75" customHeight="1">
      <c r="A41" s="53"/>
      <c r="B41" s="1"/>
      <c r="C41" s="22">
        <f>SUM(D41:Y41)</f>
        <v>0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.75" customHeight="1">
      <c r="A42" s="53"/>
      <c r="B42" s="1"/>
      <c r="C42" s="22">
        <f>SUM(D42:Y42)</f>
        <v>0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.75" customHeight="1">
      <c r="A43" s="53"/>
      <c r="B43" s="1"/>
      <c r="C43" s="22">
        <f>SUM(D43:Y43)</f>
        <v>0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>
      <c r="A44" s="53"/>
      <c r="B44" s="1"/>
      <c r="C44" s="22">
        <f>SUM(D44:Y44)</f>
        <v>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>
      <c r="A45" s="53"/>
      <c r="B45" s="1"/>
      <c r="C45" s="22">
        <f>SUM(D45:Y45)</f>
        <v>0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>
      <c r="A46" s="53"/>
      <c r="B46" s="1"/>
      <c r="C46" s="22">
        <f>SUM(D46:Y46)</f>
        <v>0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.75" customHeight="1">
      <c r="A47" s="53"/>
      <c r="B47" s="1"/>
      <c r="C47" s="22">
        <f>SUM(D47:Y47)</f>
        <v>0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.75" customHeight="1">
      <c r="A48" s="53"/>
      <c r="B48" s="1"/>
      <c r="C48" s="22">
        <f>SUM(D48:Y48)</f>
        <v>0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>
      <c r="A49" s="53"/>
      <c r="B49" s="1"/>
      <c r="C49" s="22">
        <f>SUM(D49:Y49)</f>
        <v>0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.75" customHeight="1">
      <c r="A50" s="53"/>
      <c r="B50" s="1"/>
      <c r="C50" s="22">
        <f>SUM(D50:Y50)</f>
        <v>0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customHeight="1">
      <c r="A51" s="53"/>
      <c r="B51" s="1"/>
      <c r="C51" s="22">
        <f>SUM(D51:Y51)</f>
        <v>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>
      <c r="A52" s="53"/>
      <c r="B52" s="1"/>
      <c r="C52" s="22">
        <f>SUM(D52:Y52)</f>
        <v>0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customHeight="1">
      <c r="A53" s="53"/>
      <c r="B53" s="1"/>
      <c r="C53" s="22">
        <f>SUM(D53:Y53)</f>
        <v>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customHeight="1">
      <c r="A54" s="53"/>
      <c r="B54" s="1"/>
      <c r="C54" s="22">
        <f>SUM(D54:Y54)</f>
        <v>0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>
      <c r="A55" s="53"/>
      <c r="B55" s="1"/>
      <c r="C55" s="22">
        <f>SUM(D55:Y55)</f>
        <v>0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customHeight="1">
      <c r="A56" s="53"/>
      <c r="B56" s="1"/>
      <c r="C56" s="22">
        <f>SUM(D56:Y56)</f>
        <v>0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customHeight="1">
      <c r="A57" s="53"/>
      <c r="B57" s="1"/>
      <c r="C57" s="22">
        <f>SUM(D57:Y57)</f>
        <v>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>
      <c r="A58" s="53"/>
      <c r="B58" s="1"/>
      <c r="C58" s="22">
        <f>SUM(D58:Y58)</f>
        <v>0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.75" customHeight="1">
      <c r="A59" s="53"/>
      <c r="B59" s="1"/>
      <c r="C59" s="22">
        <f>SUM(D59:Y59)</f>
        <v>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.75" customHeight="1">
      <c r="A60" s="53"/>
      <c r="B60" s="1"/>
      <c r="C60" s="22">
        <f>SUM(D60:Y60)</f>
        <v>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>
      <c r="A61" s="53"/>
      <c r="B61" s="1"/>
      <c r="C61" s="22">
        <f>SUM(D61:Y61)</f>
        <v>0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.75" customHeight="1">
      <c r="A62" s="53"/>
      <c r="B62" s="1"/>
      <c r="C62" s="22">
        <f>SUM(D62:Y62)</f>
        <v>0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.75" customHeight="1">
      <c r="A63" s="53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>
      <c r="A64" s="53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.75" customHeight="1">
      <c r="A65" s="53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.75" customHeight="1">
      <c r="A66" s="53"/>
      <c r="B66" s="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.75" customHeight="1">
      <c r="A67" s="53"/>
      <c r="B67" s="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.75" customHeight="1">
      <c r="A68" s="53"/>
      <c r="B68" s="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5.75" customHeight="1">
      <c r="A69" s="53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"/>
      <c r="Q69" s="1"/>
      <c r="R69" s="1"/>
      <c r="S69" s="1"/>
      <c r="T69" s="1"/>
      <c r="U69" s="1"/>
      <c r="V69" s="1"/>
    </row>
    <row r="70" spans="1:25" ht="15.75" customHeight="1">
      <c r="A70" s="53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</row>
    <row r="71" spans="1:25" ht="15.75" customHeight="1">
      <c r="A71" s="53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</row>
    <row r="72" spans="1:25" ht="15.75" customHeight="1">
      <c r="A72" s="53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</row>
    <row r="73" spans="1:25" ht="15.75" customHeight="1">
      <c r="A73" s="53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</row>
    <row r="74" spans="1:25" ht="15.75" customHeight="1">
      <c r="A74" s="53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</row>
    <row r="75" spans="1:25" ht="15.75" customHeight="1">
      <c r="A75" s="53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</row>
    <row r="76" spans="1:25" ht="15.75" customHeight="1">
      <c r="A76" s="53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</row>
    <row r="77" spans="1:25" ht="15.75" customHeight="1">
      <c r="A77" s="53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</row>
    <row r="78" spans="1:25" ht="15.75" customHeight="1">
      <c r="A78" s="53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</row>
    <row r="79" spans="1:25" ht="15.75" customHeight="1">
      <c r="A79" s="53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</row>
    <row r="80" spans="1:25" ht="15.75" customHeight="1">
      <c r="A80" s="53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</row>
    <row r="81" spans="1:22" ht="15.75" customHeight="1">
      <c r="A81" s="53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</row>
    <row r="82" spans="1:22" ht="15.75" customHeight="1">
      <c r="A82" s="53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</row>
    <row r="83" spans="1:22" ht="15.75" customHeight="1">
      <c r="A83" s="53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</row>
    <row r="84" spans="1:22" ht="15.75" customHeight="1">
      <c r="A84" s="53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</row>
    <row r="85" spans="1:22" ht="15.75" customHeight="1">
      <c r="A85" s="53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</row>
    <row r="86" spans="1:22" ht="15.75" customHeight="1">
      <c r="A86" s="53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</row>
    <row r="87" spans="1:22" ht="15.75" customHeight="1">
      <c r="A87" s="53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</row>
    <row r="88" spans="1:22" ht="15.75" customHeight="1">
      <c r="A88" s="53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</row>
    <row r="89" spans="1:22" ht="15.75" customHeight="1">
      <c r="A89" s="53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</row>
    <row r="90" spans="1:22" ht="15.75" customHeight="1">
      <c r="A90" s="53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</row>
    <row r="91" spans="1:22" ht="15.75" customHeight="1">
      <c r="A91" s="53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</row>
    <row r="92" spans="1:22" ht="15.75" customHeight="1">
      <c r="A92" s="53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</row>
    <row r="93" spans="1:22" ht="15.75" customHeight="1">
      <c r="A93" s="53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</row>
    <row r="94" spans="1:22" ht="15.75" customHeight="1">
      <c r="A94" s="53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</row>
    <row r="95" spans="1:22" ht="15.75" customHeight="1">
      <c r="A95" s="53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</row>
    <row r="96" spans="1:22" ht="15.75" customHeight="1">
      <c r="A96" s="53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</row>
    <row r="97" spans="1:22" ht="15.75" customHeight="1">
      <c r="A97" s="53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</row>
    <row r="98" spans="1:22" ht="15.75" customHeight="1">
      <c r="A98" s="53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</row>
    <row r="99" spans="1:22" ht="15.75" customHeight="1">
      <c r="A99" s="53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</row>
    <row r="100" spans="1:22" ht="15.75" customHeight="1">
      <c r="A100" s="53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</row>
    <row r="101" spans="1:22" ht="15.75" customHeight="1">
      <c r="A101" s="53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</row>
    <row r="102" spans="1:22" ht="15.75" customHeight="1">
      <c r="A102" s="53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</row>
    <row r="103" spans="1:22" ht="15.75" customHeight="1">
      <c r="A103" s="53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</row>
    <row r="104" spans="1:22" ht="15.75" customHeight="1">
      <c r="A104" s="53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</row>
    <row r="105" spans="1:22" ht="15.75" customHeight="1">
      <c r="A105" s="53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</row>
    <row r="106" spans="1:22" ht="15.75" customHeight="1">
      <c r="A106" s="53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</row>
    <row r="107" spans="1:22" ht="15.75" customHeight="1">
      <c r="A107" s="53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</row>
    <row r="108" spans="1:22" ht="15.75" customHeight="1">
      <c r="A108" s="53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</row>
    <row r="109" spans="1:22" ht="15.75" customHeight="1">
      <c r="A109" s="53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</row>
    <row r="110" spans="1:22" ht="15.75" customHeight="1">
      <c r="A110" s="53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</row>
    <row r="111" spans="1:22" ht="15.75" customHeight="1">
      <c r="A111" s="53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</row>
    <row r="112" spans="1:22" ht="15.75" customHeight="1">
      <c r="A112" s="53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</row>
    <row r="113" spans="1:22" ht="15.75" customHeight="1">
      <c r="A113" s="53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</row>
    <row r="114" spans="1:22" ht="15.75" customHeight="1">
      <c r="A114" s="53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</row>
    <row r="115" spans="1:22" ht="15.75" customHeight="1">
      <c r="A115" s="53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</row>
    <row r="116" spans="1:22" ht="15.75" customHeight="1">
      <c r="A116" s="53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</row>
    <row r="117" spans="1:22" ht="15.75" customHeight="1">
      <c r="A117" s="53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</row>
    <row r="118" spans="1:22" ht="15.75" customHeight="1">
      <c r="A118" s="53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</row>
    <row r="119" spans="1:22" ht="15.75" customHeight="1">
      <c r="A119" s="53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</row>
    <row r="120" spans="1:22" ht="15.75" customHeight="1">
      <c r="A120" s="53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</row>
    <row r="121" spans="1:22" ht="15.75" customHeight="1">
      <c r="A121" s="53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</row>
    <row r="122" spans="1:22" ht="15.75" customHeight="1">
      <c r="A122" s="53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</row>
    <row r="123" spans="1:22" ht="15.75" customHeight="1">
      <c r="A123" s="53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</row>
    <row r="124" spans="1:22" ht="15.75" customHeight="1">
      <c r="A124" s="53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</row>
    <row r="125" spans="1:22" ht="15.75" customHeight="1">
      <c r="A125" s="53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</row>
    <row r="126" spans="1:22" ht="15.75" customHeight="1">
      <c r="A126" s="53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</row>
    <row r="127" spans="1:22" ht="15.75" customHeight="1">
      <c r="A127" s="53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</row>
    <row r="128" spans="1:22" ht="15.75" customHeight="1">
      <c r="A128" s="53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</row>
    <row r="129" spans="1:22" ht="15.75" customHeight="1">
      <c r="A129" s="53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</row>
    <row r="130" spans="1:22" ht="15.75" customHeight="1">
      <c r="A130" s="53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</row>
    <row r="131" spans="1:22" ht="15.75" customHeight="1">
      <c r="A131" s="53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</row>
    <row r="132" spans="1:22" ht="15.75" customHeight="1">
      <c r="A132" s="53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</row>
    <row r="133" spans="1:22" ht="15.75" customHeight="1">
      <c r="A133" s="53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</row>
    <row r="134" spans="1:22" ht="15.75" customHeight="1">
      <c r="A134" s="53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</row>
    <row r="135" spans="1:22" ht="15.75" customHeight="1">
      <c r="A135" s="53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</row>
    <row r="136" spans="1:22" ht="15.75" customHeight="1">
      <c r="A136" s="53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</row>
    <row r="137" spans="1:22" ht="15.75" customHeight="1">
      <c r="A137" s="53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</row>
    <row r="138" spans="1:22" ht="15.75" customHeight="1">
      <c r="A138" s="53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</row>
    <row r="139" spans="1:22" ht="15.75" customHeight="1">
      <c r="A139" s="53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</row>
    <row r="140" spans="1:22" ht="15.75" customHeight="1">
      <c r="A140" s="53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</row>
    <row r="141" spans="1:22" ht="15.75" customHeight="1">
      <c r="A141" s="53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</row>
    <row r="142" spans="1:22" ht="15.75" customHeight="1">
      <c r="A142" s="53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</row>
    <row r="143" spans="1:22" ht="15.75" customHeight="1">
      <c r="A143" s="53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</row>
    <row r="144" spans="1:22" ht="15.75" customHeight="1">
      <c r="A144" s="53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</row>
    <row r="145" spans="1:22" ht="15.75" customHeight="1">
      <c r="A145" s="53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</row>
    <row r="146" spans="1:22" ht="15.75" customHeight="1">
      <c r="A146" s="53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</row>
    <row r="147" spans="1:22" ht="15.75" customHeight="1">
      <c r="A147" s="53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</row>
    <row r="148" spans="1:22" ht="15.75" customHeight="1">
      <c r="A148" s="53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</row>
    <row r="149" spans="1:22" ht="15.75" customHeight="1">
      <c r="A149" s="53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</row>
    <row r="150" spans="1:22" ht="15.75" customHeight="1">
      <c r="A150" s="53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</row>
    <row r="151" spans="1:22" ht="15.75" customHeight="1">
      <c r="A151" s="53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</row>
    <row r="152" spans="1:22" ht="15.75" customHeight="1">
      <c r="A152" s="53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</row>
    <row r="153" spans="1:22" ht="15.75" customHeight="1">
      <c r="A153" s="53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</row>
    <row r="154" spans="1:22" ht="15.75" customHeight="1">
      <c r="A154" s="53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</row>
    <row r="155" spans="1:22" ht="15.75" customHeight="1">
      <c r="A155" s="53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</row>
    <row r="156" spans="1:22" ht="15.75" customHeight="1">
      <c r="A156" s="53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</row>
    <row r="157" spans="1:22" ht="15.75" customHeight="1">
      <c r="A157" s="53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</row>
    <row r="158" spans="1:22" ht="15.75" customHeight="1">
      <c r="A158" s="53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</row>
    <row r="159" spans="1:22" ht="15.75" customHeight="1">
      <c r="A159" s="53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</row>
    <row r="160" spans="1:22" ht="15.75" customHeight="1">
      <c r="A160" s="53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</row>
    <row r="161" spans="1:22" ht="15.75" customHeight="1">
      <c r="A161" s="53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</row>
    <row r="162" spans="1:22" ht="15.75" customHeight="1">
      <c r="A162" s="53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</row>
    <row r="163" spans="1:22" ht="15.75" customHeight="1">
      <c r="A163" s="53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</row>
    <row r="164" spans="1:22" ht="15.75" customHeight="1">
      <c r="A164" s="53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</row>
    <row r="165" spans="1:22" ht="15.75" customHeight="1">
      <c r="A165" s="53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</row>
    <row r="166" spans="1:22" ht="15.75" customHeight="1">
      <c r="A166" s="53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</row>
    <row r="167" spans="1:22" ht="15.75" customHeight="1">
      <c r="A167" s="53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</row>
    <row r="168" spans="1:22" ht="15.75" customHeight="1">
      <c r="A168" s="53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</row>
    <row r="169" spans="1:22" ht="15.75" customHeight="1">
      <c r="A169" s="53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</row>
    <row r="170" spans="1:22" ht="15.75" customHeight="1">
      <c r="A170" s="53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</row>
    <row r="171" spans="1:22" ht="15.75" customHeight="1">
      <c r="A171" s="53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</row>
    <row r="172" spans="1:22" ht="15.75" customHeight="1">
      <c r="A172" s="53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</row>
    <row r="173" spans="1:22" ht="15.75" customHeight="1">
      <c r="A173" s="53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</row>
    <row r="174" spans="1:22" ht="15.75" customHeight="1">
      <c r="A174" s="53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</row>
    <row r="175" spans="1:22" ht="15.75" customHeight="1">
      <c r="A175" s="53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</row>
    <row r="176" spans="1:22" ht="15.75" customHeight="1">
      <c r="A176" s="53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</row>
    <row r="177" spans="1:22" ht="15.75" customHeight="1">
      <c r="A177" s="53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</row>
    <row r="178" spans="1:22" ht="15.75" customHeight="1">
      <c r="A178" s="53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</row>
    <row r="179" spans="1:22" ht="15.75" customHeight="1">
      <c r="A179" s="53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</row>
    <row r="180" spans="1:22" ht="15.75" customHeight="1">
      <c r="A180" s="53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</row>
    <row r="181" spans="1:22" ht="15.75" customHeight="1">
      <c r="A181" s="53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</row>
    <row r="182" spans="1:22" ht="15.75" customHeight="1">
      <c r="A182" s="53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</row>
    <row r="183" spans="1:22" ht="15.75" customHeight="1">
      <c r="A183" s="53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</row>
    <row r="184" spans="1:22" ht="15.75" customHeight="1">
      <c r="A184" s="53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</row>
    <row r="185" spans="1:22" ht="15.75" customHeight="1">
      <c r="A185" s="53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</row>
    <row r="186" spans="1:22" ht="15.75" customHeight="1">
      <c r="A186" s="53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</row>
    <row r="187" spans="1:22" ht="15.75" customHeight="1">
      <c r="A187" s="53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</row>
    <row r="188" spans="1:22" ht="15.75" customHeight="1">
      <c r="A188" s="53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</row>
    <row r="189" spans="1:22" ht="15.75" customHeight="1">
      <c r="A189" s="53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</row>
    <row r="190" spans="1:22" ht="15.75" customHeight="1">
      <c r="A190" s="53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</row>
    <row r="191" spans="1:22" ht="15.75" customHeight="1">
      <c r="A191" s="53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</row>
    <row r="192" spans="1:22" ht="15.75" customHeight="1">
      <c r="A192" s="53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</row>
    <row r="193" spans="1:22" ht="15.75" customHeight="1">
      <c r="A193" s="53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</row>
    <row r="194" spans="1:22" ht="15.75" customHeight="1">
      <c r="A194" s="53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</row>
    <row r="195" spans="1:22" ht="15.75" customHeight="1">
      <c r="A195" s="53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</row>
    <row r="196" spans="1:22" ht="15.75" customHeight="1">
      <c r="A196" s="53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</row>
    <row r="197" spans="1:22" ht="15.75" customHeight="1">
      <c r="A197" s="53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</row>
    <row r="198" spans="1:22" ht="15.75" customHeight="1">
      <c r="A198" s="53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</row>
    <row r="199" spans="1:22" ht="15.75" customHeight="1">
      <c r="A199" s="53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</row>
    <row r="200" spans="1:22" ht="15.75" customHeight="1">
      <c r="A200" s="53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</row>
    <row r="201" spans="1:22" ht="15.75" customHeight="1">
      <c r="A201" s="53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</row>
    <row r="202" spans="1:22" ht="15.75" customHeight="1">
      <c r="A202" s="53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</row>
    <row r="203" spans="1:22" ht="15.75" customHeight="1">
      <c r="A203" s="53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</row>
    <row r="204" spans="1:22" ht="15.75" customHeight="1">
      <c r="A204" s="53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</row>
    <row r="205" spans="1:22" ht="15.75" customHeight="1">
      <c r="A205" s="53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</row>
    <row r="206" spans="1:22" ht="15.75" customHeight="1">
      <c r="A206" s="53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</row>
    <row r="207" spans="1:22" ht="15.75" customHeight="1">
      <c r="A207" s="53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</row>
    <row r="208" spans="1:22" ht="15.75" customHeight="1">
      <c r="A208" s="53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</row>
    <row r="209" spans="1:22" ht="15.75" customHeight="1">
      <c r="A209" s="53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</row>
    <row r="210" spans="1:22" ht="15.75" customHeight="1">
      <c r="A210" s="53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"/>
      <c r="Q210" s="1"/>
      <c r="R210" s="1"/>
      <c r="S210" s="1"/>
      <c r="T210" s="1"/>
      <c r="U210" s="1"/>
      <c r="V210" s="1"/>
    </row>
    <row r="211" spans="1:22" ht="15.75" customHeight="1">
      <c r="A211" s="53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"/>
      <c r="Q211" s="1"/>
      <c r="R211" s="1"/>
      <c r="S211" s="1"/>
      <c r="T211" s="1"/>
      <c r="U211" s="1"/>
      <c r="V211" s="1"/>
    </row>
    <row r="212" spans="1:22" ht="15.75" customHeight="1">
      <c r="A212" s="53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"/>
      <c r="Q212" s="1"/>
      <c r="R212" s="1"/>
      <c r="S212" s="1"/>
      <c r="T212" s="1"/>
      <c r="U212" s="1"/>
      <c r="V212" s="1"/>
    </row>
    <row r="213" spans="1:22" ht="15.75" customHeight="1">
      <c r="A213" s="53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"/>
      <c r="Q213" s="1"/>
      <c r="R213" s="1"/>
      <c r="S213" s="1"/>
      <c r="T213" s="1"/>
      <c r="U213" s="1"/>
      <c r="V213" s="1"/>
    </row>
    <row r="214" spans="1:22" ht="15.75" customHeight="1">
      <c r="A214" s="53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"/>
      <c r="Q214" s="1"/>
      <c r="R214" s="1"/>
      <c r="S214" s="1"/>
      <c r="T214" s="1"/>
      <c r="U214" s="1"/>
      <c r="V214" s="1"/>
    </row>
    <row r="215" spans="1:22" ht="15.75" customHeight="1">
      <c r="A215" s="53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"/>
      <c r="Q215" s="1"/>
      <c r="R215" s="1"/>
      <c r="S215" s="1"/>
      <c r="T215" s="1"/>
      <c r="U215" s="1"/>
      <c r="V215" s="1"/>
    </row>
    <row r="216" spans="1:22" ht="15.75" customHeight="1">
      <c r="A216" s="53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"/>
      <c r="Q216" s="1"/>
      <c r="R216" s="1"/>
      <c r="S216" s="1"/>
      <c r="T216" s="1"/>
      <c r="U216" s="1"/>
      <c r="V216" s="1"/>
    </row>
    <row r="217" spans="1:22" ht="15.75" customHeight="1">
      <c r="A217" s="53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"/>
      <c r="Q217" s="1"/>
      <c r="R217" s="1"/>
      <c r="S217" s="1"/>
      <c r="T217" s="1"/>
      <c r="U217" s="1"/>
      <c r="V217" s="1"/>
    </row>
    <row r="218" spans="1:22" ht="15.75" customHeight="1">
      <c r="A218" s="53"/>
      <c r="B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"/>
      <c r="Q218" s="1"/>
      <c r="R218" s="1"/>
      <c r="S218" s="1"/>
      <c r="T218" s="1"/>
      <c r="U218" s="1"/>
      <c r="V218" s="1"/>
    </row>
    <row r="219" spans="1:22" ht="15.75" customHeight="1">
      <c r="A219" s="53"/>
      <c r="B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"/>
      <c r="Q219" s="1"/>
      <c r="R219" s="1"/>
      <c r="S219" s="1"/>
      <c r="T219" s="1"/>
      <c r="U219" s="1"/>
      <c r="V219" s="1"/>
    </row>
    <row r="220" spans="1:22" ht="15.75" customHeight="1">
      <c r="A220" s="53"/>
      <c r="B220" s="1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"/>
      <c r="Q220" s="1"/>
      <c r="R220" s="1"/>
      <c r="S220" s="1"/>
      <c r="T220" s="1"/>
      <c r="U220" s="1"/>
      <c r="V220" s="1"/>
    </row>
    <row r="221" spans="1:22" ht="15.75" customHeight="1">
      <c r="A221" s="5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5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5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5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5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5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5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5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5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5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5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5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5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5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5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5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5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5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5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5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5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5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5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5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5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5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5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5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5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5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5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5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5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5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5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5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5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5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5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5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5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5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H1:S1"/>
    <mergeCell ref="D1:G1"/>
    <mergeCell ref="T1:Y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06666"/>
  </sheetPr>
  <dimension ref="A1:Y1000"/>
  <sheetViews>
    <sheetView workbookViewId="0"/>
  </sheetViews>
  <sheetFormatPr baseColWidth="10" defaultColWidth="11.1640625" defaultRowHeight="15" customHeight="1"/>
  <cols>
    <col min="1" max="1" width="6.5" customWidth="1"/>
    <col min="2" max="2" width="28.1640625" customWidth="1"/>
    <col min="3" max="3" width="9.1640625" customWidth="1"/>
    <col min="4" max="4" width="10.5" hidden="1" customWidth="1"/>
    <col min="5" max="5" width="10.1640625" hidden="1" customWidth="1"/>
    <col min="6" max="10" width="13" hidden="1" customWidth="1"/>
    <col min="11" max="11" width="5.1640625" hidden="1" customWidth="1"/>
    <col min="12" max="12" width="7.1640625" hidden="1" customWidth="1"/>
    <col min="13" max="13" width="8.1640625" hidden="1" customWidth="1"/>
    <col min="14" max="14" width="6.6640625" customWidth="1"/>
    <col min="15" max="15" width="7.83203125" customWidth="1"/>
    <col min="16" max="16" width="10.83203125" customWidth="1"/>
    <col min="17" max="19" width="8.5" customWidth="1"/>
    <col min="20" max="22" width="6.5" customWidth="1"/>
    <col min="23" max="26" width="8.83203125" customWidth="1"/>
  </cols>
  <sheetData>
    <row r="1" spans="1:25" ht="15.75" customHeight="1">
      <c r="A1" s="11"/>
      <c r="B1" s="11"/>
      <c r="C1" s="47"/>
      <c r="D1" s="78">
        <v>2025</v>
      </c>
      <c r="E1" s="79"/>
      <c r="F1" s="79"/>
      <c r="G1" s="79"/>
      <c r="H1" s="81">
        <v>2026</v>
      </c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3">
        <v>2027</v>
      </c>
      <c r="U1" s="84"/>
      <c r="V1" s="84"/>
      <c r="W1" s="84"/>
      <c r="X1" s="84"/>
      <c r="Y1" s="85"/>
    </row>
    <row r="2" spans="1:25" ht="15.75" customHeight="1">
      <c r="A2" s="11"/>
      <c r="B2" s="11"/>
      <c r="C2" s="47"/>
      <c r="D2" s="80" t="s">
        <v>43</v>
      </c>
      <c r="E2" s="80" t="s">
        <v>44</v>
      </c>
      <c r="F2" s="80" t="s">
        <v>45</v>
      </c>
      <c r="G2" s="80" t="s">
        <v>46</v>
      </c>
      <c r="H2" s="74" t="s">
        <v>47</v>
      </c>
      <c r="I2" s="74" t="s">
        <v>48</v>
      </c>
      <c r="J2" s="74" t="s">
        <v>37</v>
      </c>
      <c r="K2" s="74" t="s">
        <v>38</v>
      </c>
      <c r="L2" s="75" t="s">
        <v>39</v>
      </c>
      <c r="M2" s="75" t="s">
        <v>40</v>
      </c>
      <c r="N2" s="75" t="s">
        <v>41</v>
      </c>
      <c r="O2" s="75" t="s">
        <v>42</v>
      </c>
      <c r="P2" s="75" t="s">
        <v>43</v>
      </c>
      <c r="Q2" s="75" t="s">
        <v>44</v>
      </c>
      <c r="R2" s="75" t="s">
        <v>45</v>
      </c>
      <c r="S2" s="75" t="s">
        <v>46</v>
      </c>
      <c r="T2" s="86" t="s">
        <v>47</v>
      </c>
      <c r="U2" s="86" t="s">
        <v>48</v>
      </c>
      <c r="V2" s="86" t="s">
        <v>37</v>
      </c>
      <c r="W2" s="86" t="s">
        <v>38</v>
      </c>
      <c r="X2" s="86" t="s">
        <v>39</v>
      </c>
      <c r="Y2" s="86" t="s">
        <v>40</v>
      </c>
    </row>
    <row r="3" spans="1:25" ht="15.75" customHeight="1">
      <c r="A3" s="32"/>
      <c r="B3" s="32" t="s">
        <v>65</v>
      </c>
      <c r="C3" s="48">
        <f>SUM(D3:Y3)</f>
        <v>1075.8</v>
      </c>
      <c r="D3" s="48">
        <f t="shared" ref="D3:Y3" si="0">SUM(D4:D132)</f>
        <v>0</v>
      </c>
      <c r="E3" s="48">
        <f t="shared" si="0"/>
        <v>0</v>
      </c>
      <c r="F3" s="48">
        <f t="shared" si="0"/>
        <v>0</v>
      </c>
      <c r="G3" s="48">
        <f t="shared" si="0"/>
        <v>0</v>
      </c>
      <c r="H3" s="48">
        <f t="shared" si="0"/>
        <v>0</v>
      </c>
      <c r="I3" s="48">
        <f t="shared" si="0"/>
        <v>0</v>
      </c>
      <c r="J3" s="48">
        <f t="shared" si="0"/>
        <v>0</v>
      </c>
      <c r="K3" s="48">
        <f t="shared" si="0"/>
        <v>0</v>
      </c>
      <c r="L3" s="48">
        <f t="shared" si="0"/>
        <v>0</v>
      </c>
      <c r="M3" s="48">
        <f t="shared" si="0"/>
        <v>0</v>
      </c>
      <c r="N3" s="48">
        <f t="shared" si="0"/>
        <v>475.8</v>
      </c>
      <c r="O3" s="48">
        <f t="shared" si="0"/>
        <v>600</v>
      </c>
      <c r="P3" s="48">
        <f t="shared" si="0"/>
        <v>0</v>
      </c>
      <c r="Q3" s="48">
        <f t="shared" si="0"/>
        <v>0</v>
      </c>
      <c r="R3" s="48">
        <f t="shared" si="0"/>
        <v>0</v>
      </c>
      <c r="S3" s="48">
        <f t="shared" si="0"/>
        <v>0</v>
      </c>
      <c r="T3" s="48">
        <f t="shared" si="0"/>
        <v>0</v>
      </c>
      <c r="U3" s="48">
        <f t="shared" si="0"/>
        <v>0</v>
      </c>
      <c r="V3" s="48">
        <f t="shared" si="0"/>
        <v>0</v>
      </c>
      <c r="W3" s="48">
        <f t="shared" si="0"/>
        <v>0</v>
      </c>
      <c r="X3" s="48">
        <f t="shared" si="0"/>
        <v>0</v>
      </c>
      <c r="Y3" s="48">
        <f t="shared" si="0"/>
        <v>0</v>
      </c>
    </row>
    <row r="4" spans="1:25" ht="15.75" customHeight="1">
      <c r="A4" s="1"/>
      <c r="B4" s="31" t="s">
        <v>139</v>
      </c>
      <c r="C4" s="49">
        <f>SUM(D4:Y4)</f>
        <v>0</v>
      </c>
      <c r="D4" s="49"/>
      <c r="E4" s="49"/>
      <c r="F4" s="49">
        <v>0</v>
      </c>
      <c r="G4" s="49"/>
      <c r="H4" s="49">
        <v>0</v>
      </c>
      <c r="I4" s="50"/>
      <c r="J4" s="50"/>
      <c r="K4" s="50"/>
      <c r="L4" s="50"/>
      <c r="M4" s="50"/>
      <c r="N4" s="50"/>
      <c r="O4" s="50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spans="1:25" ht="15.75" customHeight="1">
      <c r="A5" s="1"/>
      <c r="B5" s="31" t="s">
        <v>140</v>
      </c>
      <c r="C5" s="22">
        <f>SUM(D5:Y5)</f>
        <v>600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1">
        <v>600</v>
      </c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5.75" customHeight="1">
      <c r="A6" s="1"/>
      <c r="B6" s="31" t="s">
        <v>141</v>
      </c>
      <c r="C6" s="22">
        <f>SUM(D6:Y6)</f>
        <v>0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ht="15.75" customHeight="1">
      <c r="A7" s="1"/>
      <c r="B7" s="31" t="s">
        <v>142</v>
      </c>
      <c r="C7" s="22">
        <f>SUM(D7:Y7)</f>
        <v>0</v>
      </c>
      <c r="D7" s="22"/>
      <c r="E7" s="21"/>
      <c r="F7" s="21"/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.75" customHeight="1">
      <c r="A8" s="1">
        <v>1558</v>
      </c>
      <c r="B8" s="31" t="s">
        <v>143</v>
      </c>
      <c r="C8" s="21">
        <f>SUM(D8:Y8)</f>
        <v>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>
      <c r="A9" s="1">
        <v>15</v>
      </c>
      <c r="B9" s="31" t="s">
        <v>144</v>
      </c>
      <c r="C9" s="21">
        <f>SUM(D9:Y9)</f>
        <v>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>
      <c r="A10" s="1">
        <v>52</v>
      </c>
      <c r="B10" s="31" t="s">
        <v>145</v>
      </c>
      <c r="C10" s="21">
        <f>SUM(D10:Y10)</f>
        <v>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.75" customHeight="1">
      <c r="A11" s="1">
        <v>16</v>
      </c>
      <c r="B11" s="31" t="s">
        <v>146</v>
      </c>
      <c r="C11" s="21">
        <f>SUM(D11:Y11)</f>
        <v>475.8</v>
      </c>
      <c r="D11" s="22"/>
      <c r="E11" s="21"/>
      <c r="F11" s="22"/>
      <c r="G11" s="22"/>
      <c r="H11" s="22"/>
      <c r="I11" s="22"/>
      <c r="J11" s="22"/>
      <c r="K11" s="22"/>
      <c r="L11" s="22"/>
      <c r="M11" s="22"/>
      <c r="N11" s="22">
        <v>475.8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>
      <c r="A12" s="1"/>
      <c r="B12" s="31" t="s">
        <v>147</v>
      </c>
      <c r="C12" s="22">
        <f>SUM(D12:Y12)</f>
        <v>0</v>
      </c>
      <c r="D12" s="22"/>
      <c r="E12" s="22"/>
      <c r="F12" s="1"/>
      <c r="G12" s="1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5.75" customHeight="1">
      <c r="A13" s="1"/>
      <c r="B13" s="31" t="s">
        <v>148</v>
      </c>
      <c r="C13" s="22">
        <f>SUM(D13:Y13)</f>
        <v>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>
      <c r="A14" s="1" t="s">
        <v>79</v>
      </c>
      <c r="B14" s="31"/>
      <c r="C14" s="22">
        <f>SUM(D14:Y14)</f>
        <v>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>
      <c r="A15" s="1">
        <v>1069</v>
      </c>
      <c r="B15" s="31" t="s">
        <v>149</v>
      </c>
      <c r="C15" s="22">
        <f>SUM(D15:Y15)</f>
        <v>0</v>
      </c>
      <c r="D15" s="22"/>
      <c r="E15" s="21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>
      <c r="A16" s="1"/>
      <c r="B16" s="31"/>
      <c r="C16" s="22">
        <f>SUM(D16:Y16)</f>
        <v>0</v>
      </c>
      <c r="D16" s="22"/>
      <c r="E16" s="21"/>
      <c r="F16" s="21"/>
      <c r="G16" s="21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>
      <c r="A17" s="1"/>
      <c r="B17" s="1"/>
      <c r="C17" s="22">
        <f>SUM(D17:Y17)</f>
        <v>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>
      <c r="A18" s="1"/>
      <c r="B18" s="1"/>
      <c r="C18" s="22">
        <f>SUM(D18:Y18)</f>
        <v>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>
      <c r="A19" s="1"/>
      <c r="B19" s="1"/>
      <c r="C19" s="22">
        <f>SUM(D19:Y19)</f>
        <v>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>
      <c r="A20" s="1"/>
      <c r="B20" s="1"/>
      <c r="C20" s="22">
        <f>SUM(D20:Y20)</f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>
      <c r="A21" s="1"/>
      <c r="B21" s="1"/>
      <c r="C21" s="22">
        <f>SUM(D21:Y21)</f>
        <v>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>
      <c r="A22" s="1"/>
      <c r="B22" s="1"/>
      <c r="C22" s="22">
        <f>SUM(D22:Y22)</f>
        <v>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>
      <c r="A23" s="1"/>
      <c r="B23" s="1"/>
      <c r="C23" s="22">
        <f>SUM(D23:Y23)</f>
        <v>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>
      <c r="A24" s="1"/>
      <c r="B24" s="1"/>
      <c r="C24" s="22">
        <f>SUM(D24:Y24)</f>
        <v>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>
      <c r="A25" s="1"/>
      <c r="B25" s="1"/>
      <c r="C25" s="22">
        <f>SUM(D25:Y25)</f>
        <v>0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>
      <c r="A26" s="1"/>
      <c r="B26" s="1"/>
      <c r="C26" s="22">
        <f>SUM(D26:Y26)</f>
        <v>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>
      <c r="A27" s="1"/>
      <c r="B27" s="1"/>
      <c r="C27" s="22">
        <f>SUM(D27:Y27)</f>
        <v>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>
      <c r="A28" s="1"/>
      <c r="B28" s="1"/>
      <c r="C28" s="22">
        <f>SUM(D28:Y28)</f>
        <v>0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>
      <c r="A29" s="1"/>
      <c r="B29" s="1"/>
      <c r="C29" s="22">
        <f>SUM(D29:Y29)</f>
        <v>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>
      <c r="A30" s="1"/>
      <c r="B30" s="1"/>
      <c r="C30" s="22">
        <f>SUM(D30:Y30)</f>
        <v>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>
      <c r="A31" s="1"/>
      <c r="B31" s="1"/>
      <c r="C31" s="22">
        <f>SUM(D31:Y31)</f>
        <v>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>
      <c r="A32" s="1"/>
      <c r="B32" s="1"/>
      <c r="C32" s="22">
        <f>SUM(D32:Y32)</f>
        <v>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>
      <c r="A33" s="1"/>
      <c r="B33" s="1"/>
      <c r="C33" s="22">
        <f>SUM(D33:Y33)</f>
        <v>0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>
      <c r="A34" s="1"/>
      <c r="B34" s="1"/>
      <c r="C34" s="22">
        <f>SUM(D34:Y34)</f>
        <v>0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>
      <c r="A35" s="1"/>
      <c r="B35" s="1"/>
      <c r="C35" s="22">
        <f>SUM(D35:Y35)</f>
        <v>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>
      <c r="A36" s="1"/>
      <c r="B36" s="1"/>
      <c r="C36" s="22">
        <f>SUM(D36:Y36)</f>
        <v>0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>
      <c r="A37" s="1"/>
      <c r="B37" s="1"/>
      <c r="C37" s="22">
        <f>SUM(D37:Y37)</f>
        <v>0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.75" customHeight="1">
      <c r="A38" s="1"/>
      <c r="B38" s="1"/>
      <c r="C38" s="22">
        <f>SUM(D38:Y38)</f>
        <v>0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.75" customHeight="1">
      <c r="A39" s="1"/>
      <c r="B39" s="1"/>
      <c r="C39" s="22">
        <f>SUM(D39:Y39)</f>
        <v>0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.75" customHeight="1">
      <c r="A40" s="1"/>
      <c r="B40" s="1"/>
      <c r="C40" s="22">
        <f>SUM(D40:Y40)</f>
        <v>0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.75" customHeight="1">
      <c r="A41" s="1"/>
      <c r="B41" s="1"/>
      <c r="C41" s="22">
        <f>SUM(D41:Y41)</f>
        <v>0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.75" customHeight="1">
      <c r="A42" s="1"/>
      <c r="B42" s="1"/>
      <c r="C42" s="22">
        <f>SUM(D42:Y42)</f>
        <v>0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.75" customHeight="1">
      <c r="A43" s="1"/>
      <c r="B43" s="1"/>
      <c r="C43" s="22">
        <f>SUM(D43:Y43)</f>
        <v>0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>
      <c r="A44" s="1"/>
      <c r="B44" s="1"/>
      <c r="C44" s="22">
        <f>SUM(D44:Y44)</f>
        <v>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>
      <c r="A45" s="1"/>
      <c r="B45" s="1"/>
      <c r="C45" s="22">
        <f>SUM(D45:Y45)</f>
        <v>0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>
      <c r="A46" s="1"/>
      <c r="B46" s="1"/>
      <c r="C46" s="22">
        <f>SUM(D46:Y46)</f>
        <v>0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.75" customHeight="1">
      <c r="A47" s="1"/>
      <c r="B47" s="1"/>
      <c r="C47" s="22">
        <f>SUM(D47:Y47)</f>
        <v>0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.75" customHeight="1">
      <c r="A48" s="1"/>
      <c r="B48" s="1"/>
      <c r="C48" s="22">
        <f>SUM(D48:Y48)</f>
        <v>0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>
      <c r="A49" s="1"/>
      <c r="B49" s="1"/>
      <c r="C49" s="22">
        <f>SUM(D49:Y49)</f>
        <v>0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.75" customHeight="1">
      <c r="A50" s="1"/>
      <c r="B50" s="1"/>
      <c r="C50" s="22">
        <f>SUM(D50:Y50)</f>
        <v>0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customHeight="1">
      <c r="A51" s="1"/>
      <c r="B51" s="1"/>
      <c r="C51" s="22">
        <f>SUM(D51:Y51)</f>
        <v>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>
      <c r="A52" s="1"/>
      <c r="B52" s="1"/>
      <c r="C52" s="22">
        <f>SUM(D52:Y52)</f>
        <v>0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customHeight="1">
      <c r="A53" s="1"/>
      <c r="B53" s="1"/>
      <c r="C53" s="22">
        <f>SUM(D53:Y53)</f>
        <v>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customHeight="1">
      <c r="A54" s="1"/>
      <c r="B54" s="1"/>
      <c r="C54" s="22">
        <f>SUM(D54:Y54)</f>
        <v>0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>
      <c r="A55" s="1"/>
      <c r="B55" s="1"/>
      <c r="C55" s="22">
        <f>SUM(D55:Y55)</f>
        <v>0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customHeight="1">
      <c r="A56" s="1"/>
      <c r="B56" s="1"/>
      <c r="C56" s="22">
        <f>SUM(D56:Y56)</f>
        <v>0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customHeight="1">
      <c r="A57" s="1"/>
      <c r="B57" s="1"/>
      <c r="C57" s="22">
        <f>SUM(D57:Y57)</f>
        <v>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>
      <c r="A58" s="1"/>
      <c r="B58" s="1"/>
      <c r="C58" s="22">
        <f>SUM(D58:Y58)</f>
        <v>0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.75" customHeight="1">
      <c r="A59" s="1"/>
      <c r="B59" s="1"/>
      <c r="C59" s="22">
        <f>SUM(D59:Y59)</f>
        <v>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.75" customHeight="1">
      <c r="A60" s="1"/>
      <c r="B60" s="1"/>
      <c r="C60" s="22">
        <f>SUM(D60:Y60)</f>
        <v>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>
      <c r="A61" s="1"/>
      <c r="B61" s="1"/>
      <c r="C61" s="22">
        <f>SUM(D61:Y61)</f>
        <v>0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.75" customHeight="1">
      <c r="A62" s="1"/>
      <c r="B62" s="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.75" customHeight="1">
      <c r="A63" s="1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>
      <c r="A64" s="1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.75" customHeight="1">
      <c r="A65" s="1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.75" customHeight="1">
      <c r="A66" s="1"/>
      <c r="B66" s="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.75" customHeight="1">
      <c r="A67" s="1"/>
      <c r="B67" s="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.75" customHeight="1">
      <c r="A68" s="1"/>
      <c r="B68" s="1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"/>
      <c r="Q68" s="1"/>
      <c r="R68" s="1"/>
      <c r="S68" s="1"/>
      <c r="T68" s="1"/>
      <c r="U68" s="1"/>
      <c r="V68" s="1"/>
    </row>
    <row r="69" spans="1:25" ht="15.75" customHeight="1">
      <c r="A69" s="1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"/>
      <c r="Q69" s="1"/>
      <c r="R69" s="1"/>
      <c r="S69" s="1"/>
      <c r="T69" s="1"/>
      <c r="U69" s="1"/>
      <c r="V69" s="1"/>
    </row>
    <row r="70" spans="1:25" ht="15.75" customHeight="1">
      <c r="A70" s="1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</row>
    <row r="71" spans="1:25" ht="15.75" customHeight="1">
      <c r="A71" s="1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</row>
    <row r="72" spans="1:25" ht="15.75" customHeight="1">
      <c r="A72" s="1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</row>
    <row r="73" spans="1:25" ht="15.75" customHeight="1">
      <c r="A73" s="1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</row>
    <row r="74" spans="1:25" ht="15.75" customHeight="1">
      <c r="A74" s="1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</row>
    <row r="75" spans="1:25" ht="15.75" customHeight="1">
      <c r="A75" s="1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</row>
    <row r="76" spans="1:25" ht="15.75" customHeight="1">
      <c r="A76" s="1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</row>
    <row r="77" spans="1:25" ht="15.75" customHeight="1">
      <c r="A77" s="1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</row>
    <row r="78" spans="1:25" ht="15.75" customHeight="1">
      <c r="A78" s="1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</row>
    <row r="79" spans="1:25" ht="15.75" customHeight="1">
      <c r="A79" s="1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</row>
    <row r="80" spans="1:25" ht="15.75" customHeight="1">
      <c r="A80" s="1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H1:S1"/>
    <mergeCell ref="D1:G1"/>
    <mergeCell ref="T1:Y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A9999"/>
  </sheetPr>
  <dimension ref="A1:AA1000"/>
  <sheetViews>
    <sheetView tabSelected="1" workbookViewId="0"/>
  </sheetViews>
  <sheetFormatPr baseColWidth="10" defaultColWidth="11.1640625" defaultRowHeight="15" customHeight="1"/>
  <cols>
    <col min="1" max="1" width="6.5" customWidth="1"/>
    <col min="2" max="2" width="33.5" customWidth="1"/>
    <col min="3" max="3" width="11.1640625" customWidth="1"/>
    <col min="4" max="4" width="10.5" hidden="1" customWidth="1"/>
    <col min="5" max="5" width="10.1640625" hidden="1" customWidth="1"/>
    <col min="6" max="8" width="13" hidden="1" customWidth="1"/>
    <col min="9" max="9" width="7.1640625" hidden="1" customWidth="1"/>
    <col min="10" max="10" width="5.5" hidden="1" customWidth="1"/>
    <col min="11" max="11" width="5.1640625" hidden="1" customWidth="1"/>
    <col min="12" max="12" width="7.1640625" hidden="1" customWidth="1"/>
    <col min="13" max="14" width="10" hidden="1" customWidth="1"/>
    <col min="15" max="15" width="13" bestFit="1" customWidth="1"/>
    <col min="16" max="16" width="13.5" bestFit="1" customWidth="1"/>
    <col min="17" max="19" width="13" bestFit="1" customWidth="1"/>
    <col min="20" max="27" width="6.5" customWidth="1"/>
  </cols>
  <sheetData>
    <row r="1" spans="1:27" ht="15.75" customHeight="1">
      <c r="A1" s="11"/>
      <c r="B1" s="11"/>
      <c r="C1" s="47"/>
      <c r="D1" s="78">
        <v>2025</v>
      </c>
      <c r="E1" s="79"/>
      <c r="F1" s="79"/>
      <c r="G1" s="79"/>
      <c r="H1" s="81">
        <v>2026</v>
      </c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3">
        <v>2027</v>
      </c>
      <c r="U1" s="84"/>
      <c r="V1" s="84"/>
      <c r="W1" s="84"/>
      <c r="X1" s="84"/>
      <c r="Y1" s="85"/>
      <c r="Z1" s="11"/>
      <c r="AA1" s="11"/>
    </row>
    <row r="2" spans="1:27" ht="15.75" customHeight="1">
      <c r="A2" s="11"/>
      <c r="B2" s="11"/>
      <c r="C2" s="47"/>
      <c r="D2" s="80" t="s">
        <v>43</v>
      </c>
      <c r="E2" s="80" t="s">
        <v>44</v>
      </c>
      <c r="F2" s="80" t="s">
        <v>45</v>
      </c>
      <c r="G2" s="80" t="s">
        <v>46</v>
      </c>
      <c r="H2" s="74" t="s">
        <v>47</v>
      </c>
      <c r="I2" s="74" t="s">
        <v>48</v>
      </c>
      <c r="J2" s="74" t="s">
        <v>37</v>
      </c>
      <c r="K2" s="74" t="s">
        <v>38</v>
      </c>
      <c r="L2" s="75" t="s">
        <v>39</v>
      </c>
      <c r="M2" s="75" t="s">
        <v>40</v>
      </c>
      <c r="N2" s="75" t="s">
        <v>41</v>
      </c>
      <c r="O2" s="75" t="s">
        <v>42</v>
      </c>
      <c r="P2" s="75" t="s">
        <v>43</v>
      </c>
      <c r="Q2" s="75" t="s">
        <v>44</v>
      </c>
      <c r="R2" s="75" t="s">
        <v>45</v>
      </c>
      <c r="S2" s="75" t="s">
        <v>46</v>
      </c>
      <c r="T2" s="86" t="s">
        <v>47</v>
      </c>
      <c r="U2" s="86" t="s">
        <v>48</v>
      </c>
      <c r="V2" s="86" t="s">
        <v>37</v>
      </c>
      <c r="W2" s="86" t="s">
        <v>38</v>
      </c>
      <c r="X2" s="86" t="s">
        <v>39</v>
      </c>
      <c r="Y2" s="86" t="s">
        <v>40</v>
      </c>
      <c r="Z2" s="11"/>
      <c r="AA2" s="11"/>
    </row>
    <row r="3" spans="1:27" ht="15.75" customHeight="1">
      <c r="A3" s="32"/>
      <c r="B3" s="1"/>
      <c r="C3" s="48">
        <f>SUM(D3:Y3)</f>
        <v>252405.25</v>
      </c>
      <c r="D3" s="48">
        <f t="shared" ref="D3:K3" si="0">SUM(D5:D135)</f>
        <v>0</v>
      </c>
      <c r="E3" s="48">
        <f t="shared" si="0"/>
        <v>0</v>
      </c>
      <c r="F3" s="48">
        <f t="shared" si="0"/>
        <v>0</v>
      </c>
      <c r="G3" s="48">
        <f t="shared" si="0"/>
        <v>0</v>
      </c>
      <c r="H3" s="48">
        <f t="shared" si="0"/>
        <v>0</v>
      </c>
      <c r="I3" s="48">
        <f t="shared" si="0"/>
        <v>0</v>
      </c>
      <c r="J3" s="48">
        <f t="shared" si="0"/>
        <v>0</v>
      </c>
      <c r="K3" s="48">
        <f t="shared" si="0"/>
        <v>0</v>
      </c>
      <c r="L3" s="48">
        <f t="shared" ref="L3:Y3" si="1">+L4+L5+L6+L7+L8+L9+L10+L12+L13+L14+L15+L16+L17+L18</f>
        <v>0</v>
      </c>
      <c r="M3" s="48">
        <f t="shared" si="1"/>
        <v>0</v>
      </c>
      <c r="N3" s="48">
        <f t="shared" si="1"/>
        <v>177405.25</v>
      </c>
      <c r="O3" s="48">
        <f t="shared" si="1"/>
        <v>15000</v>
      </c>
      <c r="P3" s="48">
        <f t="shared" si="1"/>
        <v>15000</v>
      </c>
      <c r="Q3" s="48">
        <f t="shared" si="1"/>
        <v>15000</v>
      </c>
      <c r="R3" s="48">
        <f t="shared" si="1"/>
        <v>15000</v>
      </c>
      <c r="S3" s="48">
        <f t="shared" si="1"/>
        <v>15000</v>
      </c>
      <c r="T3" s="48">
        <f t="shared" si="1"/>
        <v>0</v>
      </c>
      <c r="U3" s="48">
        <f t="shared" si="1"/>
        <v>0</v>
      </c>
      <c r="V3" s="48">
        <f t="shared" si="1"/>
        <v>0</v>
      </c>
      <c r="W3" s="48">
        <f t="shared" si="1"/>
        <v>0</v>
      </c>
      <c r="X3" s="48">
        <f t="shared" si="1"/>
        <v>0</v>
      </c>
      <c r="Y3" s="48">
        <f t="shared" si="1"/>
        <v>0</v>
      </c>
      <c r="Z3" s="32"/>
      <c r="AA3" s="32"/>
    </row>
    <row r="4" spans="1:27" ht="15.75" customHeight="1">
      <c r="A4" s="1"/>
      <c r="B4" s="31" t="s">
        <v>150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>
        <v>15000</v>
      </c>
      <c r="O4" s="49">
        <v>15000</v>
      </c>
      <c r="P4" s="49">
        <v>15000</v>
      </c>
      <c r="Q4" s="49">
        <v>15000</v>
      </c>
      <c r="R4" s="49">
        <v>15000</v>
      </c>
      <c r="S4" s="49">
        <v>15000</v>
      </c>
      <c r="T4" s="49"/>
      <c r="U4" s="49"/>
      <c r="V4" s="49"/>
      <c r="W4" s="49"/>
      <c r="X4" s="49"/>
      <c r="Y4" s="49"/>
      <c r="Z4" s="1"/>
      <c r="AA4" s="1"/>
    </row>
    <row r="5" spans="1:27" ht="15.75" customHeight="1">
      <c r="A5" s="1">
        <v>266</v>
      </c>
      <c r="B5" s="31" t="s">
        <v>151</v>
      </c>
      <c r="C5" s="49">
        <f>SUM(D5:Y5)</f>
        <v>0</v>
      </c>
      <c r="D5" s="49"/>
      <c r="E5" s="49"/>
      <c r="F5" s="49">
        <v>0</v>
      </c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1"/>
      <c r="AA5" s="1"/>
    </row>
    <row r="6" spans="1:27" ht="15.75" customHeight="1">
      <c r="A6" s="1">
        <v>1734</v>
      </c>
      <c r="B6" s="31" t="s">
        <v>152</v>
      </c>
      <c r="C6" s="49">
        <f>SUM(D6:Y6)</f>
        <v>0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1"/>
      <c r="AA6" s="1"/>
    </row>
    <row r="7" spans="1:27" ht="15.75" customHeight="1">
      <c r="A7" s="1">
        <v>716</v>
      </c>
      <c r="B7" s="31" t="s">
        <v>153</v>
      </c>
      <c r="C7" s="49">
        <f>SUM(D7:Y7)</f>
        <v>61500.57</v>
      </c>
      <c r="D7" s="21"/>
      <c r="E7" s="22"/>
      <c r="F7" s="22"/>
      <c r="G7" s="22"/>
      <c r="H7" s="22"/>
      <c r="I7" s="22"/>
      <c r="J7" s="22"/>
      <c r="K7" s="22"/>
      <c r="L7" s="22"/>
      <c r="M7" s="22"/>
      <c r="N7" s="22">
        <v>61500.57</v>
      </c>
      <c r="O7" s="22"/>
      <c r="P7" s="21"/>
      <c r="Q7" s="21"/>
      <c r="R7" s="21"/>
      <c r="S7" s="21"/>
      <c r="T7" s="21"/>
      <c r="U7" s="21"/>
      <c r="V7" s="21"/>
      <c r="W7" s="21"/>
      <c r="X7" s="21"/>
      <c r="Y7" s="21"/>
      <c r="Z7" s="1"/>
      <c r="AA7" s="1"/>
    </row>
    <row r="8" spans="1:27" ht="15.75" customHeight="1">
      <c r="A8" s="1">
        <v>1640</v>
      </c>
      <c r="B8" s="31" t="s">
        <v>154</v>
      </c>
      <c r="C8" s="49">
        <f>SUM(D8:Y8)</f>
        <v>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1"/>
      <c r="AA8" s="1"/>
    </row>
    <row r="9" spans="1:27" ht="15.75" customHeight="1">
      <c r="A9" s="1">
        <v>1607</v>
      </c>
      <c r="B9" s="31" t="s">
        <v>155</v>
      </c>
      <c r="C9" s="49">
        <f>SUM(D9:Y9)</f>
        <v>1220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>
        <v>1220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1"/>
      <c r="AA9" s="1"/>
    </row>
    <row r="10" spans="1:27" ht="16.5" customHeight="1">
      <c r="A10" s="1">
        <v>734</v>
      </c>
      <c r="B10" s="31" t="s">
        <v>156</v>
      </c>
      <c r="C10" s="49">
        <f>SUM(D10:Y10)</f>
        <v>1518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v>1518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1"/>
      <c r="AA10" s="1"/>
    </row>
    <row r="11" spans="1:27" ht="15.75" customHeight="1">
      <c r="A11" s="1">
        <v>1008</v>
      </c>
      <c r="B11" s="31" t="s">
        <v>157</v>
      </c>
      <c r="C11" s="49">
        <f>SUM(D11:Y11)</f>
        <v>0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1"/>
      <c r="AA11" s="1"/>
    </row>
    <row r="12" spans="1:27" ht="15.75" customHeight="1">
      <c r="A12" s="1">
        <v>1672</v>
      </c>
      <c r="B12" s="31" t="s">
        <v>158</v>
      </c>
      <c r="C12" s="49">
        <f>SUM(D12:Y12)</f>
        <v>8771.7999999999993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>
        <v>8771.7999999999993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1"/>
      <c r="AA12" s="1"/>
    </row>
    <row r="13" spans="1:27" ht="15.75" customHeight="1">
      <c r="A13" s="1">
        <v>64</v>
      </c>
      <c r="B13" s="31" t="s">
        <v>159</v>
      </c>
      <c r="C13" s="49">
        <f>SUM(D13:Y13)</f>
        <v>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1"/>
      <c r="AA13" s="1"/>
    </row>
    <row r="14" spans="1:27" ht="15.75" customHeight="1">
      <c r="A14" s="1">
        <v>863</v>
      </c>
      <c r="B14" s="31" t="s">
        <v>160</v>
      </c>
      <c r="C14" s="49">
        <f>SUM(D14:Y14)</f>
        <v>88139.3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>
        <v>88139.3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1"/>
      <c r="AA14" s="1"/>
    </row>
    <row r="15" spans="1:27" ht="15.75" customHeight="1">
      <c r="A15" s="1">
        <v>121</v>
      </c>
      <c r="B15" s="31" t="s">
        <v>161</v>
      </c>
      <c r="C15" s="49">
        <f>SUM(D15:Y15)</f>
        <v>0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1"/>
      <c r="AA15" s="1"/>
    </row>
    <row r="16" spans="1:27" ht="15.75" customHeight="1">
      <c r="A16" s="1">
        <v>1214</v>
      </c>
      <c r="B16" s="31" t="s">
        <v>162</v>
      </c>
      <c r="C16" s="49">
        <f>SUM(D16:Y16)</f>
        <v>1084.58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>
        <v>1084.58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1"/>
      <c r="AA16" s="1"/>
    </row>
    <row r="17" spans="1:27" ht="15.75" customHeight="1">
      <c r="A17" s="1">
        <v>1662</v>
      </c>
      <c r="B17" s="31" t="s">
        <v>163</v>
      </c>
      <c r="C17" s="49">
        <f>SUM(D17:Y17)</f>
        <v>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1"/>
      <c r="AA17" s="1"/>
    </row>
    <row r="18" spans="1:27" ht="15.75" customHeight="1">
      <c r="A18" s="1">
        <v>1054</v>
      </c>
      <c r="B18" s="1" t="s">
        <v>164</v>
      </c>
      <c r="C18" s="49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>
        <v>171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1"/>
      <c r="AA18" s="1"/>
    </row>
    <row r="19" spans="1:27" ht="15.75" customHeight="1">
      <c r="A19" s="1">
        <v>1034</v>
      </c>
      <c r="B19" s="1" t="s">
        <v>165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>
        <v>66.08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1"/>
      <c r="AA19" s="1"/>
    </row>
    <row r="20" spans="1:27" ht="15.75" customHeight="1">
      <c r="A20" s="1"/>
      <c r="B20" s="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1"/>
      <c r="AA20" s="1"/>
    </row>
    <row r="21" spans="1:27" ht="15.75" customHeight="1">
      <c r="A21" s="1"/>
      <c r="B21" s="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1"/>
      <c r="AA21" s="1"/>
    </row>
    <row r="22" spans="1:27" ht="15.75" customHeight="1">
      <c r="A22" s="1"/>
      <c r="B22" s="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1"/>
      <c r="AA22" s="1"/>
    </row>
    <row r="23" spans="1:27" ht="15.75" customHeight="1">
      <c r="A23" s="1"/>
      <c r="B23" s="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1"/>
      <c r="AA23" s="1"/>
    </row>
    <row r="24" spans="1:27" ht="15.75" customHeight="1">
      <c r="A24" s="1"/>
      <c r="B24" s="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1"/>
      <c r="AA24" s="1"/>
    </row>
    <row r="25" spans="1:27" ht="15.75" customHeight="1">
      <c r="A25" s="1"/>
      <c r="B25" s="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1"/>
      <c r="AA25" s="1"/>
    </row>
    <row r="26" spans="1:27" ht="15.75" customHeight="1">
      <c r="A26" s="1"/>
      <c r="B26" s="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1"/>
      <c r="AA26" s="1"/>
    </row>
    <row r="27" spans="1:27" ht="15.75" customHeight="1">
      <c r="A27" s="1"/>
      <c r="B27" s="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1"/>
      <c r="AA27" s="1"/>
    </row>
    <row r="28" spans="1:27" ht="15.75" customHeight="1">
      <c r="A28" s="1"/>
      <c r="B28" s="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1"/>
      <c r="AA28" s="1"/>
    </row>
    <row r="29" spans="1:27" ht="15.75" customHeight="1">
      <c r="A29" s="1"/>
      <c r="B29" s="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1"/>
      <c r="AA29" s="1"/>
    </row>
    <row r="30" spans="1:27" ht="15.75" customHeight="1">
      <c r="A30" s="1"/>
      <c r="B30" s="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1"/>
      <c r="AA30" s="1"/>
    </row>
    <row r="31" spans="1:27" ht="15.75" customHeight="1">
      <c r="A31" s="1"/>
      <c r="B31" s="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1"/>
      <c r="AA31" s="1"/>
    </row>
    <row r="32" spans="1:27" ht="15.75" customHeight="1">
      <c r="A32" s="1"/>
      <c r="B32" s="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1"/>
      <c r="AA32" s="1"/>
    </row>
    <row r="33" spans="1:27" ht="15.75" customHeight="1">
      <c r="A33" s="1"/>
      <c r="B33" s="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1"/>
      <c r="AA33" s="1"/>
    </row>
    <row r="34" spans="1:27" ht="15.75" customHeight="1">
      <c r="A34" s="1"/>
      <c r="B34" s="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1"/>
      <c r="AA34" s="1"/>
    </row>
    <row r="35" spans="1:27" ht="15.75" customHeight="1">
      <c r="A35" s="1"/>
      <c r="B35" s="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1"/>
      <c r="AA35" s="1"/>
    </row>
    <row r="36" spans="1:27" ht="15.75" customHeight="1">
      <c r="A36" s="1"/>
      <c r="B36" s="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1"/>
      <c r="AA36" s="1"/>
    </row>
    <row r="37" spans="1:27" ht="15.75" customHeight="1">
      <c r="A37" s="1"/>
      <c r="B37" s="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1"/>
      <c r="AA37" s="1"/>
    </row>
    <row r="38" spans="1:27" ht="15.75" customHeight="1">
      <c r="A38" s="1"/>
      <c r="B38" s="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1"/>
      <c r="AA38" s="1"/>
    </row>
    <row r="39" spans="1:27" ht="15.75" customHeight="1">
      <c r="A39" s="1"/>
      <c r="B39" s="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1"/>
      <c r="AA39" s="1"/>
    </row>
    <row r="40" spans="1:27" ht="15.75" customHeight="1">
      <c r="A40" s="1"/>
      <c r="B40" s="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1"/>
      <c r="AA40" s="1"/>
    </row>
    <row r="41" spans="1:27" ht="15.75" customHeight="1">
      <c r="A41" s="1"/>
      <c r="B41" s="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1"/>
      <c r="AA41" s="1"/>
    </row>
    <row r="42" spans="1:27" ht="15.75" customHeight="1">
      <c r="A42" s="1"/>
      <c r="B42" s="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1"/>
      <c r="AA42" s="1"/>
    </row>
    <row r="43" spans="1:27" ht="15.75" customHeight="1">
      <c r="A43" s="1"/>
      <c r="B43" s="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1"/>
      <c r="AA43" s="1"/>
    </row>
    <row r="44" spans="1:27" ht="15.75" customHeight="1">
      <c r="A44" s="1"/>
      <c r="B44" s="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1"/>
      <c r="AA44" s="1"/>
    </row>
    <row r="45" spans="1:27" ht="15.75" customHeight="1">
      <c r="A45" s="1"/>
      <c r="B45" s="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1"/>
      <c r="AA45" s="1"/>
    </row>
    <row r="46" spans="1:27" ht="15.75" customHeight="1">
      <c r="A46" s="1"/>
      <c r="B46" s="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1"/>
      <c r="AA46" s="1"/>
    </row>
    <row r="47" spans="1:27" ht="15.75" customHeight="1">
      <c r="A47" s="1"/>
      <c r="B47" s="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1"/>
      <c r="AA47" s="1"/>
    </row>
    <row r="48" spans="1:27" ht="15.75" customHeight="1">
      <c r="A48" s="1"/>
      <c r="B48" s="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1"/>
      <c r="AA48" s="1"/>
    </row>
    <row r="49" spans="1:27" ht="15.75" customHeight="1">
      <c r="A49" s="1"/>
      <c r="B49" s="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1"/>
      <c r="AA49" s="1"/>
    </row>
    <row r="50" spans="1:27" ht="15.75" customHeight="1">
      <c r="A50" s="1"/>
      <c r="B50" s="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1"/>
      <c r="AA50" s="1"/>
    </row>
    <row r="51" spans="1:27" ht="15.75" customHeight="1">
      <c r="A51" s="1"/>
      <c r="B51" s="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1"/>
      <c r="AA51" s="1"/>
    </row>
    <row r="52" spans="1:27" ht="15.75" customHeight="1">
      <c r="A52" s="1"/>
      <c r="B52" s="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1"/>
      <c r="AA52" s="1"/>
    </row>
    <row r="53" spans="1:27" ht="15.75" customHeight="1">
      <c r="A53" s="1"/>
      <c r="B53" s="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1"/>
      <c r="AA53" s="1"/>
    </row>
    <row r="54" spans="1:27" ht="15.75" customHeight="1">
      <c r="A54" s="1"/>
      <c r="B54" s="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1"/>
      <c r="AA54" s="1"/>
    </row>
    <row r="55" spans="1:27" ht="15.75" customHeight="1">
      <c r="A55" s="1"/>
      <c r="B55" s="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1"/>
      <c r="AA55" s="1"/>
    </row>
    <row r="56" spans="1:27" ht="15.75" customHeight="1">
      <c r="A56" s="1"/>
      <c r="B56" s="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1"/>
      <c r="AA56" s="1"/>
    </row>
    <row r="57" spans="1:27" ht="15.75" customHeight="1">
      <c r="A57" s="1"/>
      <c r="B57" s="1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1"/>
      <c r="AA57" s="1"/>
    </row>
    <row r="58" spans="1:27" ht="15.75" customHeight="1">
      <c r="A58" s="1"/>
      <c r="B58" s="1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1"/>
      <c r="AA58" s="1"/>
    </row>
    <row r="59" spans="1:27" ht="15.75" customHeight="1">
      <c r="A59" s="1"/>
      <c r="B59" s="1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1"/>
      <c r="AA59" s="1"/>
    </row>
    <row r="60" spans="1:27" ht="15.75" customHeight="1">
      <c r="A60" s="1"/>
      <c r="B60" s="1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1"/>
      <c r="AA60" s="1"/>
    </row>
    <row r="61" spans="1:27" ht="15.75" customHeight="1">
      <c r="A61" s="1"/>
      <c r="B61" s="1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1"/>
      <c r="AA61" s="1"/>
    </row>
    <row r="62" spans="1:27" ht="15.75" customHeight="1">
      <c r="A62" s="1"/>
      <c r="B62" s="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1"/>
      <c r="AA62" s="1"/>
    </row>
    <row r="63" spans="1:27" ht="15.75" customHeight="1">
      <c r="A63" s="1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1"/>
      <c r="AA63" s="1"/>
    </row>
    <row r="64" spans="1:27" ht="15.75" customHeight="1">
      <c r="A64" s="1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1"/>
      <c r="AA64" s="1"/>
    </row>
    <row r="65" spans="1:27" ht="15.75" customHeight="1">
      <c r="A65" s="1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1"/>
      <c r="AA65" s="1"/>
    </row>
    <row r="66" spans="1:27" ht="15.75" customHeight="1">
      <c r="A66" s="1"/>
      <c r="B66" s="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1"/>
      <c r="AA66" s="1"/>
    </row>
    <row r="67" spans="1:27" ht="15.75" customHeight="1">
      <c r="A67" s="1"/>
      <c r="B67" s="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1"/>
      <c r="AA67" s="1"/>
    </row>
    <row r="68" spans="1:27" ht="15.75" customHeight="1">
      <c r="A68" s="1"/>
      <c r="B68" s="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1"/>
      <c r="AA68" s="1"/>
    </row>
    <row r="69" spans="1:27" ht="15.75" customHeight="1">
      <c r="A69" s="1"/>
      <c r="B69" s="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1"/>
      <c r="AA69" s="1"/>
    </row>
    <row r="70" spans="1:27" ht="15.75" customHeight="1">
      <c r="A70" s="1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">
    <mergeCell ref="H1:S1"/>
    <mergeCell ref="D1:G1"/>
    <mergeCell ref="T1:Y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/>
  </sheetViews>
  <sheetFormatPr baseColWidth="10" defaultColWidth="11.1640625" defaultRowHeight="15" customHeight="1"/>
  <cols>
    <col min="1" max="1" width="22.1640625" customWidth="1"/>
    <col min="2" max="2" width="11" customWidth="1"/>
    <col min="3" max="8" width="8.6640625" customWidth="1"/>
    <col min="9" max="26" width="8.83203125" customWidth="1"/>
  </cols>
  <sheetData>
    <row r="1" spans="1:26" ht="16">
      <c r="A1" s="72" t="s">
        <v>166</v>
      </c>
      <c r="B1" s="68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>
      <c r="A3" s="20" t="s">
        <v>167</v>
      </c>
      <c r="B3" s="20" t="s">
        <v>168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>
      <c r="A4" s="62" t="s">
        <v>66</v>
      </c>
      <c r="B4" s="62">
        <v>130556.57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>
      <c r="A5" s="20" t="s">
        <v>169</v>
      </c>
      <c r="B5" s="52">
        <v>33600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>
      <c r="A7" s="20" t="s">
        <v>170</v>
      </c>
      <c r="B7" s="53">
        <v>412036.53</v>
      </c>
      <c r="C7" s="1"/>
      <c r="D7" s="1"/>
      <c r="E7" s="1"/>
      <c r="F7" s="1"/>
      <c r="G7" s="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B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000"/>
  <sheetViews>
    <sheetView workbookViewId="0"/>
  </sheetViews>
  <sheetFormatPr baseColWidth="10" defaultColWidth="11.1640625" defaultRowHeight="15" customHeight="1"/>
  <cols>
    <col min="1" max="1" width="6.83203125" customWidth="1"/>
    <col min="2" max="2" width="34.1640625" customWidth="1"/>
    <col min="3" max="26" width="6.83203125" customWidth="1"/>
  </cols>
  <sheetData>
    <row r="1" spans="1:14" ht="15.75" customHeight="1">
      <c r="A1" s="32" t="s">
        <v>171</v>
      </c>
      <c r="B1" s="1"/>
    </row>
    <row r="2" spans="1:14" ht="15.75" customHeight="1">
      <c r="A2" s="32" t="s">
        <v>172</v>
      </c>
      <c r="B2" s="32" t="s">
        <v>173</v>
      </c>
      <c r="C2" s="32" t="s">
        <v>47</v>
      </c>
      <c r="D2" s="32" t="s">
        <v>48</v>
      </c>
      <c r="E2" s="32" t="s">
        <v>37</v>
      </c>
      <c r="F2" s="32" t="s">
        <v>38</v>
      </c>
      <c r="G2" s="32" t="s">
        <v>39</v>
      </c>
      <c r="H2" s="32" t="s">
        <v>40</v>
      </c>
      <c r="I2" s="32" t="s">
        <v>41</v>
      </c>
      <c r="J2" s="32" t="s">
        <v>42</v>
      </c>
      <c r="K2" s="32" t="s">
        <v>43</v>
      </c>
      <c r="L2" s="32" t="s">
        <v>44</v>
      </c>
      <c r="M2" s="32" t="s">
        <v>45</v>
      </c>
      <c r="N2" s="32" t="s">
        <v>46</v>
      </c>
    </row>
    <row r="3" spans="1:14" ht="15.75" customHeight="1">
      <c r="B3" s="1"/>
    </row>
    <row r="4" spans="1:14" ht="15.75" customHeight="1">
      <c r="B4" s="1"/>
    </row>
    <row r="5" spans="1:14" ht="15.75" customHeight="1">
      <c r="B5" s="1"/>
    </row>
    <row r="6" spans="1:14" ht="15.75" customHeight="1">
      <c r="B6" s="1"/>
    </row>
    <row r="7" spans="1:14" ht="15.75" customHeight="1">
      <c r="B7" s="1"/>
    </row>
    <row r="8" spans="1:14" ht="15.75" customHeight="1">
      <c r="B8" s="1"/>
    </row>
    <row r="9" spans="1:14" ht="15.75" customHeight="1">
      <c r="B9" s="1"/>
    </row>
    <row r="10" spans="1:14" ht="15.75" customHeight="1">
      <c r="B10" s="1"/>
    </row>
    <row r="11" spans="1:14" ht="15.75" customHeight="1">
      <c r="B11" s="1"/>
    </row>
    <row r="12" spans="1:14" ht="15.75" customHeight="1">
      <c r="B12" s="1"/>
    </row>
    <row r="13" spans="1:14" ht="15.75" customHeight="1">
      <c r="B13" s="1"/>
    </row>
    <row r="14" spans="1:14" ht="15.75" customHeight="1">
      <c r="B14" s="1"/>
    </row>
    <row r="15" spans="1:14" ht="15.75" customHeight="1">
      <c r="B15" s="1"/>
    </row>
    <row r="16" spans="1:14" ht="15.75" customHeight="1">
      <c r="B16" s="1"/>
    </row>
    <row r="17" spans="2:2" ht="15.75" customHeight="1">
      <c r="B17" s="1"/>
    </row>
    <row r="18" spans="2:2" ht="15.75" customHeight="1">
      <c r="B18" s="1"/>
    </row>
    <row r="19" spans="2:2" ht="15.75" customHeight="1">
      <c r="B19" s="1"/>
    </row>
    <row r="20" spans="2:2" ht="15.75" customHeight="1">
      <c r="B20" s="1"/>
    </row>
    <row r="21" spans="2:2" ht="15.75" customHeight="1">
      <c r="B21" s="1"/>
    </row>
    <row r="22" spans="2:2" ht="15.75" customHeight="1">
      <c r="B22" s="1"/>
    </row>
    <row r="23" spans="2:2" ht="15.75" customHeight="1">
      <c r="B23" s="1"/>
    </row>
    <row r="24" spans="2:2" ht="15.75" customHeight="1">
      <c r="B24" s="1"/>
    </row>
    <row r="25" spans="2:2" ht="15.75" customHeight="1">
      <c r="B25" s="1"/>
    </row>
    <row r="26" spans="2:2" ht="15.75" customHeight="1">
      <c r="B26" s="1"/>
    </row>
    <row r="27" spans="2:2" ht="15.75" customHeight="1">
      <c r="B27" s="1"/>
    </row>
    <row r="28" spans="2:2" ht="15.75" customHeight="1">
      <c r="B28" s="1"/>
    </row>
    <row r="29" spans="2:2" ht="15.75" customHeight="1">
      <c r="B29" s="1"/>
    </row>
    <row r="30" spans="2:2" ht="15.75" customHeight="1">
      <c r="B30" s="1"/>
    </row>
    <row r="31" spans="2:2" ht="15.75" customHeight="1">
      <c r="B31" s="1"/>
    </row>
    <row r="32" spans="2:2" ht="15.75" customHeight="1">
      <c r="B32" s="1"/>
    </row>
    <row r="33" spans="2:2" ht="15.75" customHeight="1">
      <c r="B33" s="1"/>
    </row>
    <row r="34" spans="2:2" ht="15.75" customHeight="1">
      <c r="B34" s="1"/>
    </row>
    <row r="35" spans="2:2" ht="15.75" customHeight="1">
      <c r="B35" s="1"/>
    </row>
    <row r="36" spans="2:2" ht="15.75" customHeight="1">
      <c r="B36" s="1"/>
    </row>
    <row r="37" spans="2:2" ht="15.75" customHeight="1">
      <c r="B37" s="1"/>
    </row>
    <row r="38" spans="2:2" ht="15.75" customHeight="1">
      <c r="B38" s="1"/>
    </row>
    <row r="39" spans="2:2" ht="15.75" customHeight="1">
      <c r="B39" s="1"/>
    </row>
    <row r="40" spans="2:2" ht="15.75" customHeight="1">
      <c r="B40" s="1"/>
    </row>
    <row r="41" spans="2:2" ht="15.75" customHeight="1">
      <c r="B41" s="1"/>
    </row>
    <row r="42" spans="2:2" ht="15.75" customHeight="1">
      <c r="B42" s="1"/>
    </row>
    <row r="43" spans="2:2" ht="15.75" customHeight="1">
      <c r="B43" s="1"/>
    </row>
    <row r="44" spans="2:2" ht="15.75" customHeight="1">
      <c r="B44" s="1"/>
    </row>
    <row r="45" spans="2:2" ht="15.75" customHeight="1">
      <c r="B45" s="1"/>
    </row>
    <row r="46" spans="2:2" ht="15.75" customHeight="1">
      <c r="B46" s="1"/>
    </row>
    <row r="47" spans="2:2" ht="15.75" customHeight="1">
      <c r="B47" s="1"/>
    </row>
    <row r="48" spans="2:2" ht="15.75" customHeight="1">
      <c r="B48" s="1"/>
    </row>
    <row r="49" spans="2:2" ht="15.75" customHeight="1">
      <c r="B49" s="1"/>
    </row>
    <row r="50" spans="2:2" ht="15.75" customHeight="1">
      <c r="B50" s="1"/>
    </row>
    <row r="51" spans="2:2" ht="15.75" customHeight="1">
      <c r="B51" s="1"/>
    </row>
    <row r="52" spans="2:2" ht="15.75" customHeight="1">
      <c r="B52" s="1"/>
    </row>
    <row r="53" spans="2:2" ht="15.75" customHeight="1">
      <c r="B53" s="1"/>
    </row>
    <row r="54" spans="2:2" ht="15.75" customHeight="1">
      <c r="B54" s="1"/>
    </row>
    <row r="55" spans="2:2" ht="15.75" customHeight="1">
      <c r="B55" s="1"/>
    </row>
    <row r="56" spans="2:2" ht="15.75" customHeight="1">
      <c r="B56" s="1"/>
    </row>
    <row r="57" spans="2:2" ht="15.75" customHeight="1">
      <c r="B57" s="1"/>
    </row>
    <row r="58" spans="2:2" ht="15.75" customHeight="1">
      <c r="B58" s="1"/>
    </row>
    <row r="59" spans="2:2" ht="15.75" customHeight="1">
      <c r="B59" s="1"/>
    </row>
    <row r="60" spans="2:2" ht="15.75" customHeight="1">
      <c r="B60" s="1"/>
    </row>
    <row r="61" spans="2:2" ht="15.75" customHeight="1">
      <c r="B61" s="1"/>
    </row>
    <row r="62" spans="2:2" ht="15.75" customHeight="1">
      <c r="B62" s="1"/>
    </row>
    <row r="63" spans="2:2" ht="15.75" customHeight="1">
      <c r="B63" s="1"/>
    </row>
    <row r="64" spans="2:2" ht="15.75" customHeight="1">
      <c r="B64" s="1"/>
    </row>
    <row r="65" spans="2:2" ht="15.75" customHeight="1">
      <c r="B65" s="1"/>
    </row>
    <row r="66" spans="2:2" ht="15.75" customHeight="1">
      <c r="B66" s="1"/>
    </row>
    <row r="67" spans="2:2" ht="15.75" customHeight="1">
      <c r="B67" s="1"/>
    </row>
    <row r="68" spans="2:2" ht="15.75" customHeight="1">
      <c r="B68" s="1"/>
    </row>
    <row r="69" spans="2:2" ht="15.75" customHeight="1">
      <c r="B69" s="1"/>
    </row>
    <row r="70" spans="2:2" ht="15.75" customHeight="1">
      <c r="B70" s="1"/>
    </row>
    <row r="71" spans="2:2" ht="15.75" customHeight="1">
      <c r="B71" s="1"/>
    </row>
    <row r="72" spans="2:2" ht="15.75" customHeight="1">
      <c r="B72" s="1"/>
    </row>
    <row r="73" spans="2:2" ht="15.75" customHeight="1">
      <c r="B73" s="1"/>
    </row>
    <row r="74" spans="2:2" ht="15.75" customHeight="1">
      <c r="B74" s="1"/>
    </row>
    <row r="75" spans="2:2" ht="15.75" customHeight="1">
      <c r="B75" s="1"/>
    </row>
    <row r="76" spans="2:2" ht="15.75" customHeight="1">
      <c r="B76" s="1"/>
    </row>
    <row r="77" spans="2:2" ht="15.75" customHeight="1">
      <c r="B77" s="1"/>
    </row>
    <row r="78" spans="2:2" ht="15.75" customHeight="1">
      <c r="B78" s="1"/>
    </row>
    <row r="79" spans="2:2" ht="15.75" customHeight="1">
      <c r="B79" s="1"/>
    </row>
    <row r="80" spans="2:2" ht="15.75" customHeight="1">
      <c r="B80" s="1"/>
    </row>
    <row r="81" spans="2:2" ht="15.75" customHeight="1">
      <c r="B81" s="1"/>
    </row>
    <row r="82" spans="2:2" ht="15.75" customHeight="1">
      <c r="B82" s="1"/>
    </row>
    <row r="83" spans="2:2" ht="15.75" customHeight="1">
      <c r="B83" s="1"/>
    </row>
    <row r="84" spans="2:2" ht="15.75" customHeight="1">
      <c r="B84" s="1"/>
    </row>
    <row r="85" spans="2:2" ht="15.75" customHeight="1">
      <c r="B85" s="1"/>
    </row>
    <row r="86" spans="2:2" ht="15.75" customHeight="1">
      <c r="B86" s="1"/>
    </row>
    <row r="87" spans="2:2" ht="15.75" customHeight="1">
      <c r="B87" s="1"/>
    </row>
    <row r="88" spans="2:2" ht="15.75" customHeight="1">
      <c r="B88" s="1"/>
    </row>
    <row r="89" spans="2:2" ht="15.75" customHeight="1">
      <c r="B89" s="1"/>
    </row>
    <row r="90" spans="2:2" ht="15.75" customHeight="1">
      <c r="B90" s="1"/>
    </row>
    <row r="91" spans="2:2" ht="15.75" customHeight="1">
      <c r="B91" s="1"/>
    </row>
    <row r="92" spans="2:2" ht="15.75" customHeight="1">
      <c r="B92" s="1"/>
    </row>
    <row r="93" spans="2:2" ht="15.75" customHeight="1">
      <c r="B93" s="1"/>
    </row>
    <row r="94" spans="2:2" ht="15.75" customHeight="1">
      <c r="B94" s="1"/>
    </row>
    <row r="95" spans="2:2" ht="15.75" customHeight="1">
      <c r="B95" s="1"/>
    </row>
    <row r="96" spans="2:2" ht="15.75" customHeight="1">
      <c r="B96" s="1"/>
    </row>
    <row r="97" spans="2:2" ht="15.75" customHeight="1">
      <c r="B97" s="1"/>
    </row>
    <row r="98" spans="2:2" ht="15.75" customHeight="1">
      <c r="B98" s="1"/>
    </row>
    <row r="99" spans="2:2" ht="15.75" customHeight="1">
      <c r="B99" s="1"/>
    </row>
    <row r="100" spans="2:2" ht="15.75" customHeight="1">
      <c r="B100" s="1"/>
    </row>
    <row r="101" spans="2:2" ht="15.75" customHeight="1">
      <c r="B101" s="1"/>
    </row>
    <row r="102" spans="2:2" ht="15.75" customHeight="1">
      <c r="B102" s="1"/>
    </row>
    <row r="103" spans="2:2" ht="15.75" customHeight="1">
      <c r="B103" s="1"/>
    </row>
    <row r="104" spans="2:2" ht="15.75" customHeight="1">
      <c r="B104" s="1"/>
    </row>
    <row r="105" spans="2:2" ht="15.75" customHeight="1">
      <c r="B105" s="1"/>
    </row>
    <row r="106" spans="2:2" ht="15.75" customHeight="1">
      <c r="B106" s="1"/>
    </row>
    <row r="107" spans="2:2" ht="15.75" customHeight="1">
      <c r="B107" s="1"/>
    </row>
    <row r="108" spans="2:2" ht="15.75" customHeight="1">
      <c r="B108" s="1"/>
    </row>
    <row r="109" spans="2:2" ht="15.75" customHeight="1">
      <c r="B109" s="1"/>
    </row>
    <row r="110" spans="2:2" ht="15.75" customHeight="1">
      <c r="B110" s="1"/>
    </row>
    <row r="111" spans="2:2" ht="15.75" customHeight="1">
      <c r="B111" s="1"/>
    </row>
    <row r="112" spans="2:2" ht="15.75" customHeight="1">
      <c r="B112" s="1"/>
    </row>
    <row r="113" spans="2:2" ht="15.75" customHeight="1">
      <c r="B113" s="1"/>
    </row>
    <row r="114" spans="2:2" ht="15.75" customHeight="1">
      <c r="B114" s="1"/>
    </row>
    <row r="115" spans="2:2" ht="15.75" customHeight="1">
      <c r="B115" s="1"/>
    </row>
    <row r="116" spans="2:2" ht="15.75" customHeight="1">
      <c r="B116" s="1"/>
    </row>
    <row r="117" spans="2:2" ht="15.75" customHeight="1">
      <c r="B117" s="1"/>
    </row>
    <row r="118" spans="2:2" ht="15.75" customHeight="1">
      <c r="B118" s="1"/>
    </row>
    <row r="119" spans="2:2" ht="15.75" customHeight="1">
      <c r="B119" s="1"/>
    </row>
    <row r="120" spans="2:2" ht="15.75" customHeight="1">
      <c r="B120" s="1"/>
    </row>
    <row r="121" spans="2:2" ht="15.75" customHeight="1">
      <c r="B121" s="1"/>
    </row>
    <row r="122" spans="2:2" ht="15.75" customHeight="1">
      <c r="B122" s="1"/>
    </row>
    <row r="123" spans="2:2" ht="15.75" customHeight="1">
      <c r="B123" s="1"/>
    </row>
    <row r="124" spans="2:2" ht="15.75" customHeight="1">
      <c r="B124" s="1"/>
    </row>
    <row r="125" spans="2:2" ht="15.75" customHeight="1">
      <c r="B125" s="1"/>
    </row>
    <row r="126" spans="2:2" ht="15.75" customHeight="1">
      <c r="B126" s="1"/>
    </row>
    <row r="127" spans="2:2" ht="15.75" customHeight="1">
      <c r="B127" s="1"/>
    </row>
    <row r="128" spans="2:2" ht="15.75" customHeight="1">
      <c r="B128" s="1"/>
    </row>
    <row r="129" spans="2:2" ht="15.75" customHeight="1">
      <c r="B129" s="1"/>
    </row>
    <row r="130" spans="2:2" ht="15.75" customHeight="1">
      <c r="B130" s="1"/>
    </row>
    <row r="131" spans="2:2" ht="15.75" customHeight="1">
      <c r="B131" s="1"/>
    </row>
    <row r="132" spans="2:2" ht="15.75" customHeight="1">
      <c r="B132" s="1"/>
    </row>
    <row r="133" spans="2:2" ht="15.75" customHeight="1">
      <c r="B133" s="1"/>
    </row>
    <row r="134" spans="2:2" ht="15.75" customHeight="1">
      <c r="B134" s="1"/>
    </row>
    <row r="135" spans="2:2" ht="15.75" customHeight="1">
      <c r="B135" s="1"/>
    </row>
    <row r="136" spans="2:2" ht="15.75" customHeight="1">
      <c r="B136" s="1"/>
    </row>
    <row r="137" spans="2:2" ht="15.75" customHeight="1">
      <c r="B137" s="1"/>
    </row>
    <row r="138" spans="2:2" ht="15.75" customHeight="1">
      <c r="B138" s="1"/>
    </row>
    <row r="139" spans="2:2" ht="15.75" customHeight="1">
      <c r="B139" s="1"/>
    </row>
    <row r="140" spans="2:2" ht="15.75" customHeight="1">
      <c r="B140" s="1"/>
    </row>
    <row r="141" spans="2:2" ht="15.75" customHeight="1">
      <c r="B141" s="1"/>
    </row>
    <row r="142" spans="2:2" ht="15.75" customHeight="1">
      <c r="B142" s="1"/>
    </row>
    <row r="143" spans="2:2" ht="15.75" customHeight="1">
      <c r="B143" s="1"/>
    </row>
    <row r="144" spans="2:2" ht="15.75" customHeight="1">
      <c r="B144" s="1"/>
    </row>
    <row r="145" spans="2:2" ht="15.75" customHeight="1">
      <c r="B145" s="1"/>
    </row>
    <row r="146" spans="2:2" ht="15.75" customHeight="1">
      <c r="B146" s="1"/>
    </row>
    <row r="147" spans="2:2" ht="15.75" customHeight="1">
      <c r="B147" s="1"/>
    </row>
    <row r="148" spans="2:2" ht="15.75" customHeight="1">
      <c r="B148" s="1"/>
    </row>
    <row r="149" spans="2:2" ht="15.75" customHeight="1">
      <c r="B149" s="1"/>
    </row>
    <row r="150" spans="2:2" ht="15.75" customHeight="1">
      <c r="B150" s="1"/>
    </row>
    <row r="151" spans="2:2" ht="15.75" customHeight="1">
      <c r="B151" s="1"/>
    </row>
    <row r="152" spans="2:2" ht="15.75" customHeight="1">
      <c r="B152" s="1"/>
    </row>
    <row r="153" spans="2:2" ht="15.75" customHeight="1">
      <c r="B153" s="1"/>
    </row>
    <row r="154" spans="2:2" ht="15.75" customHeight="1">
      <c r="B154" s="1"/>
    </row>
    <row r="155" spans="2:2" ht="15.75" customHeight="1">
      <c r="B155" s="1"/>
    </row>
    <row r="156" spans="2:2" ht="15.75" customHeight="1">
      <c r="B156" s="1"/>
    </row>
    <row r="157" spans="2:2" ht="15.75" customHeight="1">
      <c r="B157" s="1"/>
    </row>
    <row r="158" spans="2:2" ht="15.75" customHeight="1">
      <c r="B158" s="1"/>
    </row>
    <row r="159" spans="2:2" ht="15.75" customHeight="1">
      <c r="B159" s="1"/>
    </row>
    <row r="160" spans="2:2" ht="15.75" customHeight="1">
      <c r="B160" s="1"/>
    </row>
    <row r="161" spans="2:2" ht="15.75" customHeight="1">
      <c r="B161" s="1"/>
    </row>
    <row r="162" spans="2:2" ht="15.75" customHeight="1">
      <c r="B162" s="1"/>
    </row>
    <row r="163" spans="2:2" ht="15.75" customHeight="1">
      <c r="B163" s="1"/>
    </row>
    <row r="164" spans="2:2" ht="15.75" customHeight="1">
      <c r="B164" s="1"/>
    </row>
    <row r="165" spans="2:2" ht="15.75" customHeight="1">
      <c r="B165" s="1"/>
    </row>
    <row r="166" spans="2:2" ht="15.75" customHeight="1">
      <c r="B166" s="1"/>
    </row>
    <row r="167" spans="2:2" ht="15.75" customHeight="1">
      <c r="B167" s="1"/>
    </row>
    <row r="168" spans="2:2" ht="15.75" customHeight="1">
      <c r="B168" s="1"/>
    </row>
    <row r="169" spans="2:2" ht="15.75" customHeight="1">
      <c r="B169" s="1"/>
    </row>
    <row r="170" spans="2:2" ht="15.75" customHeight="1">
      <c r="B170" s="1"/>
    </row>
    <row r="171" spans="2:2" ht="15.75" customHeight="1">
      <c r="B171" s="1"/>
    </row>
    <row r="172" spans="2:2" ht="15.75" customHeight="1">
      <c r="B172" s="1"/>
    </row>
    <row r="173" spans="2:2" ht="15.75" customHeight="1">
      <c r="B173" s="1"/>
    </row>
    <row r="174" spans="2:2" ht="15.75" customHeight="1">
      <c r="B174" s="1"/>
    </row>
    <row r="175" spans="2:2" ht="15.75" customHeight="1">
      <c r="B175" s="1"/>
    </row>
    <row r="176" spans="2:2" ht="15.75" customHeight="1">
      <c r="B176" s="1"/>
    </row>
    <row r="177" spans="2:2" ht="15.75" customHeight="1">
      <c r="B177" s="1"/>
    </row>
    <row r="178" spans="2:2" ht="15.75" customHeight="1">
      <c r="B178" s="1"/>
    </row>
    <row r="179" spans="2:2" ht="15.75" customHeight="1">
      <c r="B179" s="1"/>
    </row>
    <row r="180" spans="2:2" ht="15.75" customHeight="1">
      <c r="B180" s="1"/>
    </row>
    <row r="181" spans="2:2" ht="15.75" customHeight="1">
      <c r="B181" s="1"/>
    </row>
    <row r="182" spans="2:2" ht="15.75" customHeight="1">
      <c r="B182" s="1"/>
    </row>
    <row r="183" spans="2:2" ht="15.75" customHeight="1">
      <c r="B183" s="1"/>
    </row>
    <row r="184" spans="2:2" ht="15.75" customHeight="1">
      <c r="B184" s="1"/>
    </row>
    <row r="185" spans="2:2" ht="15.75" customHeight="1">
      <c r="B185" s="1"/>
    </row>
    <row r="186" spans="2:2" ht="15.75" customHeight="1">
      <c r="B186" s="1"/>
    </row>
    <row r="187" spans="2:2" ht="15.75" customHeight="1">
      <c r="B187" s="1"/>
    </row>
    <row r="188" spans="2:2" ht="15.75" customHeight="1">
      <c r="B188" s="1"/>
    </row>
    <row r="189" spans="2:2" ht="15.75" customHeight="1">
      <c r="B189" s="1"/>
    </row>
    <row r="190" spans="2:2" ht="15.75" customHeight="1">
      <c r="B190" s="1"/>
    </row>
    <row r="191" spans="2:2" ht="15.75" customHeight="1">
      <c r="B191" s="1"/>
    </row>
    <row r="192" spans="2:2" ht="15.75" customHeight="1">
      <c r="B192" s="1"/>
    </row>
    <row r="193" spans="2:2" ht="15.75" customHeight="1">
      <c r="B193" s="1"/>
    </row>
    <row r="194" spans="2:2" ht="15.75" customHeight="1">
      <c r="B194" s="1"/>
    </row>
    <row r="195" spans="2:2" ht="15.75" customHeight="1">
      <c r="B195" s="1"/>
    </row>
    <row r="196" spans="2:2" ht="15.75" customHeight="1">
      <c r="B196" s="1"/>
    </row>
    <row r="197" spans="2:2" ht="15.75" customHeight="1">
      <c r="B197" s="1"/>
    </row>
    <row r="198" spans="2:2" ht="15.75" customHeight="1">
      <c r="B198" s="1"/>
    </row>
    <row r="199" spans="2:2" ht="15.75" customHeight="1">
      <c r="B199" s="1"/>
    </row>
    <row r="200" spans="2:2" ht="15.75" customHeight="1">
      <c r="B200" s="1"/>
    </row>
    <row r="201" spans="2:2" ht="15.75" customHeight="1">
      <c r="B201" s="1"/>
    </row>
    <row r="202" spans="2:2" ht="15.75" customHeight="1">
      <c r="B202" s="1"/>
    </row>
    <row r="203" spans="2:2" ht="15.75" customHeight="1">
      <c r="B203" s="1"/>
    </row>
    <row r="204" spans="2:2" ht="15.75" customHeight="1">
      <c r="B204" s="1"/>
    </row>
    <row r="205" spans="2:2" ht="15.75" customHeight="1">
      <c r="B205" s="1"/>
    </row>
    <row r="206" spans="2:2" ht="15.75" customHeight="1">
      <c r="B206" s="1"/>
    </row>
    <row r="207" spans="2:2" ht="15.75" customHeight="1">
      <c r="B207" s="1"/>
    </row>
    <row r="208" spans="2:2" ht="15.75" customHeight="1">
      <c r="B208" s="1"/>
    </row>
    <row r="209" spans="2:2" ht="15.75" customHeight="1">
      <c r="B209" s="1"/>
    </row>
    <row r="210" spans="2:2" ht="15.75" customHeight="1">
      <c r="B210" s="1"/>
    </row>
    <row r="211" spans="2:2" ht="15.75" customHeight="1">
      <c r="B211" s="1"/>
    </row>
    <row r="212" spans="2:2" ht="15.75" customHeight="1">
      <c r="B212" s="1"/>
    </row>
    <row r="213" spans="2:2" ht="15.75" customHeight="1">
      <c r="B213" s="1"/>
    </row>
    <row r="214" spans="2:2" ht="15.75" customHeight="1">
      <c r="B214" s="1"/>
    </row>
    <row r="215" spans="2:2" ht="15.75" customHeight="1">
      <c r="B215" s="1"/>
    </row>
    <row r="216" spans="2:2" ht="15.75" customHeight="1">
      <c r="B216" s="1"/>
    </row>
    <row r="217" spans="2:2" ht="15.75" customHeight="1">
      <c r="B217" s="1"/>
    </row>
    <row r="218" spans="2:2" ht="15.75" customHeight="1">
      <c r="B218" s="1"/>
    </row>
    <row r="219" spans="2:2" ht="15.75" customHeight="1">
      <c r="B219" s="1"/>
    </row>
    <row r="220" spans="2:2" ht="15.75" customHeight="1">
      <c r="B220" s="1"/>
    </row>
    <row r="221" spans="2:2" ht="15.75" customHeight="1">
      <c r="B221" s="1"/>
    </row>
    <row r="222" spans="2:2" ht="15.75" customHeight="1">
      <c r="B222" s="1"/>
    </row>
    <row r="223" spans="2:2" ht="15.75" customHeight="1">
      <c r="B223" s="1"/>
    </row>
    <row r="224" spans="2:2" ht="15.75" customHeight="1">
      <c r="B224" s="1"/>
    </row>
    <row r="225" spans="2:2" ht="15.75" customHeight="1">
      <c r="B225" s="1"/>
    </row>
    <row r="226" spans="2:2" ht="15.75" customHeight="1">
      <c r="B226" s="1"/>
    </row>
    <row r="227" spans="2:2" ht="15.75" customHeight="1">
      <c r="B227" s="1"/>
    </row>
    <row r="228" spans="2:2" ht="15.75" customHeight="1">
      <c r="B228" s="1"/>
    </row>
    <row r="229" spans="2:2" ht="15.75" customHeight="1">
      <c r="B229" s="1"/>
    </row>
    <row r="230" spans="2:2" ht="15.75" customHeight="1">
      <c r="B230" s="1"/>
    </row>
    <row r="231" spans="2:2" ht="15.75" customHeight="1">
      <c r="B231" s="1"/>
    </row>
    <row r="232" spans="2:2" ht="15.75" customHeight="1">
      <c r="B232" s="1"/>
    </row>
    <row r="233" spans="2:2" ht="15.75" customHeight="1">
      <c r="B233" s="1"/>
    </row>
    <row r="234" spans="2:2" ht="15.75" customHeight="1">
      <c r="B234" s="1"/>
    </row>
    <row r="235" spans="2:2" ht="15.75" customHeight="1">
      <c r="B235" s="1"/>
    </row>
    <row r="236" spans="2:2" ht="15.75" customHeight="1">
      <c r="B236" s="1"/>
    </row>
    <row r="237" spans="2:2" ht="15.75" customHeight="1">
      <c r="B237" s="1"/>
    </row>
    <row r="238" spans="2:2" ht="15.75" customHeight="1">
      <c r="B238" s="1"/>
    </row>
    <row r="239" spans="2:2" ht="15.75" customHeight="1">
      <c r="B239" s="1"/>
    </row>
    <row r="240" spans="2:2" ht="15.75" customHeight="1">
      <c r="B240" s="1"/>
    </row>
    <row r="241" spans="2:2" ht="15.75" customHeight="1">
      <c r="B241" s="1"/>
    </row>
    <row r="242" spans="2:2" ht="15.75" customHeight="1">
      <c r="B242" s="1"/>
    </row>
    <row r="243" spans="2:2" ht="15.75" customHeight="1">
      <c r="B243" s="1"/>
    </row>
    <row r="244" spans="2:2" ht="15.75" customHeight="1">
      <c r="B244" s="1"/>
    </row>
    <row r="245" spans="2:2" ht="15.75" customHeight="1">
      <c r="B245" s="1"/>
    </row>
    <row r="246" spans="2:2" ht="15.75" customHeight="1">
      <c r="B246" s="1"/>
    </row>
    <row r="247" spans="2:2" ht="15.75" customHeight="1">
      <c r="B247" s="1"/>
    </row>
    <row r="248" spans="2:2" ht="15.75" customHeight="1">
      <c r="B248" s="1"/>
    </row>
    <row r="249" spans="2:2" ht="15.75" customHeight="1">
      <c r="B249" s="1"/>
    </row>
    <row r="250" spans="2:2" ht="15.75" customHeight="1">
      <c r="B250" s="1"/>
    </row>
    <row r="251" spans="2:2" ht="15.75" customHeight="1">
      <c r="B251" s="1"/>
    </row>
    <row r="252" spans="2:2" ht="15.75" customHeight="1">
      <c r="B252" s="1"/>
    </row>
    <row r="253" spans="2:2" ht="15.75" customHeight="1">
      <c r="B253" s="1"/>
    </row>
    <row r="254" spans="2:2" ht="15.75" customHeight="1">
      <c r="B254" s="1"/>
    </row>
    <row r="255" spans="2:2" ht="15.75" customHeight="1">
      <c r="B255" s="1"/>
    </row>
    <row r="256" spans="2:2" ht="15.75" customHeight="1">
      <c r="B256" s="1"/>
    </row>
    <row r="257" spans="2:2" ht="15.75" customHeight="1">
      <c r="B257" s="1"/>
    </row>
    <row r="258" spans="2:2" ht="15.75" customHeight="1">
      <c r="B258" s="1"/>
    </row>
    <row r="259" spans="2:2" ht="15.75" customHeight="1">
      <c r="B259" s="1"/>
    </row>
    <row r="260" spans="2:2" ht="15.75" customHeight="1">
      <c r="B260" s="1"/>
    </row>
    <row r="261" spans="2:2" ht="15.75" customHeight="1">
      <c r="B261" s="1"/>
    </row>
    <row r="262" spans="2:2" ht="15.75" customHeight="1">
      <c r="B262" s="1"/>
    </row>
    <row r="263" spans="2:2" ht="15.75" customHeight="1">
      <c r="B263" s="1"/>
    </row>
    <row r="264" spans="2:2" ht="15.75" customHeight="1">
      <c r="B264" s="1"/>
    </row>
    <row r="265" spans="2:2" ht="15.75" customHeight="1">
      <c r="B265" s="1"/>
    </row>
    <row r="266" spans="2:2" ht="15.75" customHeight="1">
      <c r="B266" s="1"/>
    </row>
    <row r="267" spans="2:2" ht="15.75" customHeight="1">
      <c r="B267" s="1"/>
    </row>
    <row r="268" spans="2:2" ht="15.75" customHeight="1">
      <c r="B268" s="1"/>
    </row>
    <row r="269" spans="2:2" ht="15.75" customHeight="1">
      <c r="B269" s="1"/>
    </row>
    <row r="270" spans="2:2" ht="15.75" customHeight="1">
      <c r="B270" s="1"/>
    </row>
    <row r="271" spans="2:2" ht="15.75" customHeight="1">
      <c r="B271" s="1"/>
    </row>
    <row r="272" spans="2:2" ht="15.75" customHeight="1">
      <c r="B272" s="1"/>
    </row>
    <row r="273" spans="2:2" ht="15.75" customHeight="1">
      <c r="B273" s="1"/>
    </row>
    <row r="274" spans="2:2" ht="15.75" customHeight="1">
      <c r="B274" s="1"/>
    </row>
    <row r="275" spans="2:2" ht="15.75" customHeight="1">
      <c r="B275" s="1"/>
    </row>
    <row r="276" spans="2:2" ht="15.75" customHeight="1">
      <c r="B276" s="1"/>
    </row>
    <row r="277" spans="2:2" ht="15.75" customHeight="1">
      <c r="B277" s="1"/>
    </row>
    <row r="278" spans="2:2" ht="15.75" customHeight="1">
      <c r="B278" s="1"/>
    </row>
    <row r="279" spans="2:2" ht="15.75" customHeight="1">
      <c r="B279" s="1"/>
    </row>
    <row r="280" spans="2:2" ht="15.75" customHeight="1">
      <c r="B280" s="1"/>
    </row>
    <row r="281" spans="2:2" ht="15.75" customHeight="1">
      <c r="B281" s="1"/>
    </row>
    <row r="282" spans="2:2" ht="15.75" customHeight="1">
      <c r="B282" s="1"/>
    </row>
    <row r="283" spans="2:2" ht="15.75" customHeight="1">
      <c r="B283" s="1"/>
    </row>
    <row r="284" spans="2:2" ht="15.75" customHeight="1">
      <c r="B284" s="1"/>
    </row>
    <row r="285" spans="2:2" ht="15.75" customHeight="1">
      <c r="B285" s="1"/>
    </row>
    <row r="286" spans="2:2" ht="15.75" customHeight="1">
      <c r="B286" s="1"/>
    </row>
    <row r="287" spans="2:2" ht="15.75" customHeight="1">
      <c r="B287" s="1"/>
    </row>
    <row r="288" spans="2:2" ht="15.75" customHeight="1">
      <c r="B288" s="1"/>
    </row>
    <row r="289" spans="2:2" ht="15.75" customHeight="1">
      <c r="B289" s="1"/>
    </row>
    <row r="290" spans="2:2" ht="15.75" customHeight="1">
      <c r="B290" s="1"/>
    </row>
    <row r="291" spans="2:2" ht="15.75" customHeight="1">
      <c r="B291" s="1"/>
    </row>
    <row r="292" spans="2:2" ht="15.75" customHeight="1">
      <c r="B292" s="1"/>
    </row>
    <row r="293" spans="2:2" ht="15.75" customHeight="1">
      <c r="B293" s="1"/>
    </row>
    <row r="294" spans="2:2" ht="15.75" customHeight="1">
      <c r="B294" s="1"/>
    </row>
    <row r="295" spans="2:2" ht="15.75" customHeight="1">
      <c r="B295" s="1"/>
    </row>
    <row r="296" spans="2:2" ht="15.75" customHeight="1">
      <c r="B296" s="1"/>
    </row>
    <row r="297" spans="2:2" ht="15.75" customHeight="1">
      <c r="B297" s="1"/>
    </row>
    <row r="298" spans="2:2" ht="15.75" customHeight="1">
      <c r="B298" s="1"/>
    </row>
    <row r="299" spans="2:2" ht="15.75" customHeight="1">
      <c r="B299" s="1"/>
    </row>
    <row r="300" spans="2:2" ht="15.75" customHeight="1">
      <c r="B300" s="1"/>
    </row>
    <row r="301" spans="2:2" ht="15.75" customHeight="1">
      <c r="B301" s="1"/>
    </row>
    <row r="302" spans="2:2" ht="15.75" customHeight="1">
      <c r="B302" s="1"/>
    </row>
    <row r="303" spans="2:2" ht="15.75" customHeight="1">
      <c r="B303" s="1"/>
    </row>
    <row r="304" spans="2:2" ht="15.75" customHeight="1">
      <c r="B304" s="1"/>
    </row>
    <row r="305" spans="2:2" ht="15.75" customHeight="1">
      <c r="B305" s="1"/>
    </row>
    <row r="306" spans="2:2" ht="15.75" customHeight="1">
      <c r="B306" s="1"/>
    </row>
    <row r="307" spans="2:2" ht="15.75" customHeight="1">
      <c r="B307" s="1"/>
    </row>
    <row r="308" spans="2:2" ht="15.75" customHeight="1">
      <c r="B308" s="1"/>
    </row>
    <row r="309" spans="2:2" ht="15.75" customHeight="1">
      <c r="B309" s="1"/>
    </row>
    <row r="310" spans="2:2" ht="15.75" customHeight="1">
      <c r="B310" s="1"/>
    </row>
    <row r="311" spans="2:2" ht="15.75" customHeight="1">
      <c r="B311" s="1"/>
    </row>
    <row r="312" spans="2:2" ht="15.75" customHeight="1">
      <c r="B312" s="1"/>
    </row>
    <row r="313" spans="2:2" ht="15.75" customHeight="1">
      <c r="B313" s="1"/>
    </row>
    <row r="314" spans="2:2" ht="15.75" customHeight="1">
      <c r="B314" s="1"/>
    </row>
    <row r="315" spans="2:2" ht="15.75" customHeight="1">
      <c r="B315" s="1"/>
    </row>
    <row r="316" spans="2:2" ht="15.75" customHeight="1">
      <c r="B316" s="1"/>
    </row>
    <row r="317" spans="2:2" ht="15.75" customHeight="1">
      <c r="B317" s="1"/>
    </row>
    <row r="318" spans="2:2" ht="15.75" customHeight="1">
      <c r="B318" s="1"/>
    </row>
    <row r="319" spans="2:2" ht="15.75" customHeight="1">
      <c r="B319" s="1"/>
    </row>
    <row r="320" spans="2:2" ht="15.75" customHeight="1">
      <c r="B320" s="1"/>
    </row>
    <row r="321" spans="2:2" ht="15.75" customHeight="1">
      <c r="B321" s="1"/>
    </row>
    <row r="322" spans="2:2" ht="15.75" customHeight="1">
      <c r="B322" s="1"/>
    </row>
    <row r="323" spans="2:2" ht="15.75" customHeight="1">
      <c r="B323" s="1"/>
    </row>
    <row r="324" spans="2:2" ht="15.75" customHeight="1">
      <c r="B324" s="1"/>
    </row>
    <row r="325" spans="2:2" ht="15.75" customHeight="1">
      <c r="B325" s="1"/>
    </row>
    <row r="326" spans="2:2" ht="15.75" customHeight="1">
      <c r="B326" s="1"/>
    </row>
    <row r="327" spans="2:2" ht="15.75" customHeight="1">
      <c r="B327" s="1"/>
    </row>
    <row r="328" spans="2:2" ht="15.75" customHeight="1">
      <c r="B328" s="1"/>
    </row>
    <row r="329" spans="2:2" ht="15.75" customHeight="1">
      <c r="B329" s="1"/>
    </row>
    <row r="330" spans="2:2" ht="15.75" customHeight="1">
      <c r="B330" s="1"/>
    </row>
    <row r="331" spans="2:2" ht="15.75" customHeight="1">
      <c r="B331" s="1"/>
    </row>
    <row r="332" spans="2:2" ht="15.75" customHeight="1">
      <c r="B332" s="1"/>
    </row>
    <row r="333" spans="2:2" ht="15.75" customHeight="1">
      <c r="B333" s="1"/>
    </row>
    <row r="334" spans="2:2" ht="15.75" customHeight="1">
      <c r="B334" s="1"/>
    </row>
    <row r="335" spans="2:2" ht="15.75" customHeight="1">
      <c r="B335" s="1"/>
    </row>
    <row r="336" spans="2:2" ht="15.75" customHeight="1">
      <c r="B336" s="1"/>
    </row>
    <row r="337" spans="2:2" ht="15.75" customHeight="1">
      <c r="B337" s="1"/>
    </row>
    <row r="338" spans="2:2" ht="15.75" customHeight="1">
      <c r="B338" s="1"/>
    </row>
    <row r="339" spans="2:2" ht="15.75" customHeight="1">
      <c r="B339" s="1"/>
    </row>
    <row r="340" spans="2:2" ht="15.75" customHeight="1">
      <c r="B340" s="1"/>
    </row>
    <row r="341" spans="2:2" ht="15.75" customHeight="1">
      <c r="B341" s="1"/>
    </row>
    <row r="342" spans="2:2" ht="15.75" customHeight="1">
      <c r="B342" s="1"/>
    </row>
    <row r="343" spans="2:2" ht="15.75" customHeight="1">
      <c r="B343" s="1"/>
    </row>
    <row r="344" spans="2:2" ht="15.75" customHeight="1">
      <c r="B344" s="1"/>
    </row>
    <row r="345" spans="2:2" ht="15.75" customHeight="1">
      <c r="B345" s="1"/>
    </row>
    <row r="346" spans="2:2" ht="15.75" customHeight="1">
      <c r="B346" s="1"/>
    </row>
    <row r="347" spans="2:2" ht="15.75" customHeight="1">
      <c r="B347" s="1"/>
    </row>
    <row r="348" spans="2:2" ht="15.75" customHeight="1">
      <c r="B348" s="1"/>
    </row>
    <row r="349" spans="2:2" ht="15.75" customHeight="1">
      <c r="B349" s="1"/>
    </row>
    <row r="350" spans="2:2" ht="15.75" customHeight="1">
      <c r="B350" s="1"/>
    </row>
    <row r="351" spans="2:2" ht="15.75" customHeight="1">
      <c r="B351" s="1"/>
    </row>
    <row r="352" spans="2:2" ht="15.75" customHeight="1">
      <c r="B352" s="1"/>
    </row>
    <row r="353" spans="2:2" ht="15.75" customHeight="1">
      <c r="B353" s="1"/>
    </row>
    <row r="354" spans="2:2" ht="15.75" customHeight="1">
      <c r="B354" s="1"/>
    </row>
    <row r="355" spans="2:2" ht="15.75" customHeight="1">
      <c r="B355" s="1"/>
    </row>
    <row r="356" spans="2:2" ht="15.75" customHeight="1">
      <c r="B356" s="1"/>
    </row>
    <row r="357" spans="2:2" ht="15.75" customHeight="1">
      <c r="B357" s="1"/>
    </row>
    <row r="358" spans="2:2" ht="15.75" customHeight="1">
      <c r="B358" s="1"/>
    </row>
    <row r="359" spans="2:2" ht="15.75" customHeight="1">
      <c r="B359" s="1"/>
    </row>
    <row r="360" spans="2:2" ht="15.75" customHeight="1">
      <c r="B360" s="1"/>
    </row>
    <row r="361" spans="2:2" ht="15.75" customHeight="1">
      <c r="B361" s="1"/>
    </row>
    <row r="362" spans="2:2" ht="15.75" customHeight="1">
      <c r="B362" s="1"/>
    </row>
    <row r="363" spans="2:2" ht="15.75" customHeight="1">
      <c r="B363" s="1"/>
    </row>
    <row r="364" spans="2:2" ht="15.75" customHeight="1">
      <c r="B364" s="1"/>
    </row>
    <row r="365" spans="2:2" ht="15.75" customHeight="1">
      <c r="B365" s="1"/>
    </row>
    <row r="366" spans="2:2" ht="15.75" customHeight="1">
      <c r="B366" s="1"/>
    </row>
    <row r="367" spans="2:2" ht="15.75" customHeight="1">
      <c r="B367" s="1"/>
    </row>
    <row r="368" spans="2:2" ht="15.75" customHeight="1">
      <c r="B368" s="1"/>
    </row>
    <row r="369" spans="2:2" ht="15.75" customHeight="1">
      <c r="B369" s="1"/>
    </row>
    <row r="370" spans="2:2" ht="15.75" customHeight="1">
      <c r="B370" s="1"/>
    </row>
    <row r="371" spans="2:2" ht="15.75" customHeight="1">
      <c r="B371" s="1"/>
    </row>
    <row r="372" spans="2:2" ht="15.75" customHeight="1">
      <c r="B372" s="1"/>
    </row>
    <row r="373" spans="2:2" ht="15.75" customHeight="1">
      <c r="B373" s="1"/>
    </row>
    <row r="374" spans="2:2" ht="15.75" customHeight="1">
      <c r="B374" s="1"/>
    </row>
    <row r="375" spans="2:2" ht="15.75" customHeight="1">
      <c r="B375" s="1"/>
    </row>
    <row r="376" spans="2:2" ht="15.75" customHeight="1">
      <c r="B376" s="1"/>
    </row>
    <row r="377" spans="2:2" ht="15.75" customHeight="1">
      <c r="B377" s="1"/>
    </row>
    <row r="378" spans="2:2" ht="15.75" customHeight="1">
      <c r="B378" s="1"/>
    </row>
    <row r="379" spans="2:2" ht="15.75" customHeight="1">
      <c r="B379" s="1"/>
    </row>
    <row r="380" spans="2:2" ht="15.75" customHeight="1">
      <c r="B380" s="1"/>
    </row>
    <row r="381" spans="2:2" ht="15.75" customHeight="1">
      <c r="B381" s="1"/>
    </row>
    <row r="382" spans="2:2" ht="15.75" customHeight="1">
      <c r="B382" s="1"/>
    </row>
    <row r="383" spans="2:2" ht="15.75" customHeight="1">
      <c r="B383" s="1"/>
    </row>
    <row r="384" spans="2:2" ht="15.75" customHeight="1">
      <c r="B384" s="1"/>
    </row>
    <row r="385" spans="2:2" ht="15.75" customHeight="1">
      <c r="B385" s="1"/>
    </row>
    <row r="386" spans="2:2" ht="15.75" customHeight="1">
      <c r="B386" s="1"/>
    </row>
    <row r="387" spans="2:2" ht="15.75" customHeight="1">
      <c r="B387" s="1"/>
    </row>
    <row r="388" spans="2:2" ht="15.75" customHeight="1">
      <c r="B388" s="1"/>
    </row>
    <row r="389" spans="2:2" ht="15.75" customHeight="1">
      <c r="B389" s="1"/>
    </row>
    <row r="390" spans="2:2" ht="15.75" customHeight="1">
      <c r="B390" s="1"/>
    </row>
    <row r="391" spans="2:2" ht="15.75" customHeight="1">
      <c r="B391" s="1"/>
    </row>
    <row r="392" spans="2:2" ht="15.75" customHeight="1">
      <c r="B392" s="1"/>
    </row>
    <row r="393" spans="2:2" ht="15.75" customHeight="1">
      <c r="B393" s="1"/>
    </row>
    <row r="394" spans="2:2" ht="15.75" customHeight="1">
      <c r="B394" s="1"/>
    </row>
    <row r="395" spans="2:2" ht="15.75" customHeight="1">
      <c r="B395" s="1"/>
    </row>
    <row r="396" spans="2:2" ht="15.75" customHeight="1">
      <c r="B396" s="1"/>
    </row>
    <row r="397" spans="2:2" ht="15.75" customHeight="1">
      <c r="B397" s="1"/>
    </row>
    <row r="398" spans="2:2" ht="15.75" customHeight="1">
      <c r="B398" s="1"/>
    </row>
    <row r="399" spans="2:2" ht="15.75" customHeight="1">
      <c r="B399" s="1"/>
    </row>
    <row r="400" spans="2:2" ht="15.75" customHeight="1">
      <c r="B400" s="1"/>
    </row>
    <row r="401" spans="2:2" ht="15.75" customHeight="1">
      <c r="B401" s="1"/>
    </row>
    <row r="402" spans="2:2" ht="15.75" customHeight="1">
      <c r="B402" s="1"/>
    </row>
    <row r="403" spans="2:2" ht="15.75" customHeight="1">
      <c r="B403" s="1"/>
    </row>
    <row r="404" spans="2:2" ht="15.75" customHeight="1">
      <c r="B404" s="1"/>
    </row>
    <row r="405" spans="2:2" ht="15.75" customHeight="1">
      <c r="B405" s="1"/>
    </row>
    <row r="406" spans="2:2" ht="15.75" customHeight="1">
      <c r="B406" s="1"/>
    </row>
    <row r="407" spans="2:2" ht="15.75" customHeight="1">
      <c r="B407" s="1"/>
    </row>
    <row r="408" spans="2:2" ht="15.75" customHeight="1">
      <c r="B408" s="1"/>
    </row>
    <row r="409" spans="2:2" ht="15.75" customHeight="1">
      <c r="B409" s="1"/>
    </row>
    <row r="410" spans="2:2" ht="15.75" customHeight="1">
      <c r="B410" s="1"/>
    </row>
    <row r="411" spans="2:2" ht="15.75" customHeight="1">
      <c r="B411" s="1"/>
    </row>
    <row r="412" spans="2:2" ht="15.75" customHeight="1">
      <c r="B412" s="1"/>
    </row>
    <row r="413" spans="2:2" ht="15.75" customHeight="1">
      <c r="B413" s="1"/>
    </row>
    <row r="414" spans="2:2" ht="15.75" customHeight="1">
      <c r="B414" s="1"/>
    </row>
    <row r="415" spans="2:2" ht="15.75" customHeight="1">
      <c r="B415" s="1"/>
    </row>
    <row r="416" spans="2:2" ht="15.75" customHeight="1">
      <c r="B416" s="1"/>
    </row>
    <row r="417" spans="2:2" ht="15.75" customHeight="1">
      <c r="B417" s="1"/>
    </row>
    <row r="418" spans="2:2" ht="15.75" customHeight="1">
      <c r="B418" s="1"/>
    </row>
    <row r="419" spans="2:2" ht="15.75" customHeight="1">
      <c r="B419" s="1"/>
    </row>
    <row r="420" spans="2:2" ht="15.75" customHeight="1">
      <c r="B420" s="1"/>
    </row>
    <row r="421" spans="2:2" ht="15.75" customHeight="1">
      <c r="B421" s="1"/>
    </row>
    <row r="422" spans="2:2" ht="15.75" customHeight="1">
      <c r="B422" s="1"/>
    </row>
    <row r="423" spans="2:2" ht="15.75" customHeight="1">
      <c r="B423" s="1"/>
    </row>
    <row r="424" spans="2:2" ht="15.75" customHeight="1">
      <c r="B424" s="1"/>
    </row>
    <row r="425" spans="2:2" ht="15.75" customHeight="1">
      <c r="B425" s="1"/>
    </row>
    <row r="426" spans="2:2" ht="15.75" customHeight="1">
      <c r="B426" s="1"/>
    </row>
    <row r="427" spans="2:2" ht="15.75" customHeight="1">
      <c r="B427" s="1"/>
    </row>
    <row r="428" spans="2:2" ht="15.75" customHeight="1">
      <c r="B428" s="1"/>
    </row>
    <row r="429" spans="2:2" ht="15.75" customHeight="1">
      <c r="B429" s="1"/>
    </row>
    <row r="430" spans="2:2" ht="15.75" customHeight="1">
      <c r="B430" s="1"/>
    </row>
    <row r="431" spans="2:2" ht="15.75" customHeight="1">
      <c r="B431" s="1"/>
    </row>
    <row r="432" spans="2:2" ht="15.75" customHeight="1">
      <c r="B432" s="1"/>
    </row>
    <row r="433" spans="2:2" ht="15.75" customHeight="1">
      <c r="B433" s="1"/>
    </row>
    <row r="434" spans="2:2" ht="15.75" customHeight="1">
      <c r="B434" s="1"/>
    </row>
    <row r="435" spans="2:2" ht="15.75" customHeight="1">
      <c r="B435" s="1"/>
    </row>
    <row r="436" spans="2:2" ht="15.75" customHeight="1">
      <c r="B436" s="1"/>
    </row>
    <row r="437" spans="2:2" ht="15.75" customHeight="1">
      <c r="B437" s="1"/>
    </row>
    <row r="438" spans="2:2" ht="15.75" customHeight="1">
      <c r="B438" s="1"/>
    </row>
    <row r="439" spans="2:2" ht="15.75" customHeight="1">
      <c r="B439" s="1"/>
    </row>
    <row r="440" spans="2:2" ht="15.75" customHeight="1">
      <c r="B440" s="1"/>
    </row>
    <row r="441" spans="2:2" ht="15.75" customHeight="1">
      <c r="B441" s="1"/>
    </row>
    <row r="442" spans="2:2" ht="15.75" customHeight="1">
      <c r="B442" s="1"/>
    </row>
    <row r="443" spans="2:2" ht="15.75" customHeight="1">
      <c r="B443" s="1"/>
    </row>
    <row r="444" spans="2:2" ht="15.75" customHeight="1">
      <c r="B444" s="1"/>
    </row>
    <row r="445" spans="2:2" ht="15.75" customHeight="1">
      <c r="B445" s="1"/>
    </row>
    <row r="446" spans="2:2" ht="15.75" customHeight="1">
      <c r="B446" s="1"/>
    </row>
    <row r="447" spans="2:2" ht="15.75" customHeight="1">
      <c r="B447" s="1"/>
    </row>
    <row r="448" spans="2:2" ht="15.75" customHeight="1">
      <c r="B448" s="1"/>
    </row>
    <row r="449" spans="2:2" ht="15.75" customHeight="1">
      <c r="B449" s="1"/>
    </row>
    <row r="450" spans="2:2" ht="15.75" customHeight="1">
      <c r="B450" s="1"/>
    </row>
    <row r="451" spans="2:2" ht="15.75" customHeight="1">
      <c r="B451" s="1"/>
    </row>
    <row r="452" spans="2:2" ht="15.75" customHeight="1">
      <c r="B452" s="1"/>
    </row>
    <row r="453" spans="2:2" ht="15.75" customHeight="1">
      <c r="B453" s="1"/>
    </row>
    <row r="454" spans="2:2" ht="15.75" customHeight="1">
      <c r="B454" s="1"/>
    </row>
    <row r="455" spans="2:2" ht="15.75" customHeight="1">
      <c r="B455" s="1"/>
    </row>
    <row r="456" spans="2:2" ht="15.75" customHeight="1">
      <c r="B456" s="1"/>
    </row>
    <row r="457" spans="2:2" ht="15.75" customHeight="1">
      <c r="B457" s="1"/>
    </row>
    <row r="458" spans="2:2" ht="15.75" customHeight="1">
      <c r="B458" s="1"/>
    </row>
    <row r="459" spans="2:2" ht="15.75" customHeight="1">
      <c r="B459" s="1"/>
    </row>
    <row r="460" spans="2:2" ht="15.75" customHeight="1">
      <c r="B460" s="1"/>
    </row>
    <row r="461" spans="2:2" ht="15.75" customHeight="1">
      <c r="B461" s="1"/>
    </row>
    <row r="462" spans="2:2" ht="15.75" customHeight="1">
      <c r="B462" s="1"/>
    </row>
    <row r="463" spans="2:2" ht="15.75" customHeight="1">
      <c r="B463" s="1"/>
    </row>
    <row r="464" spans="2:2" ht="15.75" customHeight="1">
      <c r="B464" s="1"/>
    </row>
    <row r="465" spans="2:2" ht="15.75" customHeight="1">
      <c r="B465" s="1"/>
    </row>
    <row r="466" spans="2:2" ht="15.75" customHeight="1">
      <c r="B466" s="1"/>
    </row>
    <row r="467" spans="2:2" ht="15.75" customHeight="1">
      <c r="B467" s="1"/>
    </row>
    <row r="468" spans="2:2" ht="15.75" customHeight="1">
      <c r="B468" s="1"/>
    </row>
    <row r="469" spans="2:2" ht="15.75" customHeight="1">
      <c r="B469" s="1"/>
    </row>
    <row r="470" spans="2:2" ht="15.75" customHeight="1">
      <c r="B470" s="1"/>
    </row>
    <row r="471" spans="2:2" ht="15.75" customHeight="1">
      <c r="B471" s="1"/>
    </row>
    <row r="472" spans="2:2" ht="15.75" customHeight="1">
      <c r="B472" s="1"/>
    </row>
    <row r="473" spans="2:2" ht="15.75" customHeight="1">
      <c r="B473" s="1"/>
    </row>
    <row r="474" spans="2:2" ht="15.75" customHeight="1">
      <c r="B474" s="1"/>
    </row>
    <row r="475" spans="2:2" ht="15.75" customHeight="1">
      <c r="B475" s="1"/>
    </row>
    <row r="476" spans="2:2" ht="15.75" customHeight="1">
      <c r="B476" s="1"/>
    </row>
    <row r="477" spans="2:2" ht="15.75" customHeight="1">
      <c r="B477" s="1"/>
    </row>
    <row r="478" spans="2:2" ht="15.75" customHeight="1">
      <c r="B478" s="1"/>
    </row>
    <row r="479" spans="2:2" ht="15.75" customHeight="1">
      <c r="B479" s="1"/>
    </row>
    <row r="480" spans="2:2" ht="15.75" customHeight="1">
      <c r="B480" s="1"/>
    </row>
    <row r="481" spans="2:2" ht="15.75" customHeight="1">
      <c r="B481" s="1"/>
    </row>
    <row r="482" spans="2:2" ht="15.75" customHeight="1">
      <c r="B482" s="1"/>
    </row>
    <row r="483" spans="2:2" ht="15.75" customHeight="1">
      <c r="B483" s="1"/>
    </row>
    <row r="484" spans="2:2" ht="15.75" customHeight="1">
      <c r="B484" s="1"/>
    </row>
    <row r="485" spans="2:2" ht="15.75" customHeight="1">
      <c r="B485" s="1"/>
    </row>
    <row r="486" spans="2:2" ht="15.75" customHeight="1">
      <c r="B486" s="1"/>
    </row>
    <row r="487" spans="2:2" ht="15.75" customHeight="1">
      <c r="B487" s="1"/>
    </row>
    <row r="488" spans="2:2" ht="15.75" customHeight="1">
      <c r="B488" s="1"/>
    </row>
    <row r="489" spans="2:2" ht="15.75" customHeight="1">
      <c r="B489" s="1"/>
    </row>
    <row r="490" spans="2:2" ht="15.75" customHeight="1">
      <c r="B490" s="1"/>
    </row>
    <row r="491" spans="2:2" ht="15.75" customHeight="1">
      <c r="B491" s="1"/>
    </row>
    <row r="492" spans="2:2" ht="15.75" customHeight="1">
      <c r="B492" s="1"/>
    </row>
    <row r="493" spans="2:2" ht="15.75" customHeight="1">
      <c r="B493" s="1"/>
    </row>
    <row r="494" spans="2:2" ht="15.75" customHeight="1">
      <c r="B494" s="1"/>
    </row>
    <row r="495" spans="2:2" ht="15.75" customHeight="1">
      <c r="B495" s="1"/>
    </row>
    <row r="496" spans="2:2" ht="15.75" customHeight="1">
      <c r="B496" s="1"/>
    </row>
    <row r="497" spans="2:2" ht="15.75" customHeight="1">
      <c r="B497" s="1"/>
    </row>
    <row r="498" spans="2:2" ht="15.75" customHeight="1">
      <c r="B498" s="1"/>
    </row>
    <row r="499" spans="2:2" ht="15.75" customHeight="1">
      <c r="B499" s="1"/>
    </row>
    <row r="500" spans="2:2" ht="15.75" customHeight="1">
      <c r="B500" s="1"/>
    </row>
    <row r="501" spans="2:2" ht="15.75" customHeight="1">
      <c r="B501" s="1"/>
    </row>
    <row r="502" spans="2:2" ht="15.75" customHeight="1">
      <c r="B502" s="1"/>
    </row>
    <row r="503" spans="2:2" ht="15.75" customHeight="1">
      <c r="B503" s="1"/>
    </row>
    <row r="504" spans="2:2" ht="15.75" customHeight="1">
      <c r="B504" s="1"/>
    </row>
    <row r="505" spans="2:2" ht="15.75" customHeight="1">
      <c r="B505" s="1"/>
    </row>
    <row r="506" spans="2:2" ht="15.75" customHeight="1">
      <c r="B506" s="1"/>
    </row>
    <row r="507" spans="2:2" ht="15.75" customHeight="1">
      <c r="B507" s="1"/>
    </row>
    <row r="508" spans="2:2" ht="15.75" customHeight="1">
      <c r="B508" s="1"/>
    </row>
    <row r="509" spans="2:2" ht="15.75" customHeight="1">
      <c r="B509" s="1"/>
    </row>
    <row r="510" spans="2:2" ht="15.75" customHeight="1">
      <c r="B510" s="1"/>
    </row>
    <row r="511" spans="2:2" ht="15.75" customHeight="1">
      <c r="B511" s="1"/>
    </row>
    <row r="512" spans="2:2" ht="15.75" customHeight="1">
      <c r="B512" s="1"/>
    </row>
    <row r="513" spans="2:2" ht="15.75" customHeight="1">
      <c r="B513" s="1"/>
    </row>
    <row r="514" spans="2:2" ht="15.75" customHeight="1">
      <c r="B514" s="1"/>
    </row>
    <row r="515" spans="2:2" ht="15.75" customHeight="1">
      <c r="B515" s="1"/>
    </row>
    <row r="516" spans="2:2" ht="15.75" customHeight="1">
      <c r="B516" s="1"/>
    </row>
    <row r="517" spans="2:2" ht="15.75" customHeight="1">
      <c r="B517" s="1"/>
    </row>
    <row r="518" spans="2:2" ht="15.75" customHeight="1">
      <c r="B518" s="1"/>
    </row>
    <row r="519" spans="2:2" ht="15.75" customHeight="1">
      <c r="B519" s="1"/>
    </row>
    <row r="520" spans="2:2" ht="15.75" customHeight="1">
      <c r="B520" s="1"/>
    </row>
    <row r="521" spans="2:2" ht="15.75" customHeight="1">
      <c r="B521" s="1"/>
    </row>
    <row r="522" spans="2:2" ht="15.75" customHeight="1">
      <c r="B522" s="1"/>
    </row>
    <row r="523" spans="2:2" ht="15.75" customHeight="1">
      <c r="B523" s="1"/>
    </row>
    <row r="524" spans="2:2" ht="15.75" customHeight="1">
      <c r="B524" s="1"/>
    </row>
    <row r="525" spans="2:2" ht="15.75" customHeight="1">
      <c r="B525" s="1"/>
    </row>
    <row r="526" spans="2:2" ht="15.75" customHeight="1">
      <c r="B526" s="1"/>
    </row>
    <row r="527" spans="2:2" ht="15.75" customHeight="1">
      <c r="B527" s="1"/>
    </row>
    <row r="528" spans="2:2" ht="15.75" customHeight="1">
      <c r="B528" s="1"/>
    </row>
    <row r="529" spans="2:2" ht="15.75" customHeight="1">
      <c r="B529" s="1"/>
    </row>
    <row r="530" spans="2:2" ht="15.75" customHeight="1">
      <c r="B530" s="1"/>
    </row>
    <row r="531" spans="2:2" ht="15.75" customHeight="1">
      <c r="B531" s="1"/>
    </row>
    <row r="532" spans="2:2" ht="15.75" customHeight="1">
      <c r="B532" s="1"/>
    </row>
    <row r="533" spans="2:2" ht="15.75" customHeight="1">
      <c r="B533" s="1"/>
    </row>
    <row r="534" spans="2:2" ht="15.75" customHeight="1">
      <c r="B534" s="1"/>
    </row>
    <row r="535" spans="2:2" ht="15.75" customHeight="1">
      <c r="B535" s="1"/>
    </row>
    <row r="536" spans="2:2" ht="15.75" customHeight="1">
      <c r="B536" s="1"/>
    </row>
    <row r="537" spans="2:2" ht="15.75" customHeight="1">
      <c r="B537" s="1"/>
    </row>
    <row r="538" spans="2:2" ht="15.75" customHeight="1">
      <c r="B538" s="1"/>
    </row>
    <row r="539" spans="2:2" ht="15.75" customHeight="1">
      <c r="B539" s="1"/>
    </row>
    <row r="540" spans="2:2" ht="15.75" customHeight="1">
      <c r="B540" s="1"/>
    </row>
    <row r="541" spans="2:2" ht="15.75" customHeight="1">
      <c r="B541" s="1"/>
    </row>
    <row r="542" spans="2:2" ht="15.75" customHeight="1">
      <c r="B542" s="1"/>
    </row>
    <row r="543" spans="2:2" ht="15.75" customHeight="1">
      <c r="B543" s="1"/>
    </row>
    <row r="544" spans="2:2" ht="15.75" customHeight="1">
      <c r="B544" s="1"/>
    </row>
    <row r="545" spans="2:2" ht="15.75" customHeight="1">
      <c r="B545" s="1"/>
    </row>
    <row r="546" spans="2:2" ht="15.75" customHeight="1">
      <c r="B546" s="1"/>
    </row>
    <row r="547" spans="2:2" ht="15.75" customHeight="1">
      <c r="B547" s="1"/>
    </row>
    <row r="548" spans="2:2" ht="15.75" customHeight="1">
      <c r="B548" s="1"/>
    </row>
    <row r="549" spans="2:2" ht="15.75" customHeight="1">
      <c r="B549" s="1"/>
    </row>
    <row r="550" spans="2:2" ht="15.75" customHeight="1">
      <c r="B550" s="1"/>
    </row>
    <row r="551" spans="2:2" ht="15.75" customHeight="1">
      <c r="B551" s="1"/>
    </row>
    <row r="552" spans="2:2" ht="15.75" customHeight="1">
      <c r="B552" s="1"/>
    </row>
    <row r="553" spans="2:2" ht="15.75" customHeight="1">
      <c r="B553" s="1"/>
    </row>
    <row r="554" spans="2:2" ht="15.75" customHeight="1">
      <c r="B554" s="1"/>
    </row>
    <row r="555" spans="2:2" ht="15.75" customHeight="1">
      <c r="B555" s="1"/>
    </row>
    <row r="556" spans="2:2" ht="15.75" customHeight="1">
      <c r="B556" s="1"/>
    </row>
    <row r="557" spans="2:2" ht="15.75" customHeight="1">
      <c r="B557" s="1"/>
    </row>
    <row r="558" spans="2:2" ht="15.75" customHeight="1">
      <c r="B558" s="1"/>
    </row>
    <row r="559" spans="2:2" ht="15.75" customHeight="1">
      <c r="B559" s="1"/>
    </row>
    <row r="560" spans="2:2" ht="15.75" customHeight="1">
      <c r="B560" s="1"/>
    </row>
    <row r="561" spans="2:2" ht="15.75" customHeight="1">
      <c r="B561" s="1"/>
    </row>
    <row r="562" spans="2:2" ht="15.75" customHeight="1">
      <c r="B562" s="1"/>
    </row>
    <row r="563" spans="2:2" ht="15.75" customHeight="1">
      <c r="B563" s="1"/>
    </row>
    <row r="564" spans="2:2" ht="15.75" customHeight="1">
      <c r="B564" s="1"/>
    </row>
    <row r="565" spans="2:2" ht="15.75" customHeight="1">
      <c r="B565" s="1"/>
    </row>
    <row r="566" spans="2:2" ht="15.75" customHeight="1">
      <c r="B566" s="1"/>
    </row>
    <row r="567" spans="2:2" ht="15.75" customHeight="1">
      <c r="B567" s="1"/>
    </row>
    <row r="568" spans="2:2" ht="15.75" customHeight="1">
      <c r="B568" s="1"/>
    </row>
    <row r="569" spans="2:2" ht="15.75" customHeight="1">
      <c r="B569" s="1"/>
    </row>
    <row r="570" spans="2:2" ht="15.75" customHeight="1">
      <c r="B570" s="1"/>
    </row>
    <row r="571" spans="2:2" ht="15.75" customHeight="1">
      <c r="B571" s="1"/>
    </row>
    <row r="572" spans="2:2" ht="15.75" customHeight="1">
      <c r="B572" s="1"/>
    </row>
    <row r="573" spans="2:2" ht="15.75" customHeight="1">
      <c r="B573" s="1"/>
    </row>
    <row r="574" spans="2:2" ht="15.75" customHeight="1">
      <c r="B574" s="1"/>
    </row>
    <row r="575" spans="2:2" ht="15.75" customHeight="1">
      <c r="B575" s="1"/>
    </row>
    <row r="576" spans="2:2" ht="15.75" customHeight="1">
      <c r="B576" s="1"/>
    </row>
    <row r="577" spans="2:2" ht="15.75" customHeight="1">
      <c r="B577" s="1"/>
    </row>
    <row r="578" spans="2:2" ht="15.75" customHeight="1">
      <c r="B578" s="1"/>
    </row>
    <row r="579" spans="2:2" ht="15.75" customHeight="1">
      <c r="B579" s="1"/>
    </row>
    <row r="580" spans="2:2" ht="15.75" customHeight="1">
      <c r="B580" s="1"/>
    </row>
    <row r="581" spans="2:2" ht="15.75" customHeight="1">
      <c r="B581" s="1"/>
    </row>
    <row r="582" spans="2:2" ht="15.75" customHeight="1">
      <c r="B582" s="1"/>
    </row>
    <row r="583" spans="2:2" ht="15.75" customHeight="1">
      <c r="B583" s="1"/>
    </row>
    <row r="584" spans="2:2" ht="15.75" customHeight="1">
      <c r="B584" s="1"/>
    </row>
    <row r="585" spans="2:2" ht="15.75" customHeight="1">
      <c r="B585" s="1"/>
    </row>
    <row r="586" spans="2:2" ht="15.75" customHeight="1">
      <c r="B586" s="1"/>
    </row>
    <row r="587" spans="2:2" ht="15.75" customHeight="1">
      <c r="B587" s="1"/>
    </row>
    <row r="588" spans="2:2" ht="15.75" customHeight="1">
      <c r="B588" s="1"/>
    </row>
    <row r="589" spans="2:2" ht="15.75" customHeight="1">
      <c r="B589" s="1"/>
    </row>
    <row r="590" spans="2:2" ht="15.75" customHeight="1">
      <c r="B590" s="1"/>
    </row>
    <row r="591" spans="2:2" ht="15.75" customHeight="1">
      <c r="B591" s="1"/>
    </row>
    <row r="592" spans="2:2" ht="15.75" customHeight="1">
      <c r="B592" s="1"/>
    </row>
    <row r="593" spans="2:2" ht="15.75" customHeight="1">
      <c r="B593" s="1"/>
    </row>
    <row r="594" spans="2:2" ht="15.75" customHeight="1">
      <c r="B594" s="1"/>
    </row>
    <row r="595" spans="2:2" ht="15.75" customHeight="1">
      <c r="B595" s="1"/>
    </row>
    <row r="596" spans="2:2" ht="15.75" customHeight="1">
      <c r="B596" s="1"/>
    </row>
    <row r="597" spans="2:2" ht="15.75" customHeight="1">
      <c r="B597" s="1"/>
    </row>
    <row r="598" spans="2:2" ht="15.75" customHeight="1">
      <c r="B598" s="1"/>
    </row>
    <row r="599" spans="2:2" ht="15.75" customHeight="1">
      <c r="B599" s="1"/>
    </row>
    <row r="600" spans="2:2" ht="15.75" customHeight="1">
      <c r="B600" s="1"/>
    </row>
    <row r="601" spans="2:2" ht="15.75" customHeight="1">
      <c r="B601" s="1"/>
    </row>
    <row r="602" spans="2:2" ht="15.75" customHeight="1">
      <c r="B602" s="1"/>
    </row>
    <row r="603" spans="2:2" ht="15.75" customHeight="1">
      <c r="B603" s="1"/>
    </row>
    <row r="604" spans="2:2" ht="15.75" customHeight="1">
      <c r="B604" s="1"/>
    </row>
    <row r="605" spans="2:2" ht="15.75" customHeight="1">
      <c r="B605" s="1"/>
    </row>
    <row r="606" spans="2:2" ht="15.75" customHeight="1">
      <c r="B606" s="1"/>
    </row>
    <row r="607" spans="2:2" ht="15.75" customHeight="1">
      <c r="B607" s="1"/>
    </row>
    <row r="608" spans="2:2" ht="15.75" customHeight="1">
      <c r="B608" s="1"/>
    </row>
    <row r="609" spans="2:2" ht="15.75" customHeight="1">
      <c r="B609" s="1"/>
    </row>
    <row r="610" spans="2:2" ht="15.75" customHeight="1">
      <c r="B610" s="1"/>
    </row>
    <row r="611" spans="2:2" ht="15.75" customHeight="1">
      <c r="B611" s="1"/>
    </row>
    <row r="612" spans="2:2" ht="15.75" customHeight="1">
      <c r="B612" s="1"/>
    </row>
    <row r="613" spans="2:2" ht="15.75" customHeight="1">
      <c r="B613" s="1"/>
    </row>
    <row r="614" spans="2:2" ht="15.75" customHeight="1">
      <c r="B614" s="1"/>
    </row>
    <row r="615" spans="2:2" ht="15.75" customHeight="1">
      <c r="B615" s="1"/>
    </row>
    <row r="616" spans="2:2" ht="15.75" customHeight="1">
      <c r="B616" s="1"/>
    </row>
    <row r="617" spans="2:2" ht="15.75" customHeight="1">
      <c r="B617" s="1"/>
    </row>
    <row r="618" spans="2:2" ht="15.75" customHeight="1">
      <c r="B618" s="1"/>
    </row>
    <row r="619" spans="2:2" ht="15.75" customHeight="1">
      <c r="B619" s="1"/>
    </row>
    <row r="620" spans="2:2" ht="15.75" customHeight="1">
      <c r="B620" s="1"/>
    </row>
    <row r="621" spans="2:2" ht="15.75" customHeight="1">
      <c r="B621" s="1"/>
    </row>
    <row r="622" spans="2:2" ht="15.75" customHeight="1">
      <c r="B622" s="1"/>
    </row>
    <row r="623" spans="2:2" ht="15.75" customHeight="1">
      <c r="B623" s="1"/>
    </row>
    <row r="624" spans="2:2" ht="15.75" customHeight="1">
      <c r="B624" s="1"/>
    </row>
    <row r="625" spans="2:2" ht="15.75" customHeight="1">
      <c r="B625" s="1"/>
    </row>
    <row r="626" spans="2:2" ht="15.75" customHeight="1">
      <c r="B626" s="1"/>
    </row>
    <row r="627" spans="2:2" ht="15.75" customHeight="1">
      <c r="B627" s="1"/>
    </row>
    <row r="628" spans="2:2" ht="15.75" customHeight="1">
      <c r="B628" s="1"/>
    </row>
    <row r="629" spans="2:2" ht="15.75" customHeight="1">
      <c r="B629" s="1"/>
    </row>
    <row r="630" spans="2:2" ht="15.75" customHeight="1">
      <c r="B630" s="1"/>
    </row>
    <row r="631" spans="2:2" ht="15.75" customHeight="1">
      <c r="B631" s="1"/>
    </row>
    <row r="632" spans="2:2" ht="15.75" customHeight="1">
      <c r="B632" s="1"/>
    </row>
    <row r="633" spans="2:2" ht="15.75" customHeight="1">
      <c r="B633" s="1"/>
    </row>
    <row r="634" spans="2:2" ht="15.75" customHeight="1">
      <c r="B634" s="1"/>
    </row>
    <row r="635" spans="2:2" ht="15.75" customHeight="1">
      <c r="B635" s="1"/>
    </row>
    <row r="636" spans="2:2" ht="15.75" customHeight="1">
      <c r="B636" s="1"/>
    </row>
    <row r="637" spans="2:2" ht="15.75" customHeight="1">
      <c r="B637" s="1"/>
    </row>
    <row r="638" spans="2:2" ht="15.75" customHeight="1">
      <c r="B638" s="1"/>
    </row>
    <row r="639" spans="2:2" ht="15.75" customHeight="1">
      <c r="B639" s="1"/>
    </row>
    <row r="640" spans="2:2" ht="15.75" customHeight="1">
      <c r="B640" s="1"/>
    </row>
    <row r="641" spans="2:2" ht="15.75" customHeight="1">
      <c r="B641" s="1"/>
    </row>
    <row r="642" spans="2:2" ht="15.75" customHeight="1">
      <c r="B642" s="1"/>
    </row>
    <row r="643" spans="2:2" ht="15.75" customHeight="1">
      <c r="B643" s="1"/>
    </row>
    <row r="644" spans="2:2" ht="15.75" customHeight="1">
      <c r="B644" s="1"/>
    </row>
    <row r="645" spans="2:2" ht="15.75" customHeight="1">
      <c r="B645" s="1"/>
    </row>
    <row r="646" spans="2:2" ht="15.75" customHeight="1">
      <c r="B646" s="1"/>
    </row>
    <row r="647" spans="2:2" ht="15.75" customHeight="1">
      <c r="B647" s="1"/>
    </row>
    <row r="648" spans="2:2" ht="15.75" customHeight="1">
      <c r="B648" s="1"/>
    </row>
    <row r="649" spans="2:2" ht="15.75" customHeight="1">
      <c r="B649" s="1"/>
    </row>
    <row r="650" spans="2:2" ht="15.75" customHeight="1">
      <c r="B650" s="1"/>
    </row>
    <row r="651" spans="2:2" ht="15.75" customHeight="1">
      <c r="B651" s="1"/>
    </row>
    <row r="652" spans="2:2" ht="15.75" customHeight="1">
      <c r="B652" s="1"/>
    </row>
    <row r="653" spans="2:2" ht="15.75" customHeight="1">
      <c r="B653" s="1"/>
    </row>
    <row r="654" spans="2:2" ht="15.75" customHeight="1">
      <c r="B654" s="1"/>
    </row>
    <row r="655" spans="2:2" ht="15.75" customHeight="1">
      <c r="B655" s="1"/>
    </row>
    <row r="656" spans="2:2" ht="15.75" customHeight="1">
      <c r="B656" s="1"/>
    </row>
    <row r="657" spans="2:2" ht="15.75" customHeight="1">
      <c r="B657" s="1"/>
    </row>
    <row r="658" spans="2:2" ht="15.75" customHeight="1">
      <c r="B658" s="1"/>
    </row>
    <row r="659" spans="2:2" ht="15.75" customHeight="1">
      <c r="B659" s="1"/>
    </row>
    <row r="660" spans="2:2" ht="15.75" customHeight="1">
      <c r="B660" s="1"/>
    </row>
    <row r="661" spans="2:2" ht="15.75" customHeight="1">
      <c r="B661" s="1"/>
    </row>
    <row r="662" spans="2:2" ht="15.75" customHeight="1">
      <c r="B662" s="1"/>
    </row>
    <row r="663" spans="2:2" ht="15.75" customHeight="1">
      <c r="B663" s="1"/>
    </row>
    <row r="664" spans="2:2" ht="15.75" customHeight="1">
      <c r="B664" s="1"/>
    </row>
    <row r="665" spans="2:2" ht="15.75" customHeight="1">
      <c r="B665" s="1"/>
    </row>
    <row r="666" spans="2:2" ht="15.75" customHeight="1">
      <c r="B666" s="1"/>
    </row>
    <row r="667" spans="2:2" ht="15.75" customHeight="1">
      <c r="B667" s="1"/>
    </row>
    <row r="668" spans="2:2" ht="15.75" customHeight="1">
      <c r="B668" s="1"/>
    </row>
    <row r="669" spans="2:2" ht="15.75" customHeight="1">
      <c r="B669" s="1"/>
    </row>
    <row r="670" spans="2:2" ht="15.75" customHeight="1">
      <c r="B670" s="1"/>
    </row>
    <row r="671" spans="2:2" ht="15.75" customHeight="1">
      <c r="B671" s="1"/>
    </row>
    <row r="672" spans="2:2" ht="15.75" customHeight="1">
      <c r="B672" s="1"/>
    </row>
    <row r="673" spans="2:2" ht="15.75" customHeight="1">
      <c r="B673" s="1"/>
    </row>
    <row r="674" spans="2:2" ht="15.75" customHeight="1">
      <c r="B674" s="1"/>
    </row>
    <row r="675" spans="2:2" ht="15.75" customHeight="1">
      <c r="B675" s="1"/>
    </row>
    <row r="676" spans="2:2" ht="15.75" customHeight="1">
      <c r="B676" s="1"/>
    </row>
    <row r="677" spans="2:2" ht="15.75" customHeight="1">
      <c r="B677" s="1"/>
    </row>
    <row r="678" spans="2:2" ht="15.75" customHeight="1">
      <c r="B678" s="1"/>
    </row>
    <row r="679" spans="2:2" ht="15.75" customHeight="1">
      <c r="B679" s="1"/>
    </row>
    <row r="680" spans="2:2" ht="15.75" customHeight="1">
      <c r="B680" s="1"/>
    </row>
    <row r="681" spans="2:2" ht="15.75" customHeight="1">
      <c r="B681" s="1"/>
    </row>
    <row r="682" spans="2:2" ht="15.75" customHeight="1">
      <c r="B682" s="1"/>
    </row>
    <row r="683" spans="2:2" ht="15.75" customHeight="1">
      <c r="B683" s="1"/>
    </row>
    <row r="684" spans="2:2" ht="15.75" customHeight="1">
      <c r="B684" s="1"/>
    </row>
    <row r="685" spans="2:2" ht="15.75" customHeight="1">
      <c r="B685" s="1"/>
    </row>
    <row r="686" spans="2:2" ht="15.75" customHeight="1">
      <c r="B686" s="1"/>
    </row>
    <row r="687" spans="2:2" ht="15.75" customHeight="1">
      <c r="B687" s="1"/>
    </row>
    <row r="688" spans="2:2" ht="15.75" customHeight="1">
      <c r="B688" s="1"/>
    </row>
    <row r="689" spans="2:2" ht="15.75" customHeight="1">
      <c r="B689" s="1"/>
    </row>
    <row r="690" spans="2:2" ht="15.75" customHeight="1">
      <c r="B690" s="1"/>
    </row>
    <row r="691" spans="2:2" ht="15.75" customHeight="1">
      <c r="B691" s="1"/>
    </row>
    <row r="692" spans="2:2" ht="15.75" customHeight="1">
      <c r="B692" s="1"/>
    </row>
    <row r="693" spans="2:2" ht="15.75" customHeight="1">
      <c r="B693" s="1"/>
    </row>
    <row r="694" spans="2:2" ht="15.75" customHeight="1">
      <c r="B694" s="1"/>
    </row>
    <row r="695" spans="2:2" ht="15.75" customHeight="1">
      <c r="B695" s="1"/>
    </row>
    <row r="696" spans="2:2" ht="15.75" customHeight="1">
      <c r="B696" s="1"/>
    </row>
    <row r="697" spans="2:2" ht="15.75" customHeight="1">
      <c r="B697" s="1"/>
    </row>
    <row r="698" spans="2:2" ht="15.75" customHeight="1">
      <c r="B698" s="1"/>
    </row>
    <row r="699" spans="2:2" ht="15.75" customHeight="1">
      <c r="B699" s="1"/>
    </row>
    <row r="700" spans="2:2" ht="15.75" customHeight="1">
      <c r="B700" s="1"/>
    </row>
    <row r="701" spans="2:2" ht="15.75" customHeight="1">
      <c r="B701" s="1"/>
    </row>
    <row r="702" spans="2:2" ht="15.75" customHeight="1">
      <c r="B702" s="1"/>
    </row>
    <row r="703" spans="2:2" ht="15.75" customHeight="1">
      <c r="B703" s="1"/>
    </row>
    <row r="704" spans="2:2" ht="15.75" customHeight="1">
      <c r="B704" s="1"/>
    </row>
    <row r="705" spans="2:2" ht="15.75" customHeight="1">
      <c r="B705" s="1"/>
    </row>
    <row r="706" spans="2:2" ht="15.75" customHeight="1">
      <c r="B706" s="1"/>
    </row>
    <row r="707" spans="2:2" ht="15.75" customHeight="1">
      <c r="B707" s="1"/>
    </row>
    <row r="708" spans="2:2" ht="15.75" customHeight="1">
      <c r="B708" s="1"/>
    </row>
    <row r="709" spans="2:2" ht="15.75" customHeight="1">
      <c r="B709" s="1"/>
    </row>
    <row r="710" spans="2:2" ht="15.75" customHeight="1">
      <c r="B710" s="1"/>
    </row>
    <row r="711" spans="2:2" ht="15.75" customHeight="1">
      <c r="B711" s="1"/>
    </row>
    <row r="712" spans="2:2" ht="15.75" customHeight="1">
      <c r="B712" s="1"/>
    </row>
    <row r="713" spans="2:2" ht="15.75" customHeight="1">
      <c r="B713" s="1"/>
    </row>
    <row r="714" spans="2:2" ht="15.75" customHeight="1">
      <c r="B714" s="1"/>
    </row>
    <row r="715" spans="2:2" ht="15.75" customHeight="1">
      <c r="B715" s="1"/>
    </row>
    <row r="716" spans="2:2" ht="15.75" customHeight="1">
      <c r="B716" s="1"/>
    </row>
    <row r="717" spans="2:2" ht="15.75" customHeight="1">
      <c r="B717" s="1"/>
    </row>
    <row r="718" spans="2:2" ht="15.75" customHeight="1">
      <c r="B718" s="1"/>
    </row>
    <row r="719" spans="2:2" ht="15.75" customHeight="1">
      <c r="B719" s="1"/>
    </row>
    <row r="720" spans="2:2" ht="15.75" customHeight="1">
      <c r="B720" s="1"/>
    </row>
    <row r="721" spans="2:2" ht="15.75" customHeight="1">
      <c r="B721" s="1"/>
    </row>
    <row r="722" spans="2:2" ht="15.75" customHeight="1">
      <c r="B722" s="1"/>
    </row>
    <row r="723" spans="2:2" ht="15.75" customHeight="1">
      <c r="B723" s="1"/>
    </row>
    <row r="724" spans="2:2" ht="15.75" customHeight="1">
      <c r="B724" s="1"/>
    </row>
    <row r="725" spans="2:2" ht="15.75" customHeight="1">
      <c r="B725" s="1"/>
    </row>
    <row r="726" spans="2:2" ht="15.75" customHeight="1">
      <c r="B726" s="1"/>
    </row>
    <row r="727" spans="2:2" ht="15.75" customHeight="1">
      <c r="B727" s="1"/>
    </row>
    <row r="728" spans="2:2" ht="15.75" customHeight="1">
      <c r="B728" s="1"/>
    </row>
    <row r="729" spans="2:2" ht="15.75" customHeight="1">
      <c r="B729" s="1"/>
    </row>
    <row r="730" spans="2:2" ht="15.75" customHeight="1">
      <c r="B730" s="1"/>
    </row>
    <row r="731" spans="2:2" ht="15.75" customHeight="1">
      <c r="B731" s="1"/>
    </row>
    <row r="732" spans="2:2" ht="15.75" customHeight="1">
      <c r="B732" s="1"/>
    </row>
    <row r="733" spans="2:2" ht="15.75" customHeight="1">
      <c r="B733" s="1"/>
    </row>
    <row r="734" spans="2:2" ht="15.75" customHeight="1">
      <c r="B734" s="1"/>
    </row>
    <row r="735" spans="2:2" ht="15.75" customHeight="1">
      <c r="B735" s="1"/>
    </row>
    <row r="736" spans="2:2" ht="15.75" customHeight="1">
      <c r="B736" s="1"/>
    </row>
    <row r="737" spans="2:2" ht="15.75" customHeight="1">
      <c r="B737" s="1"/>
    </row>
    <row r="738" spans="2:2" ht="15.75" customHeight="1">
      <c r="B738" s="1"/>
    </row>
    <row r="739" spans="2:2" ht="15.75" customHeight="1">
      <c r="B739" s="1"/>
    </row>
    <row r="740" spans="2:2" ht="15.75" customHeight="1">
      <c r="B740" s="1"/>
    </row>
    <row r="741" spans="2:2" ht="15.75" customHeight="1">
      <c r="B741" s="1"/>
    </row>
    <row r="742" spans="2:2" ht="15.75" customHeight="1">
      <c r="B742" s="1"/>
    </row>
    <row r="743" spans="2:2" ht="15.75" customHeight="1">
      <c r="B743" s="1"/>
    </row>
    <row r="744" spans="2:2" ht="15.75" customHeight="1">
      <c r="B744" s="1"/>
    </row>
    <row r="745" spans="2:2" ht="15.75" customHeight="1">
      <c r="B745" s="1"/>
    </row>
    <row r="746" spans="2:2" ht="15.75" customHeight="1">
      <c r="B746" s="1"/>
    </row>
    <row r="747" spans="2:2" ht="15.75" customHeight="1">
      <c r="B747" s="1"/>
    </row>
    <row r="748" spans="2:2" ht="15.75" customHeight="1">
      <c r="B748" s="1"/>
    </row>
    <row r="749" spans="2:2" ht="15.75" customHeight="1">
      <c r="B749" s="1"/>
    </row>
    <row r="750" spans="2:2" ht="15.75" customHeight="1">
      <c r="B750" s="1"/>
    </row>
    <row r="751" spans="2:2" ht="15.75" customHeight="1">
      <c r="B751" s="1"/>
    </row>
    <row r="752" spans="2:2" ht="15.75" customHeight="1">
      <c r="B752" s="1"/>
    </row>
    <row r="753" spans="2:2" ht="15.75" customHeight="1">
      <c r="B753" s="1"/>
    </row>
    <row r="754" spans="2:2" ht="15.75" customHeight="1">
      <c r="B754" s="1"/>
    </row>
    <row r="755" spans="2:2" ht="15.75" customHeight="1">
      <c r="B755" s="1"/>
    </row>
    <row r="756" spans="2:2" ht="15.75" customHeight="1">
      <c r="B756" s="1"/>
    </row>
    <row r="757" spans="2:2" ht="15.75" customHeight="1">
      <c r="B757" s="1"/>
    </row>
    <row r="758" spans="2:2" ht="15.75" customHeight="1">
      <c r="B758" s="1"/>
    </row>
    <row r="759" spans="2:2" ht="15.75" customHeight="1">
      <c r="B759" s="1"/>
    </row>
    <row r="760" spans="2:2" ht="15.75" customHeight="1">
      <c r="B760" s="1"/>
    </row>
    <row r="761" spans="2:2" ht="15.75" customHeight="1">
      <c r="B761" s="1"/>
    </row>
    <row r="762" spans="2:2" ht="15.75" customHeight="1">
      <c r="B762" s="1"/>
    </row>
    <row r="763" spans="2:2" ht="15.75" customHeight="1">
      <c r="B763" s="1"/>
    </row>
    <row r="764" spans="2:2" ht="15.75" customHeight="1">
      <c r="B764" s="1"/>
    </row>
    <row r="765" spans="2:2" ht="15.75" customHeight="1">
      <c r="B765" s="1"/>
    </row>
    <row r="766" spans="2:2" ht="15.75" customHeight="1">
      <c r="B766" s="1"/>
    </row>
    <row r="767" spans="2:2" ht="15.75" customHeight="1">
      <c r="B767" s="1"/>
    </row>
    <row r="768" spans="2:2" ht="15.75" customHeight="1">
      <c r="B768" s="1"/>
    </row>
    <row r="769" spans="2:2" ht="15.75" customHeight="1">
      <c r="B769" s="1"/>
    </row>
    <row r="770" spans="2:2" ht="15.75" customHeight="1">
      <c r="B770" s="1"/>
    </row>
    <row r="771" spans="2:2" ht="15.75" customHeight="1">
      <c r="B771" s="1"/>
    </row>
    <row r="772" spans="2:2" ht="15.75" customHeight="1">
      <c r="B772" s="1"/>
    </row>
    <row r="773" spans="2:2" ht="15.75" customHeight="1">
      <c r="B773" s="1"/>
    </row>
    <row r="774" spans="2:2" ht="15.75" customHeight="1">
      <c r="B774" s="1"/>
    </row>
    <row r="775" spans="2:2" ht="15.75" customHeight="1">
      <c r="B775" s="1"/>
    </row>
    <row r="776" spans="2:2" ht="15.75" customHeight="1">
      <c r="B776" s="1"/>
    </row>
    <row r="777" spans="2:2" ht="15.75" customHeight="1">
      <c r="B777" s="1"/>
    </row>
    <row r="778" spans="2:2" ht="15.75" customHeight="1">
      <c r="B778" s="1"/>
    </row>
    <row r="779" spans="2:2" ht="15.75" customHeight="1">
      <c r="B779" s="1"/>
    </row>
    <row r="780" spans="2:2" ht="15.75" customHeight="1">
      <c r="B780" s="1"/>
    </row>
    <row r="781" spans="2:2" ht="15.75" customHeight="1">
      <c r="B781" s="1"/>
    </row>
    <row r="782" spans="2:2" ht="15.75" customHeight="1">
      <c r="B782" s="1"/>
    </row>
    <row r="783" spans="2:2" ht="15.75" customHeight="1">
      <c r="B783" s="1"/>
    </row>
    <row r="784" spans="2:2" ht="15.75" customHeight="1">
      <c r="B784" s="1"/>
    </row>
    <row r="785" spans="2:2" ht="15.75" customHeight="1">
      <c r="B785" s="1"/>
    </row>
    <row r="786" spans="2:2" ht="15.75" customHeight="1">
      <c r="B786" s="1"/>
    </row>
    <row r="787" spans="2:2" ht="15.75" customHeight="1">
      <c r="B787" s="1"/>
    </row>
    <row r="788" spans="2:2" ht="15.75" customHeight="1">
      <c r="B788" s="1"/>
    </row>
    <row r="789" spans="2:2" ht="15.75" customHeight="1">
      <c r="B789" s="1"/>
    </row>
    <row r="790" spans="2:2" ht="15.75" customHeight="1">
      <c r="B790" s="1"/>
    </row>
    <row r="791" spans="2:2" ht="15.75" customHeight="1">
      <c r="B791" s="1"/>
    </row>
    <row r="792" spans="2:2" ht="15.75" customHeight="1">
      <c r="B792" s="1"/>
    </row>
    <row r="793" spans="2:2" ht="15.75" customHeight="1">
      <c r="B793" s="1"/>
    </row>
    <row r="794" spans="2:2" ht="15.75" customHeight="1">
      <c r="B794" s="1"/>
    </row>
    <row r="795" spans="2:2" ht="15.75" customHeight="1">
      <c r="B795" s="1"/>
    </row>
    <row r="796" spans="2:2" ht="15.75" customHeight="1">
      <c r="B796" s="1"/>
    </row>
    <row r="797" spans="2:2" ht="15.75" customHeight="1">
      <c r="B797" s="1"/>
    </row>
    <row r="798" spans="2:2" ht="15.75" customHeight="1">
      <c r="B798" s="1"/>
    </row>
    <row r="799" spans="2:2" ht="15.75" customHeight="1">
      <c r="B799" s="1"/>
    </row>
    <row r="800" spans="2:2" ht="15.75" customHeight="1">
      <c r="B800" s="1"/>
    </row>
    <row r="801" spans="2:2" ht="15.75" customHeight="1">
      <c r="B801" s="1"/>
    </row>
    <row r="802" spans="2:2" ht="15.75" customHeight="1">
      <c r="B802" s="1"/>
    </row>
    <row r="803" spans="2:2" ht="15.75" customHeight="1">
      <c r="B803" s="1"/>
    </row>
    <row r="804" spans="2:2" ht="15.75" customHeight="1">
      <c r="B804" s="1"/>
    </row>
    <row r="805" spans="2:2" ht="15.75" customHeight="1">
      <c r="B805" s="1"/>
    </row>
    <row r="806" spans="2:2" ht="15.75" customHeight="1">
      <c r="B806" s="1"/>
    </row>
    <row r="807" spans="2:2" ht="15.75" customHeight="1">
      <c r="B807" s="1"/>
    </row>
    <row r="808" spans="2:2" ht="15.75" customHeight="1">
      <c r="B808" s="1"/>
    </row>
    <row r="809" spans="2:2" ht="15.75" customHeight="1">
      <c r="B809" s="1"/>
    </row>
    <row r="810" spans="2:2" ht="15.75" customHeight="1">
      <c r="B810" s="1"/>
    </row>
    <row r="811" spans="2:2" ht="15.75" customHeight="1">
      <c r="B811" s="1"/>
    </row>
    <row r="812" spans="2:2" ht="15.75" customHeight="1">
      <c r="B812" s="1"/>
    </row>
    <row r="813" spans="2:2" ht="15.75" customHeight="1">
      <c r="B813" s="1"/>
    </row>
    <row r="814" spans="2:2" ht="15.75" customHeight="1">
      <c r="B814" s="1"/>
    </row>
    <row r="815" spans="2:2" ht="15.75" customHeight="1">
      <c r="B815" s="1"/>
    </row>
    <row r="816" spans="2:2" ht="15.75" customHeight="1">
      <c r="B816" s="1"/>
    </row>
    <row r="817" spans="2:2" ht="15.75" customHeight="1">
      <c r="B817" s="1"/>
    </row>
    <row r="818" spans="2:2" ht="15.75" customHeight="1">
      <c r="B818" s="1"/>
    </row>
    <row r="819" spans="2:2" ht="15.75" customHeight="1">
      <c r="B819" s="1"/>
    </row>
    <row r="820" spans="2:2" ht="15.75" customHeight="1">
      <c r="B820" s="1"/>
    </row>
    <row r="821" spans="2:2" ht="15.75" customHeight="1">
      <c r="B821" s="1"/>
    </row>
    <row r="822" spans="2:2" ht="15.75" customHeight="1">
      <c r="B822" s="1"/>
    </row>
    <row r="823" spans="2:2" ht="15.75" customHeight="1">
      <c r="B823" s="1"/>
    </row>
    <row r="824" spans="2:2" ht="15.75" customHeight="1">
      <c r="B824" s="1"/>
    </row>
    <row r="825" spans="2:2" ht="15.75" customHeight="1">
      <c r="B825" s="1"/>
    </row>
    <row r="826" spans="2:2" ht="15.75" customHeight="1">
      <c r="B826" s="1"/>
    </row>
    <row r="827" spans="2:2" ht="15.75" customHeight="1">
      <c r="B827" s="1"/>
    </row>
    <row r="828" spans="2:2" ht="15.75" customHeight="1">
      <c r="B828" s="1"/>
    </row>
    <row r="829" spans="2:2" ht="15.75" customHeight="1">
      <c r="B829" s="1"/>
    </row>
    <row r="830" spans="2:2" ht="15.75" customHeight="1">
      <c r="B830" s="1"/>
    </row>
    <row r="831" spans="2:2" ht="15.75" customHeight="1">
      <c r="B831" s="1"/>
    </row>
    <row r="832" spans="2:2" ht="15.75" customHeight="1">
      <c r="B832" s="1"/>
    </row>
    <row r="833" spans="2:2" ht="15.75" customHeight="1">
      <c r="B833" s="1"/>
    </row>
    <row r="834" spans="2:2" ht="15.75" customHeight="1">
      <c r="B834" s="1"/>
    </row>
    <row r="835" spans="2:2" ht="15.75" customHeight="1">
      <c r="B835" s="1"/>
    </row>
    <row r="836" spans="2:2" ht="15.75" customHeight="1">
      <c r="B836" s="1"/>
    </row>
    <row r="837" spans="2:2" ht="15.75" customHeight="1">
      <c r="B837" s="1"/>
    </row>
    <row r="838" spans="2:2" ht="15.75" customHeight="1">
      <c r="B838" s="1"/>
    </row>
    <row r="839" spans="2:2" ht="15.75" customHeight="1">
      <c r="B839" s="1"/>
    </row>
    <row r="840" spans="2:2" ht="15.75" customHeight="1">
      <c r="B840" s="1"/>
    </row>
    <row r="841" spans="2:2" ht="15.75" customHeight="1">
      <c r="B841" s="1"/>
    </row>
    <row r="842" spans="2:2" ht="15.75" customHeight="1">
      <c r="B842" s="1"/>
    </row>
    <row r="843" spans="2:2" ht="15.75" customHeight="1">
      <c r="B843" s="1"/>
    </row>
    <row r="844" spans="2:2" ht="15.75" customHeight="1">
      <c r="B844" s="1"/>
    </row>
    <row r="845" spans="2:2" ht="15.75" customHeight="1">
      <c r="B845" s="1"/>
    </row>
    <row r="846" spans="2:2" ht="15.75" customHeight="1">
      <c r="B846" s="1"/>
    </row>
    <row r="847" spans="2:2" ht="15.75" customHeight="1">
      <c r="B847" s="1"/>
    </row>
    <row r="848" spans="2:2" ht="15.75" customHeight="1">
      <c r="B848" s="1"/>
    </row>
    <row r="849" spans="2:2" ht="15.75" customHeight="1">
      <c r="B849" s="1"/>
    </row>
    <row r="850" spans="2:2" ht="15.75" customHeight="1">
      <c r="B850" s="1"/>
    </row>
    <row r="851" spans="2:2" ht="15.75" customHeight="1">
      <c r="B851" s="1"/>
    </row>
    <row r="852" spans="2:2" ht="15.75" customHeight="1">
      <c r="B852" s="1"/>
    </row>
    <row r="853" spans="2:2" ht="15.75" customHeight="1">
      <c r="B853" s="1"/>
    </row>
    <row r="854" spans="2:2" ht="15.75" customHeight="1">
      <c r="B854" s="1"/>
    </row>
    <row r="855" spans="2:2" ht="15.75" customHeight="1">
      <c r="B855" s="1"/>
    </row>
    <row r="856" spans="2:2" ht="15.75" customHeight="1">
      <c r="B856" s="1"/>
    </row>
    <row r="857" spans="2:2" ht="15.75" customHeight="1">
      <c r="B857" s="1"/>
    </row>
    <row r="858" spans="2:2" ht="15.75" customHeight="1">
      <c r="B858" s="1"/>
    </row>
    <row r="859" spans="2:2" ht="15.75" customHeight="1">
      <c r="B859" s="1"/>
    </row>
    <row r="860" spans="2:2" ht="15.75" customHeight="1">
      <c r="B860" s="1"/>
    </row>
    <row r="861" spans="2:2" ht="15.75" customHeight="1">
      <c r="B861" s="1"/>
    </row>
    <row r="862" spans="2:2" ht="15.75" customHeight="1">
      <c r="B862" s="1"/>
    </row>
    <row r="863" spans="2:2" ht="15.75" customHeight="1">
      <c r="B863" s="1"/>
    </row>
    <row r="864" spans="2:2" ht="15.75" customHeight="1">
      <c r="B864" s="1"/>
    </row>
    <row r="865" spans="2:2" ht="15.75" customHeight="1">
      <c r="B865" s="1"/>
    </row>
    <row r="866" spans="2:2" ht="15.75" customHeight="1">
      <c r="B866" s="1"/>
    </row>
    <row r="867" spans="2:2" ht="15.75" customHeight="1">
      <c r="B867" s="1"/>
    </row>
    <row r="868" spans="2:2" ht="15.75" customHeight="1">
      <c r="B868" s="1"/>
    </row>
    <row r="869" spans="2:2" ht="15.75" customHeight="1">
      <c r="B869" s="1"/>
    </row>
    <row r="870" spans="2:2" ht="15.75" customHeight="1">
      <c r="B870" s="1"/>
    </row>
    <row r="871" spans="2:2" ht="15.75" customHeight="1">
      <c r="B871" s="1"/>
    </row>
    <row r="872" spans="2:2" ht="15.75" customHeight="1">
      <c r="B872" s="1"/>
    </row>
    <row r="873" spans="2:2" ht="15.75" customHeight="1">
      <c r="B873" s="1"/>
    </row>
    <row r="874" spans="2:2" ht="15.75" customHeight="1">
      <c r="B874" s="1"/>
    </row>
    <row r="875" spans="2:2" ht="15.75" customHeight="1">
      <c r="B875" s="1"/>
    </row>
    <row r="876" spans="2:2" ht="15.75" customHeight="1">
      <c r="B876" s="1"/>
    </row>
    <row r="877" spans="2:2" ht="15.75" customHeight="1">
      <c r="B877" s="1"/>
    </row>
    <row r="878" spans="2:2" ht="15.75" customHeight="1">
      <c r="B878" s="1"/>
    </row>
    <row r="879" spans="2:2" ht="15.75" customHeight="1">
      <c r="B879" s="1"/>
    </row>
    <row r="880" spans="2:2" ht="15.75" customHeight="1">
      <c r="B880" s="1"/>
    </row>
    <row r="881" spans="2:2" ht="15.75" customHeight="1">
      <c r="B881" s="1"/>
    </row>
    <row r="882" spans="2:2" ht="15.75" customHeight="1">
      <c r="B882" s="1"/>
    </row>
    <row r="883" spans="2:2" ht="15.75" customHeight="1">
      <c r="B883" s="1"/>
    </row>
    <row r="884" spans="2:2" ht="15.75" customHeight="1">
      <c r="B884" s="1"/>
    </row>
    <row r="885" spans="2:2" ht="15.75" customHeight="1">
      <c r="B885" s="1"/>
    </row>
    <row r="886" spans="2:2" ht="15.75" customHeight="1">
      <c r="B886" s="1"/>
    </row>
    <row r="887" spans="2:2" ht="15.75" customHeight="1">
      <c r="B887" s="1"/>
    </row>
    <row r="888" spans="2:2" ht="15.75" customHeight="1">
      <c r="B888" s="1"/>
    </row>
    <row r="889" spans="2:2" ht="15.75" customHeight="1">
      <c r="B889" s="1"/>
    </row>
    <row r="890" spans="2:2" ht="15.75" customHeight="1">
      <c r="B890" s="1"/>
    </row>
    <row r="891" spans="2:2" ht="15.75" customHeight="1">
      <c r="B891" s="1"/>
    </row>
    <row r="892" spans="2:2" ht="15.75" customHeight="1">
      <c r="B892" s="1"/>
    </row>
    <row r="893" spans="2:2" ht="15.75" customHeight="1">
      <c r="B893" s="1"/>
    </row>
    <row r="894" spans="2:2" ht="15.75" customHeight="1">
      <c r="B894" s="1"/>
    </row>
    <row r="895" spans="2:2" ht="15.75" customHeight="1">
      <c r="B895" s="1"/>
    </row>
    <row r="896" spans="2:2" ht="15.75" customHeight="1">
      <c r="B896" s="1"/>
    </row>
    <row r="897" spans="2:2" ht="15.75" customHeight="1">
      <c r="B897" s="1"/>
    </row>
    <row r="898" spans="2:2" ht="15.75" customHeight="1">
      <c r="B898" s="1"/>
    </row>
    <row r="899" spans="2:2" ht="15.75" customHeight="1">
      <c r="B899" s="1"/>
    </row>
    <row r="900" spans="2:2" ht="15.75" customHeight="1">
      <c r="B900" s="1"/>
    </row>
    <row r="901" spans="2:2" ht="15.75" customHeight="1">
      <c r="B901" s="1"/>
    </row>
    <row r="902" spans="2:2" ht="15.75" customHeight="1">
      <c r="B902" s="1"/>
    </row>
    <row r="903" spans="2:2" ht="15.75" customHeight="1">
      <c r="B903" s="1"/>
    </row>
    <row r="904" spans="2:2" ht="15.75" customHeight="1">
      <c r="B904" s="1"/>
    </row>
    <row r="905" spans="2:2" ht="15.75" customHeight="1">
      <c r="B905" s="1"/>
    </row>
    <row r="906" spans="2:2" ht="15.75" customHeight="1">
      <c r="B906" s="1"/>
    </row>
    <row r="907" spans="2:2" ht="15.75" customHeight="1">
      <c r="B907" s="1"/>
    </row>
    <row r="908" spans="2:2" ht="15.75" customHeight="1">
      <c r="B908" s="1"/>
    </row>
    <row r="909" spans="2:2" ht="15.75" customHeight="1">
      <c r="B909" s="1"/>
    </row>
    <row r="910" spans="2:2" ht="15.75" customHeight="1">
      <c r="B910" s="1"/>
    </row>
    <row r="911" spans="2:2" ht="15.75" customHeight="1">
      <c r="B911" s="1"/>
    </row>
    <row r="912" spans="2:2" ht="15.75" customHeight="1">
      <c r="B912" s="1"/>
    </row>
    <row r="913" spans="2:2" ht="15.75" customHeight="1">
      <c r="B913" s="1"/>
    </row>
    <row r="914" spans="2:2" ht="15.75" customHeight="1">
      <c r="B914" s="1"/>
    </row>
    <row r="915" spans="2:2" ht="15.75" customHeight="1">
      <c r="B915" s="1"/>
    </row>
    <row r="916" spans="2:2" ht="15.75" customHeight="1">
      <c r="B916" s="1"/>
    </row>
    <row r="917" spans="2:2" ht="15.75" customHeight="1">
      <c r="B917" s="1"/>
    </row>
    <row r="918" spans="2:2" ht="15.75" customHeight="1">
      <c r="B918" s="1"/>
    </row>
    <row r="919" spans="2:2" ht="15.75" customHeight="1">
      <c r="B919" s="1"/>
    </row>
    <row r="920" spans="2:2" ht="15.75" customHeight="1">
      <c r="B920" s="1"/>
    </row>
    <row r="921" spans="2:2" ht="15.75" customHeight="1">
      <c r="B921" s="1"/>
    </row>
    <row r="922" spans="2:2" ht="15.75" customHeight="1">
      <c r="B922" s="1"/>
    </row>
    <row r="923" spans="2:2" ht="15.75" customHeight="1">
      <c r="B923" s="1"/>
    </row>
    <row r="924" spans="2:2" ht="15.75" customHeight="1">
      <c r="B924" s="1"/>
    </row>
    <row r="925" spans="2:2" ht="15.75" customHeight="1">
      <c r="B925" s="1"/>
    </row>
    <row r="926" spans="2:2" ht="15.75" customHeight="1">
      <c r="B926" s="1"/>
    </row>
    <row r="927" spans="2:2" ht="15.75" customHeight="1">
      <c r="B927" s="1"/>
    </row>
    <row r="928" spans="2:2" ht="15.75" customHeight="1">
      <c r="B928" s="1"/>
    </row>
    <row r="929" spans="2:2" ht="15.75" customHeight="1">
      <c r="B929" s="1"/>
    </row>
    <row r="930" spans="2:2" ht="15.75" customHeight="1">
      <c r="B930" s="1"/>
    </row>
    <row r="931" spans="2:2" ht="15.75" customHeight="1">
      <c r="B931" s="1"/>
    </row>
    <row r="932" spans="2:2" ht="15.75" customHeight="1">
      <c r="B932" s="1"/>
    </row>
    <row r="933" spans="2:2" ht="15.75" customHeight="1">
      <c r="B933" s="1"/>
    </row>
    <row r="934" spans="2:2" ht="15.75" customHeight="1">
      <c r="B934" s="1"/>
    </row>
    <row r="935" spans="2:2" ht="15.75" customHeight="1">
      <c r="B935" s="1"/>
    </row>
    <row r="936" spans="2:2" ht="15.75" customHeight="1">
      <c r="B936" s="1"/>
    </row>
    <row r="937" spans="2:2" ht="15.75" customHeight="1">
      <c r="B937" s="1"/>
    </row>
    <row r="938" spans="2:2" ht="15.75" customHeight="1">
      <c r="B938" s="1"/>
    </row>
    <row r="939" spans="2:2" ht="15.75" customHeight="1">
      <c r="B939" s="1"/>
    </row>
    <row r="940" spans="2:2" ht="15.75" customHeight="1">
      <c r="B940" s="1"/>
    </row>
    <row r="941" spans="2:2" ht="15.75" customHeight="1">
      <c r="B941" s="1"/>
    </row>
    <row r="942" spans="2:2" ht="15.75" customHeight="1">
      <c r="B942" s="1"/>
    </row>
    <row r="943" spans="2:2" ht="15.75" customHeight="1">
      <c r="B943" s="1"/>
    </row>
    <row r="944" spans="2:2" ht="15.75" customHeight="1">
      <c r="B944" s="1"/>
    </row>
    <row r="945" spans="2:2" ht="15.75" customHeight="1">
      <c r="B945" s="1"/>
    </row>
    <row r="946" spans="2:2" ht="15.75" customHeight="1">
      <c r="B946" s="1"/>
    </row>
    <row r="947" spans="2:2" ht="15.75" customHeight="1">
      <c r="B947" s="1"/>
    </row>
    <row r="948" spans="2:2" ht="15.75" customHeight="1">
      <c r="B948" s="1"/>
    </row>
    <row r="949" spans="2:2" ht="15.75" customHeight="1">
      <c r="B949" s="1"/>
    </row>
    <row r="950" spans="2:2" ht="15.75" customHeight="1">
      <c r="B950" s="1"/>
    </row>
    <row r="951" spans="2:2" ht="15.75" customHeight="1">
      <c r="B951" s="1"/>
    </row>
    <row r="952" spans="2:2" ht="15.75" customHeight="1">
      <c r="B952" s="1"/>
    </row>
    <row r="953" spans="2:2" ht="15.75" customHeight="1">
      <c r="B953" s="1"/>
    </row>
    <row r="954" spans="2:2" ht="15.75" customHeight="1">
      <c r="B954" s="1"/>
    </row>
    <row r="955" spans="2:2" ht="15.75" customHeight="1">
      <c r="B955" s="1"/>
    </row>
    <row r="956" spans="2:2" ht="15.75" customHeight="1">
      <c r="B956" s="1"/>
    </row>
    <row r="957" spans="2:2" ht="15.75" customHeight="1">
      <c r="B957" s="1"/>
    </row>
    <row r="958" spans="2:2" ht="15.75" customHeight="1">
      <c r="B958" s="1"/>
    </row>
    <row r="959" spans="2:2" ht="15.75" customHeight="1">
      <c r="B959" s="1"/>
    </row>
    <row r="960" spans="2:2" ht="15.75" customHeight="1">
      <c r="B960" s="1"/>
    </row>
    <row r="961" spans="2:2" ht="15.75" customHeight="1">
      <c r="B961" s="1"/>
    </row>
    <row r="962" spans="2:2" ht="15.75" customHeight="1">
      <c r="B962" s="1"/>
    </row>
    <row r="963" spans="2:2" ht="15.75" customHeight="1">
      <c r="B963" s="1"/>
    </row>
    <row r="964" spans="2:2" ht="15.75" customHeight="1">
      <c r="B964" s="1"/>
    </row>
    <row r="965" spans="2:2" ht="15.75" customHeight="1">
      <c r="B965" s="1"/>
    </row>
    <row r="966" spans="2:2" ht="15.75" customHeight="1">
      <c r="B966" s="1"/>
    </row>
    <row r="967" spans="2:2" ht="15.75" customHeight="1">
      <c r="B967" s="1"/>
    </row>
    <row r="968" spans="2:2" ht="15.75" customHeight="1">
      <c r="B968" s="1"/>
    </row>
    <row r="969" spans="2:2" ht="15.75" customHeight="1">
      <c r="B969" s="1"/>
    </row>
    <row r="970" spans="2:2" ht="15.75" customHeight="1">
      <c r="B970" s="1"/>
    </row>
    <row r="971" spans="2:2" ht="15.75" customHeight="1">
      <c r="B971" s="1"/>
    </row>
    <row r="972" spans="2:2" ht="15.75" customHeight="1">
      <c r="B972" s="1"/>
    </row>
    <row r="973" spans="2:2" ht="15.75" customHeight="1">
      <c r="B973" s="1"/>
    </row>
    <row r="974" spans="2:2" ht="15.75" customHeight="1">
      <c r="B974" s="1"/>
    </row>
    <row r="975" spans="2:2" ht="15.75" customHeight="1">
      <c r="B975" s="1"/>
    </row>
    <row r="976" spans="2:2" ht="15.75" customHeight="1">
      <c r="B976" s="1"/>
    </row>
    <row r="977" spans="2:2" ht="15.75" customHeight="1">
      <c r="B977" s="1"/>
    </row>
    <row r="978" spans="2:2" ht="15.75" customHeight="1">
      <c r="B978" s="1"/>
    </row>
    <row r="979" spans="2:2" ht="15.75" customHeight="1">
      <c r="B979" s="1"/>
    </row>
    <row r="980" spans="2:2" ht="15.75" customHeight="1">
      <c r="B980" s="1"/>
    </row>
    <row r="981" spans="2:2" ht="15.75" customHeight="1">
      <c r="B981" s="1"/>
    </row>
    <row r="982" spans="2:2" ht="15.75" customHeight="1">
      <c r="B982" s="1"/>
    </row>
    <row r="983" spans="2:2" ht="15.75" customHeight="1">
      <c r="B983" s="1"/>
    </row>
    <row r="984" spans="2:2" ht="15.75" customHeight="1">
      <c r="B984" s="1"/>
    </row>
    <row r="985" spans="2:2" ht="15.75" customHeight="1">
      <c r="B985" s="1"/>
    </row>
    <row r="986" spans="2:2" ht="15.75" customHeight="1">
      <c r="B986" s="1"/>
    </row>
    <row r="987" spans="2:2" ht="15.75" customHeight="1">
      <c r="B987" s="1"/>
    </row>
    <row r="988" spans="2:2" ht="15.75" customHeight="1">
      <c r="B988" s="1"/>
    </row>
    <row r="989" spans="2:2" ht="15.75" customHeight="1">
      <c r="B989" s="1"/>
    </row>
    <row r="990" spans="2:2" ht="15.75" customHeight="1">
      <c r="B990" s="1"/>
    </row>
    <row r="991" spans="2:2" ht="15.75" customHeight="1">
      <c r="B991" s="1"/>
    </row>
    <row r="992" spans="2:2" ht="15.75" customHeight="1">
      <c r="B992" s="1"/>
    </row>
    <row r="993" spans="2:2" ht="15.75" customHeight="1">
      <c r="B993" s="1"/>
    </row>
    <row r="994" spans="2:2" ht="15.75" customHeight="1">
      <c r="B994" s="1"/>
    </row>
    <row r="995" spans="2:2" ht="15.75" customHeight="1">
      <c r="B995" s="1"/>
    </row>
    <row r="996" spans="2:2" ht="15.75" customHeight="1">
      <c r="B996" s="1"/>
    </row>
    <row r="997" spans="2:2" ht="15.75" customHeight="1">
      <c r="B997" s="1"/>
    </row>
    <row r="998" spans="2:2" ht="15.75" customHeight="1">
      <c r="B998" s="1"/>
    </row>
    <row r="999" spans="2:2" ht="15.75" customHeight="1">
      <c r="B999" s="1"/>
    </row>
    <row r="1000" spans="2:2" ht="15.75" customHeight="1">
      <c r="B1000" s="1"/>
    </row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00"/>
  <sheetViews>
    <sheetView workbookViewId="0"/>
  </sheetViews>
  <sheetFormatPr baseColWidth="10" defaultColWidth="11.1640625" defaultRowHeight="15" customHeight="1"/>
  <cols>
    <col min="1" max="1" width="6.83203125" customWidth="1"/>
    <col min="2" max="2" width="34.1640625" customWidth="1"/>
    <col min="3" max="14" width="6.83203125" customWidth="1"/>
    <col min="15" max="15" width="24.83203125" customWidth="1"/>
    <col min="16" max="26" width="6.83203125" customWidth="1"/>
  </cols>
  <sheetData>
    <row r="1" spans="1:15" ht="15.75" customHeight="1">
      <c r="A1" s="32" t="s">
        <v>174</v>
      </c>
      <c r="B1" s="1"/>
      <c r="O1" s="1"/>
    </row>
    <row r="2" spans="1:15" ht="15.75" customHeight="1">
      <c r="A2" s="32" t="s">
        <v>172</v>
      </c>
      <c r="B2" s="32" t="s">
        <v>175</v>
      </c>
      <c r="C2" s="32" t="s">
        <v>47</v>
      </c>
      <c r="D2" s="32" t="s">
        <v>48</v>
      </c>
      <c r="E2" s="32" t="s">
        <v>37</v>
      </c>
      <c r="F2" s="32" t="s">
        <v>38</v>
      </c>
      <c r="G2" s="32" t="s">
        <v>39</v>
      </c>
      <c r="H2" s="32" t="s">
        <v>40</v>
      </c>
      <c r="I2" s="32" t="s">
        <v>41</v>
      </c>
      <c r="J2" s="32" t="s">
        <v>42</v>
      </c>
      <c r="K2" s="32" t="s">
        <v>43</v>
      </c>
      <c r="L2" s="32" t="s">
        <v>44</v>
      </c>
      <c r="M2" s="32" t="s">
        <v>45</v>
      </c>
      <c r="N2" s="32" t="s">
        <v>46</v>
      </c>
      <c r="O2" s="32" t="s">
        <v>176</v>
      </c>
    </row>
    <row r="3" spans="1:15" ht="15.75" customHeight="1">
      <c r="A3" s="63">
        <v>1033</v>
      </c>
      <c r="B3" s="63" t="s">
        <v>93</v>
      </c>
      <c r="G3" s="64">
        <v>31.99</v>
      </c>
      <c r="O3" s="63" t="s">
        <v>177</v>
      </c>
    </row>
    <row r="4" spans="1:15" ht="15.75" customHeight="1">
      <c r="A4" s="63">
        <v>1048</v>
      </c>
      <c r="B4" s="63" t="s">
        <v>178</v>
      </c>
      <c r="G4" s="64">
        <v>59.99</v>
      </c>
      <c r="O4" s="63" t="s">
        <v>177</v>
      </c>
    </row>
    <row r="5" spans="1:15" ht="15.75" customHeight="1">
      <c r="A5" s="63">
        <v>264</v>
      </c>
      <c r="B5" s="63" t="s">
        <v>179</v>
      </c>
      <c r="G5" s="64">
        <v>412036.53</v>
      </c>
      <c r="O5" s="63" t="s">
        <v>180</v>
      </c>
    </row>
    <row r="6" spans="1:15" ht="15.75" customHeight="1">
      <c r="A6" s="63">
        <v>796</v>
      </c>
      <c r="B6" s="63" t="s">
        <v>181</v>
      </c>
      <c r="G6" s="64">
        <v>66.010000000000005</v>
      </c>
      <c r="O6" s="63" t="s">
        <v>177</v>
      </c>
    </row>
    <row r="7" spans="1:15" ht="15.75" customHeight="1">
      <c r="A7" s="63">
        <v>236</v>
      </c>
      <c r="B7" s="63" t="s">
        <v>182</v>
      </c>
      <c r="G7" s="64">
        <v>97.5</v>
      </c>
      <c r="O7" s="63" t="s">
        <v>177</v>
      </c>
    </row>
    <row r="8" spans="1:15" ht="15.75" customHeight="1">
      <c r="A8" s="63">
        <v>85</v>
      </c>
      <c r="B8" s="63" t="s">
        <v>183</v>
      </c>
      <c r="G8" s="64">
        <v>63440</v>
      </c>
      <c r="O8" s="63" t="s">
        <v>177</v>
      </c>
    </row>
    <row r="9" spans="1:15" ht="15.75" customHeight="1">
      <c r="B9" s="1"/>
      <c r="O9" s="1"/>
    </row>
    <row r="10" spans="1:15" ht="15.75" customHeight="1">
      <c r="B10" s="1"/>
      <c r="O10" s="1"/>
    </row>
    <row r="11" spans="1:15" ht="15.75" customHeight="1">
      <c r="B11" s="1"/>
      <c r="O11" s="1"/>
    </row>
    <row r="12" spans="1:15" ht="15.75" customHeight="1">
      <c r="B12" s="1"/>
      <c r="O12" s="1"/>
    </row>
    <row r="13" spans="1:15" ht="15.75" customHeight="1">
      <c r="B13" s="1"/>
      <c r="O13" s="1"/>
    </row>
    <row r="14" spans="1:15" ht="15.75" customHeight="1">
      <c r="B14" s="1"/>
      <c r="O14" s="1"/>
    </row>
    <row r="15" spans="1:15" ht="15.75" customHeight="1">
      <c r="B15" s="1"/>
      <c r="O15" s="1"/>
    </row>
    <row r="16" spans="1:15" ht="15.75" customHeight="1">
      <c r="B16" s="1"/>
      <c r="O16" s="1"/>
    </row>
    <row r="17" spans="2:15" ht="15.75" customHeight="1">
      <c r="B17" s="1"/>
      <c r="O17" s="1"/>
    </row>
    <row r="18" spans="2:15" ht="15.75" customHeight="1">
      <c r="B18" s="1"/>
      <c r="O18" s="1"/>
    </row>
    <row r="19" spans="2:15" ht="15.75" customHeight="1">
      <c r="B19" s="1"/>
      <c r="O19" s="1"/>
    </row>
    <row r="20" spans="2:15" ht="15.75" customHeight="1">
      <c r="B20" s="1"/>
      <c r="O20" s="1"/>
    </row>
    <row r="21" spans="2:15" ht="15.75" customHeight="1">
      <c r="B21" s="1"/>
      <c r="O21" s="1"/>
    </row>
    <row r="22" spans="2:15" ht="15.75" customHeight="1">
      <c r="B22" s="1"/>
      <c r="O22" s="1"/>
    </row>
    <row r="23" spans="2:15" ht="15.75" customHeight="1">
      <c r="B23" s="1"/>
      <c r="O23" s="1"/>
    </row>
    <row r="24" spans="2:15" ht="15.75" customHeight="1">
      <c r="B24" s="1"/>
      <c r="O24" s="1"/>
    </row>
    <row r="25" spans="2:15" ht="15.75" customHeight="1">
      <c r="B25" s="1"/>
      <c r="O25" s="1"/>
    </row>
    <row r="26" spans="2:15" ht="15.75" customHeight="1">
      <c r="B26" s="1"/>
      <c r="O26" s="1"/>
    </row>
    <row r="27" spans="2:15" ht="15.75" customHeight="1">
      <c r="B27" s="1"/>
      <c r="O27" s="1"/>
    </row>
    <row r="28" spans="2:15" ht="15.75" customHeight="1">
      <c r="B28" s="1"/>
      <c r="O28" s="1"/>
    </row>
    <row r="29" spans="2:15" ht="15.75" customHeight="1">
      <c r="B29" s="1"/>
      <c r="O29" s="1"/>
    </row>
    <row r="30" spans="2:15" ht="15.75" customHeight="1">
      <c r="B30" s="1"/>
      <c r="O30" s="1"/>
    </row>
    <row r="31" spans="2:15" ht="15.75" customHeight="1">
      <c r="B31" s="1"/>
      <c r="O31" s="1"/>
    </row>
    <row r="32" spans="2:15" ht="15.75" customHeight="1">
      <c r="B32" s="1"/>
      <c r="O32" s="1"/>
    </row>
    <row r="33" spans="2:15" ht="15.75" customHeight="1">
      <c r="B33" s="1"/>
      <c r="O33" s="1"/>
    </row>
    <row r="34" spans="2:15" ht="15.75" customHeight="1">
      <c r="B34" s="1"/>
      <c r="O34" s="1"/>
    </row>
    <row r="35" spans="2:15" ht="15.75" customHeight="1">
      <c r="B35" s="1"/>
      <c r="O35" s="1"/>
    </row>
    <row r="36" spans="2:15" ht="15.75" customHeight="1">
      <c r="B36" s="1"/>
      <c r="O36" s="1"/>
    </row>
    <row r="37" spans="2:15" ht="15.75" customHeight="1">
      <c r="B37" s="1"/>
      <c r="O37" s="1"/>
    </row>
    <row r="38" spans="2:15" ht="15.75" customHeight="1">
      <c r="B38" s="1"/>
      <c r="O38" s="1"/>
    </row>
    <row r="39" spans="2:15" ht="15.75" customHeight="1">
      <c r="B39" s="1"/>
      <c r="O39" s="1"/>
    </row>
    <row r="40" spans="2:15" ht="15.75" customHeight="1">
      <c r="B40" s="1"/>
      <c r="O40" s="1"/>
    </row>
    <row r="41" spans="2:15" ht="15.75" customHeight="1">
      <c r="B41" s="1"/>
      <c r="O41" s="1"/>
    </row>
    <row r="42" spans="2:15" ht="15.75" customHeight="1">
      <c r="B42" s="1"/>
      <c r="O42" s="1"/>
    </row>
    <row r="43" spans="2:15" ht="15.75" customHeight="1">
      <c r="B43" s="1"/>
      <c r="O43" s="1"/>
    </row>
    <row r="44" spans="2:15" ht="15.75" customHeight="1">
      <c r="B44" s="1"/>
      <c r="O44" s="1"/>
    </row>
    <row r="45" spans="2:15" ht="15.75" customHeight="1">
      <c r="B45" s="1"/>
      <c r="O45" s="1"/>
    </row>
    <row r="46" spans="2:15" ht="15.75" customHeight="1">
      <c r="B46" s="1"/>
      <c r="O46" s="1"/>
    </row>
    <row r="47" spans="2:15" ht="15.75" customHeight="1">
      <c r="B47" s="1"/>
      <c r="O47" s="1"/>
    </row>
    <row r="48" spans="2:15" ht="15.75" customHeight="1">
      <c r="B48" s="1"/>
      <c r="O48" s="1"/>
    </row>
    <row r="49" spans="2:15" ht="15.75" customHeight="1">
      <c r="B49" s="1"/>
      <c r="O49" s="1"/>
    </row>
    <row r="50" spans="2:15" ht="15.75" customHeight="1">
      <c r="B50" s="1"/>
      <c r="O50" s="1"/>
    </row>
    <row r="51" spans="2:15" ht="15.75" customHeight="1">
      <c r="B51" s="1"/>
      <c r="O51" s="1"/>
    </row>
    <row r="52" spans="2:15" ht="15.75" customHeight="1">
      <c r="B52" s="1"/>
      <c r="O52" s="1"/>
    </row>
    <row r="53" spans="2:15" ht="15.75" customHeight="1">
      <c r="B53" s="1"/>
      <c r="O53" s="1"/>
    </row>
    <row r="54" spans="2:15" ht="15.75" customHeight="1">
      <c r="B54" s="1"/>
      <c r="O54" s="1"/>
    </row>
    <row r="55" spans="2:15" ht="15.75" customHeight="1">
      <c r="B55" s="1"/>
      <c r="O55" s="1"/>
    </row>
    <row r="56" spans="2:15" ht="15.75" customHeight="1">
      <c r="B56" s="1"/>
      <c r="O56" s="1"/>
    </row>
    <row r="57" spans="2:15" ht="15.75" customHeight="1">
      <c r="B57" s="1"/>
      <c r="O57" s="1"/>
    </row>
    <row r="58" spans="2:15" ht="15.75" customHeight="1">
      <c r="B58" s="1"/>
      <c r="O58" s="1"/>
    </row>
    <row r="59" spans="2:15" ht="15.75" customHeight="1">
      <c r="B59" s="1"/>
      <c r="O59" s="1"/>
    </row>
    <row r="60" spans="2:15" ht="15.75" customHeight="1">
      <c r="B60" s="1"/>
      <c r="O60" s="1"/>
    </row>
    <row r="61" spans="2:15" ht="15.75" customHeight="1">
      <c r="B61" s="1"/>
      <c r="O61" s="1"/>
    </row>
    <row r="62" spans="2:15" ht="15.75" customHeight="1">
      <c r="B62" s="1"/>
      <c r="O62" s="1"/>
    </row>
    <row r="63" spans="2:15" ht="15.75" customHeight="1">
      <c r="B63" s="1"/>
      <c r="O63" s="1"/>
    </row>
    <row r="64" spans="2:15" ht="15.75" customHeight="1">
      <c r="B64" s="1"/>
      <c r="O64" s="1"/>
    </row>
    <row r="65" spans="2:15" ht="15.75" customHeight="1">
      <c r="B65" s="1"/>
      <c r="O65" s="1"/>
    </row>
    <row r="66" spans="2:15" ht="15.75" customHeight="1">
      <c r="B66" s="1"/>
      <c r="O66" s="1"/>
    </row>
    <row r="67" spans="2:15" ht="15.75" customHeight="1">
      <c r="B67" s="1"/>
      <c r="O67" s="1"/>
    </row>
    <row r="68" spans="2:15" ht="15.75" customHeight="1">
      <c r="B68" s="1"/>
      <c r="O68" s="1"/>
    </row>
    <row r="69" spans="2:15" ht="15.75" customHeight="1">
      <c r="B69" s="1"/>
      <c r="O69" s="1"/>
    </row>
    <row r="70" spans="2:15" ht="15.75" customHeight="1">
      <c r="B70" s="1"/>
      <c r="O70" s="1"/>
    </row>
    <row r="71" spans="2:15" ht="15.75" customHeight="1">
      <c r="B71" s="1"/>
      <c r="O71" s="1"/>
    </row>
    <row r="72" spans="2:15" ht="15.75" customHeight="1">
      <c r="B72" s="1"/>
      <c r="O72" s="1"/>
    </row>
    <row r="73" spans="2:15" ht="15.75" customHeight="1">
      <c r="B73" s="1"/>
      <c r="O73" s="1"/>
    </row>
    <row r="74" spans="2:15" ht="15.75" customHeight="1">
      <c r="B74" s="1"/>
      <c r="O74" s="1"/>
    </row>
    <row r="75" spans="2:15" ht="15.75" customHeight="1">
      <c r="B75" s="1"/>
      <c r="O75" s="1"/>
    </row>
    <row r="76" spans="2:15" ht="15.75" customHeight="1">
      <c r="B76" s="1"/>
      <c r="O76" s="1"/>
    </row>
    <row r="77" spans="2:15" ht="15.75" customHeight="1">
      <c r="B77" s="1"/>
      <c r="O77" s="1"/>
    </row>
    <row r="78" spans="2:15" ht="15.75" customHeight="1">
      <c r="B78" s="1"/>
      <c r="O78" s="1"/>
    </row>
    <row r="79" spans="2:15" ht="15.75" customHeight="1">
      <c r="B79" s="1"/>
      <c r="O79" s="1"/>
    </row>
    <row r="80" spans="2:15" ht="15.75" customHeight="1">
      <c r="B80" s="1"/>
      <c r="O80" s="1"/>
    </row>
    <row r="81" spans="2:15" ht="15.75" customHeight="1">
      <c r="B81" s="1"/>
      <c r="O81" s="1"/>
    </row>
    <row r="82" spans="2:15" ht="15.75" customHeight="1">
      <c r="B82" s="1"/>
      <c r="O82" s="1"/>
    </row>
    <row r="83" spans="2:15" ht="15.75" customHeight="1">
      <c r="B83" s="1"/>
      <c r="O83" s="1"/>
    </row>
    <row r="84" spans="2:15" ht="15.75" customHeight="1">
      <c r="B84" s="1"/>
      <c r="O84" s="1"/>
    </row>
    <row r="85" spans="2:15" ht="15.75" customHeight="1">
      <c r="B85" s="1"/>
      <c r="O85" s="1"/>
    </row>
    <row r="86" spans="2:15" ht="15.75" customHeight="1">
      <c r="B86" s="1"/>
      <c r="O86" s="1"/>
    </row>
    <row r="87" spans="2:15" ht="15.75" customHeight="1">
      <c r="B87" s="1"/>
      <c r="O87" s="1"/>
    </row>
    <row r="88" spans="2:15" ht="15.75" customHeight="1">
      <c r="B88" s="1"/>
      <c r="O88" s="1"/>
    </row>
    <row r="89" spans="2:15" ht="15.75" customHeight="1">
      <c r="B89" s="1"/>
      <c r="O89" s="1"/>
    </row>
    <row r="90" spans="2:15" ht="15.75" customHeight="1">
      <c r="B90" s="1"/>
      <c r="O90" s="1"/>
    </row>
    <row r="91" spans="2:15" ht="15.75" customHeight="1">
      <c r="B91" s="1"/>
      <c r="O91" s="1"/>
    </row>
    <row r="92" spans="2:15" ht="15.75" customHeight="1">
      <c r="B92" s="1"/>
      <c r="O92" s="1"/>
    </row>
    <row r="93" spans="2:15" ht="15.75" customHeight="1">
      <c r="B93" s="1"/>
      <c r="O93" s="1"/>
    </row>
    <row r="94" spans="2:15" ht="15.75" customHeight="1">
      <c r="B94" s="1"/>
      <c r="O94" s="1"/>
    </row>
    <row r="95" spans="2:15" ht="15.75" customHeight="1">
      <c r="B95" s="1"/>
      <c r="O95" s="1"/>
    </row>
    <row r="96" spans="2:15" ht="15.75" customHeight="1">
      <c r="B96" s="1"/>
      <c r="O96" s="1"/>
    </row>
    <row r="97" spans="2:15" ht="15.75" customHeight="1">
      <c r="B97" s="1"/>
      <c r="O97" s="1"/>
    </row>
    <row r="98" spans="2:15" ht="15.75" customHeight="1">
      <c r="B98" s="1"/>
      <c r="O98" s="1"/>
    </row>
    <row r="99" spans="2:15" ht="15.75" customHeight="1">
      <c r="B99" s="1"/>
      <c r="O99" s="1"/>
    </row>
    <row r="100" spans="2:15" ht="15.75" customHeight="1">
      <c r="B100" s="1"/>
      <c r="O100" s="1"/>
    </row>
    <row r="101" spans="2:15" ht="15.75" customHeight="1">
      <c r="B101" s="1"/>
      <c r="O101" s="1"/>
    </row>
    <row r="102" spans="2:15" ht="15.75" customHeight="1">
      <c r="B102" s="1"/>
      <c r="O102" s="1"/>
    </row>
    <row r="103" spans="2:15" ht="15.75" customHeight="1">
      <c r="B103" s="1"/>
      <c r="O103" s="1"/>
    </row>
    <row r="104" spans="2:15" ht="15.75" customHeight="1">
      <c r="B104" s="1"/>
      <c r="O104" s="1"/>
    </row>
    <row r="105" spans="2:15" ht="15.75" customHeight="1">
      <c r="B105" s="1"/>
      <c r="O105" s="1"/>
    </row>
    <row r="106" spans="2:15" ht="15.75" customHeight="1">
      <c r="B106" s="1"/>
      <c r="O106" s="1"/>
    </row>
    <row r="107" spans="2:15" ht="15.75" customHeight="1">
      <c r="B107" s="1"/>
      <c r="O107" s="1"/>
    </row>
    <row r="108" spans="2:15" ht="15.75" customHeight="1">
      <c r="B108" s="1"/>
      <c r="O108" s="1"/>
    </row>
    <row r="109" spans="2:15" ht="15.75" customHeight="1">
      <c r="B109" s="1"/>
      <c r="O109" s="1"/>
    </row>
    <row r="110" spans="2:15" ht="15.75" customHeight="1">
      <c r="B110" s="1"/>
      <c r="O110" s="1"/>
    </row>
    <row r="111" spans="2:15" ht="15.75" customHeight="1">
      <c r="B111" s="1"/>
      <c r="O111" s="1"/>
    </row>
    <row r="112" spans="2:15" ht="15.75" customHeight="1">
      <c r="B112" s="1"/>
      <c r="O112" s="1"/>
    </row>
    <row r="113" spans="2:15" ht="15.75" customHeight="1">
      <c r="B113" s="1"/>
      <c r="O113" s="1"/>
    </row>
    <row r="114" spans="2:15" ht="15.75" customHeight="1">
      <c r="B114" s="1"/>
      <c r="O114" s="1"/>
    </row>
    <row r="115" spans="2:15" ht="15.75" customHeight="1">
      <c r="B115" s="1"/>
      <c r="O115" s="1"/>
    </row>
    <row r="116" spans="2:15" ht="15.75" customHeight="1">
      <c r="B116" s="1"/>
      <c r="O116" s="1"/>
    </row>
    <row r="117" spans="2:15" ht="15.75" customHeight="1">
      <c r="B117" s="1"/>
      <c r="O117" s="1"/>
    </row>
    <row r="118" spans="2:15" ht="15.75" customHeight="1">
      <c r="B118" s="1"/>
      <c r="O118" s="1"/>
    </row>
    <row r="119" spans="2:15" ht="15.75" customHeight="1">
      <c r="B119" s="1"/>
      <c r="O119" s="1"/>
    </row>
    <row r="120" spans="2:15" ht="15.75" customHeight="1">
      <c r="B120" s="1"/>
      <c r="O120" s="1"/>
    </row>
    <row r="121" spans="2:15" ht="15.75" customHeight="1">
      <c r="B121" s="1"/>
      <c r="O121" s="1"/>
    </row>
    <row r="122" spans="2:15" ht="15.75" customHeight="1">
      <c r="B122" s="1"/>
      <c r="O122" s="1"/>
    </row>
    <row r="123" spans="2:15" ht="15.75" customHeight="1">
      <c r="B123" s="1"/>
      <c r="O123" s="1"/>
    </row>
    <row r="124" spans="2:15" ht="15.75" customHeight="1">
      <c r="B124" s="1"/>
      <c r="O124" s="1"/>
    </row>
    <row r="125" spans="2:15" ht="15.75" customHeight="1">
      <c r="B125" s="1"/>
      <c r="O125" s="1"/>
    </row>
    <row r="126" spans="2:15" ht="15.75" customHeight="1">
      <c r="B126" s="1"/>
      <c r="O126" s="1"/>
    </row>
    <row r="127" spans="2:15" ht="15.75" customHeight="1">
      <c r="B127" s="1"/>
      <c r="O127" s="1"/>
    </row>
    <row r="128" spans="2:15" ht="15.75" customHeight="1">
      <c r="B128" s="1"/>
      <c r="O128" s="1"/>
    </row>
    <row r="129" spans="2:15" ht="15.75" customHeight="1">
      <c r="B129" s="1"/>
      <c r="O129" s="1"/>
    </row>
    <row r="130" spans="2:15" ht="15.75" customHeight="1">
      <c r="B130" s="1"/>
      <c r="O130" s="1"/>
    </row>
    <row r="131" spans="2:15" ht="15.75" customHeight="1">
      <c r="B131" s="1"/>
      <c r="O131" s="1"/>
    </row>
    <row r="132" spans="2:15" ht="15.75" customHeight="1">
      <c r="B132" s="1"/>
      <c r="O132" s="1"/>
    </row>
    <row r="133" spans="2:15" ht="15.75" customHeight="1">
      <c r="B133" s="1"/>
      <c r="O133" s="1"/>
    </row>
    <row r="134" spans="2:15" ht="15.75" customHeight="1">
      <c r="B134" s="1"/>
      <c r="O134" s="1"/>
    </row>
    <row r="135" spans="2:15" ht="15.75" customHeight="1">
      <c r="B135" s="1"/>
      <c r="O135" s="1"/>
    </row>
    <row r="136" spans="2:15" ht="15.75" customHeight="1">
      <c r="B136" s="1"/>
      <c r="O136" s="1"/>
    </row>
    <row r="137" spans="2:15" ht="15.75" customHeight="1">
      <c r="B137" s="1"/>
      <c r="O137" s="1"/>
    </row>
    <row r="138" spans="2:15" ht="15.75" customHeight="1">
      <c r="B138" s="1"/>
      <c r="O138" s="1"/>
    </row>
    <row r="139" spans="2:15" ht="15.75" customHeight="1">
      <c r="B139" s="1"/>
      <c r="O139" s="1"/>
    </row>
    <row r="140" spans="2:15" ht="15.75" customHeight="1">
      <c r="B140" s="1"/>
      <c r="O140" s="1"/>
    </row>
    <row r="141" spans="2:15" ht="15.75" customHeight="1">
      <c r="B141" s="1"/>
      <c r="O141" s="1"/>
    </row>
    <row r="142" spans="2:15" ht="15.75" customHeight="1">
      <c r="B142" s="1"/>
      <c r="O142" s="1"/>
    </row>
    <row r="143" spans="2:15" ht="15.75" customHeight="1">
      <c r="B143" s="1"/>
      <c r="O143" s="1"/>
    </row>
    <row r="144" spans="2:15" ht="15.75" customHeight="1">
      <c r="B144" s="1"/>
      <c r="O144" s="1"/>
    </row>
    <row r="145" spans="2:15" ht="15.75" customHeight="1">
      <c r="B145" s="1"/>
      <c r="O145" s="1"/>
    </row>
    <row r="146" spans="2:15" ht="15.75" customHeight="1">
      <c r="B146" s="1"/>
      <c r="O146" s="1"/>
    </row>
    <row r="147" spans="2:15" ht="15.75" customHeight="1">
      <c r="B147" s="1"/>
      <c r="O147" s="1"/>
    </row>
    <row r="148" spans="2:15" ht="15.75" customHeight="1">
      <c r="B148" s="1"/>
      <c r="O148" s="1"/>
    </row>
    <row r="149" spans="2:15" ht="15.75" customHeight="1">
      <c r="B149" s="1"/>
      <c r="O149" s="1"/>
    </row>
    <row r="150" spans="2:15" ht="15.75" customHeight="1">
      <c r="B150" s="1"/>
      <c r="O150" s="1"/>
    </row>
    <row r="151" spans="2:15" ht="15.75" customHeight="1">
      <c r="B151" s="1"/>
      <c r="O151" s="1"/>
    </row>
    <row r="152" spans="2:15" ht="15.75" customHeight="1">
      <c r="B152" s="1"/>
      <c r="O152" s="1"/>
    </row>
    <row r="153" spans="2:15" ht="15.75" customHeight="1">
      <c r="B153" s="1"/>
      <c r="O153" s="1"/>
    </row>
    <row r="154" spans="2:15" ht="15.75" customHeight="1">
      <c r="B154" s="1"/>
      <c r="O154" s="1"/>
    </row>
    <row r="155" spans="2:15" ht="15.75" customHeight="1">
      <c r="B155" s="1"/>
      <c r="O155" s="1"/>
    </row>
    <row r="156" spans="2:15" ht="15.75" customHeight="1">
      <c r="B156" s="1"/>
      <c r="O156" s="1"/>
    </row>
    <row r="157" spans="2:15" ht="15.75" customHeight="1">
      <c r="B157" s="1"/>
      <c r="O157" s="1"/>
    </row>
    <row r="158" spans="2:15" ht="15.75" customHeight="1">
      <c r="B158" s="1"/>
      <c r="O158" s="1"/>
    </row>
    <row r="159" spans="2:15" ht="15.75" customHeight="1">
      <c r="B159" s="1"/>
      <c r="O159" s="1"/>
    </row>
    <row r="160" spans="2:15" ht="15.75" customHeight="1">
      <c r="B160" s="1"/>
      <c r="O160" s="1"/>
    </row>
    <row r="161" spans="2:15" ht="15.75" customHeight="1">
      <c r="B161" s="1"/>
      <c r="O161" s="1"/>
    </row>
    <row r="162" spans="2:15" ht="15.75" customHeight="1">
      <c r="B162" s="1"/>
      <c r="O162" s="1"/>
    </row>
    <row r="163" spans="2:15" ht="15.75" customHeight="1">
      <c r="B163" s="1"/>
      <c r="O163" s="1"/>
    </row>
    <row r="164" spans="2:15" ht="15.75" customHeight="1">
      <c r="B164" s="1"/>
      <c r="O164" s="1"/>
    </row>
    <row r="165" spans="2:15" ht="15.75" customHeight="1">
      <c r="B165" s="1"/>
      <c r="O165" s="1"/>
    </row>
    <row r="166" spans="2:15" ht="15.75" customHeight="1">
      <c r="B166" s="1"/>
      <c r="O166" s="1"/>
    </row>
    <row r="167" spans="2:15" ht="15.75" customHeight="1">
      <c r="B167" s="1"/>
      <c r="O167" s="1"/>
    </row>
    <row r="168" spans="2:15" ht="15.75" customHeight="1">
      <c r="B168" s="1"/>
      <c r="O168" s="1"/>
    </row>
    <row r="169" spans="2:15" ht="15.75" customHeight="1">
      <c r="B169" s="1"/>
      <c r="O169" s="1"/>
    </row>
    <row r="170" spans="2:15" ht="15.75" customHeight="1">
      <c r="B170" s="1"/>
      <c r="O170" s="1"/>
    </row>
    <row r="171" spans="2:15" ht="15.75" customHeight="1">
      <c r="B171" s="1"/>
      <c r="O171" s="1"/>
    </row>
    <row r="172" spans="2:15" ht="15.75" customHeight="1">
      <c r="B172" s="1"/>
      <c r="O172" s="1"/>
    </row>
    <row r="173" spans="2:15" ht="15.75" customHeight="1">
      <c r="B173" s="1"/>
      <c r="O173" s="1"/>
    </row>
    <row r="174" spans="2:15" ht="15.75" customHeight="1">
      <c r="B174" s="1"/>
      <c r="O174" s="1"/>
    </row>
    <row r="175" spans="2:15" ht="15.75" customHeight="1">
      <c r="B175" s="1"/>
      <c r="O175" s="1"/>
    </row>
    <row r="176" spans="2:15" ht="15.75" customHeight="1">
      <c r="B176" s="1"/>
      <c r="O176" s="1"/>
    </row>
    <row r="177" spans="2:15" ht="15.75" customHeight="1">
      <c r="B177" s="1"/>
      <c r="O177" s="1"/>
    </row>
    <row r="178" spans="2:15" ht="15.75" customHeight="1">
      <c r="B178" s="1"/>
      <c r="O178" s="1"/>
    </row>
    <row r="179" spans="2:15" ht="15.75" customHeight="1">
      <c r="B179" s="1"/>
      <c r="O179" s="1"/>
    </row>
    <row r="180" spans="2:15" ht="15.75" customHeight="1">
      <c r="B180" s="1"/>
      <c r="O180" s="1"/>
    </row>
    <row r="181" spans="2:15" ht="15.75" customHeight="1">
      <c r="B181" s="1"/>
      <c r="O181" s="1"/>
    </row>
    <row r="182" spans="2:15" ht="15.75" customHeight="1">
      <c r="B182" s="1"/>
      <c r="O182" s="1"/>
    </row>
    <row r="183" spans="2:15" ht="15.75" customHeight="1">
      <c r="B183" s="1"/>
      <c r="O183" s="1"/>
    </row>
    <row r="184" spans="2:15" ht="15.75" customHeight="1">
      <c r="B184" s="1"/>
      <c r="O184" s="1"/>
    </row>
    <row r="185" spans="2:15" ht="15.75" customHeight="1">
      <c r="B185" s="1"/>
      <c r="O185" s="1"/>
    </row>
    <row r="186" spans="2:15" ht="15.75" customHeight="1">
      <c r="B186" s="1"/>
      <c r="O186" s="1"/>
    </row>
    <row r="187" spans="2:15" ht="15.75" customHeight="1">
      <c r="B187" s="1"/>
      <c r="O187" s="1"/>
    </row>
    <row r="188" spans="2:15" ht="15.75" customHeight="1">
      <c r="B188" s="1"/>
      <c r="O188" s="1"/>
    </row>
    <row r="189" spans="2:15" ht="15.75" customHeight="1">
      <c r="B189" s="1"/>
      <c r="O189" s="1"/>
    </row>
    <row r="190" spans="2:15" ht="15.75" customHeight="1">
      <c r="B190" s="1"/>
      <c r="O190" s="1"/>
    </row>
    <row r="191" spans="2:15" ht="15.75" customHeight="1">
      <c r="B191" s="1"/>
      <c r="O191" s="1"/>
    </row>
    <row r="192" spans="2:15" ht="15.75" customHeight="1">
      <c r="B192" s="1"/>
      <c r="O192" s="1"/>
    </row>
    <row r="193" spans="2:15" ht="15.75" customHeight="1">
      <c r="B193" s="1"/>
      <c r="O193" s="1"/>
    </row>
    <row r="194" spans="2:15" ht="15.75" customHeight="1">
      <c r="B194" s="1"/>
      <c r="O194" s="1"/>
    </row>
    <row r="195" spans="2:15" ht="15.75" customHeight="1">
      <c r="B195" s="1"/>
      <c r="O195" s="1"/>
    </row>
    <row r="196" spans="2:15" ht="15.75" customHeight="1">
      <c r="B196" s="1"/>
      <c r="O196" s="1"/>
    </row>
    <row r="197" spans="2:15" ht="15.75" customHeight="1">
      <c r="B197" s="1"/>
      <c r="O197" s="1"/>
    </row>
    <row r="198" spans="2:15" ht="15.75" customHeight="1">
      <c r="B198" s="1"/>
      <c r="O198" s="1"/>
    </row>
    <row r="199" spans="2:15" ht="15.75" customHeight="1">
      <c r="B199" s="1"/>
      <c r="O199" s="1"/>
    </row>
    <row r="200" spans="2:15" ht="15.75" customHeight="1">
      <c r="B200" s="1"/>
      <c r="O200" s="1"/>
    </row>
    <row r="201" spans="2:15" ht="15.75" customHeight="1">
      <c r="B201" s="1"/>
      <c r="O201" s="1"/>
    </row>
    <row r="202" spans="2:15" ht="15.75" customHeight="1">
      <c r="B202" s="1"/>
      <c r="O202" s="1"/>
    </row>
    <row r="203" spans="2:15" ht="15.75" customHeight="1">
      <c r="B203" s="1"/>
      <c r="O203" s="1"/>
    </row>
    <row r="204" spans="2:15" ht="15.75" customHeight="1">
      <c r="B204" s="1"/>
      <c r="O204" s="1"/>
    </row>
    <row r="205" spans="2:15" ht="15.75" customHeight="1">
      <c r="B205" s="1"/>
      <c r="O205" s="1"/>
    </row>
    <row r="206" spans="2:15" ht="15.75" customHeight="1">
      <c r="B206" s="1"/>
      <c r="O206" s="1"/>
    </row>
    <row r="207" spans="2:15" ht="15.75" customHeight="1">
      <c r="B207" s="1"/>
      <c r="O207" s="1"/>
    </row>
    <row r="208" spans="2:15" ht="15.75" customHeight="1">
      <c r="B208" s="1"/>
      <c r="O208" s="1"/>
    </row>
    <row r="209" spans="2:15" ht="15.75" customHeight="1">
      <c r="B209" s="1"/>
      <c r="O209" s="1"/>
    </row>
    <row r="210" spans="2:15" ht="15.75" customHeight="1">
      <c r="B210" s="1"/>
      <c r="O210" s="1"/>
    </row>
    <row r="211" spans="2:15" ht="15.75" customHeight="1">
      <c r="B211" s="1"/>
      <c r="O211" s="1"/>
    </row>
    <row r="212" spans="2:15" ht="15.75" customHeight="1">
      <c r="B212" s="1"/>
      <c r="O212" s="1"/>
    </row>
    <row r="213" spans="2:15" ht="15.75" customHeight="1">
      <c r="B213" s="1"/>
      <c r="O213" s="1"/>
    </row>
    <row r="214" spans="2:15" ht="15.75" customHeight="1">
      <c r="B214" s="1"/>
      <c r="O214" s="1"/>
    </row>
    <row r="215" spans="2:15" ht="15.75" customHeight="1">
      <c r="B215" s="1"/>
      <c r="O215" s="1"/>
    </row>
    <row r="216" spans="2:15" ht="15.75" customHeight="1">
      <c r="B216" s="1"/>
      <c r="O216" s="1"/>
    </row>
    <row r="217" spans="2:15" ht="15.75" customHeight="1">
      <c r="B217" s="1"/>
      <c r="O217" s="1"/>
    </row>
    <row r="218" spans="2:15" ht="15.75" customHeight="1">
      <c r="B218" s="1"/>
      <c r="O218" s="1"/>
    </row>
    <row r="219" spans="2:15" ht="15.75" customHeight="1">
      <c r="B219" s="1"/>
      <c r="O219" s="1"/>
    </row>
    <row r="220" spans="2:15" ht="15.75" customHeight="1">
      <c r="B220" s="1"/>
      <c r="O220" s="1"/>
    </row>
    <row r="221" spans="2:15" ht="15.75" customHeight="1">
      <c r="B221" s="1"/>
      <c r="O221" s="1"/>
    </row>
    <row r="222" spans="2:15" ht="15.75" customHeight="1">
      <c r="B222" s="1"/>
      <c r="O222" s="1"/>
    </row>
    <row r="223" spans="2:15" ht="15.75" customHeight="1">
      <c r="B223" s="1"/>
      <c r="O223" s="1"/>
    </row>
    <row r="224" spans="2:15" ht="15.75" customHeight="1">
      <c r="B224" s="1"/>
      <c r="O224" s="1"/>
    </row>
    <row r="225" spans="2:15" ht="15.75" customHeight="1">
      <c r="B225" s="1"/>
      <c r="O225" s="1"/>
    </row>
    <row r="226" spans="2:15" ht="15.75" customHeight="1">
      <c r="B226" s="1"/>
      <c r="O226" s="1"/>
    </row>
    <row r="227" spans="2:15" ht="15.75" customHeight="1">
      <c r="B227" s="1"/>
      <c r="O227" s="1"/>
    </row>
    <row r="228" spans="2:15" ht="15.75" customHeight="1">
      <c r="B228" s="1"/>
      <c r="O228" s="1"/>
    </row>
    <row r="229" spans="2:15" ht="15.75" customHeight="1">
      <c r="B229" s="1"/>
      <c r="O229" s="1"/>
    </row>
    <row r="230" spans="2:15" ht="15.75" customHeight="1">
      <c r="B230" s="1"/>
      <c r="O230" s="1"/>
    </row>
    <row r="231" spans="2:15" ht="15.75" customHeight="1">
      <c r="B231" s="1"/>
      <c r="O231" s="1"/>
    </row>
    <row r="232" spans="2:15" ht="15.75" customHeight="1">
      <c r="B232" s="1"/>
      <c r="O232" s="1"/>
    </row>
    <row r="233" spans="2:15" ht="15.75" customHeight="1">
      <c r="B233" s="1"/>
      <c r="O233" s="1"/>
    </row>
    <row r="234" spans="2:15" ht="15.75" customHeight="1">
      <c r="B234" s="1"/>
      <c r="O234" s="1"/>
    </row>
    <row r="235" spans="2:15" ht="15.75" customHeight="1">
      <c r="B235" s="1"/>
      <c r="O235" s="1"/>
    </row>
    <row r="236" spans="2:15" ht="15.75" customHeight="1">
      <c r="B236" s="1"/>
      <c r="O236" s="1"/>
    </row>
    <row r="237" spans="2:15" ht="15.75" customHeight="1">
      <c r="B237" s="1"/>
      <c r="O237" s="1"/>
    </row>
    <row r="238" spans="2:15" ht="15.75" customHeight="1">
      <c r="B238" s="1"/>
      <c r="O238" s="1"/>
    </row>
    <row r="239" spans="2:15" ht="15.75" customHeight="1">
      <c r="B239" s="1"/>
      <c r="O239" s="1"/>
    </row>
    <row r="240" spans="2:15" ht="15.75" customHeight="1">
      <c r="B240" s="1"/>
      <c r="O240" s="1"/>
    </row>
    <row r="241" spans="2:15" ht="15.75" customHeight="1">
      <c r="B241" s="1"/>
      <c r="O241" s="1"/>
    </row>
    <row r="242" spans="2:15" ht="15.75" customHeight="1">
      <c r="B242" s="1"/>
      <c r="O242" s="1"/>
    </row>
    <row r="243" spans="2:15" ht="15.75" customHeight="1">
      <c r="B243" s="1"/>
      <c r="O243" s="1"/>
    </row>
    <row r="244" spans="2:15" ht="15.75" customHeight="1">
      <c r="B244" s="1"/>
      <c r="O244" s="1"/>
    </row>
    <row r="245" spans="2:15" ht="15.75" customHeight="1">
      <c r="B245" s="1"/>
      <c r="O245" s="1"/>
    </row>
    <row r="246" spans="2:15" ht="15.75" customHeight="1">
      <c r="B246" s="1"/>
      <c r="O246" s="1"/>
    </row>
    <row r="247" spans="2:15" ht="15.75" customHeight="1">
      <c r="B247" s="1"/>
      <c r="O247" s="1"/>
    </row>
    <row r="248" spans="2:15" ht="15.75" customHeight="1">
      <c r="B248" s="1"/>
      <c r="O248" s="1"/>
    </row>
    <row r="249" spans="2:15" ht="15.75" customHeight="1">
      <c r="B249" s="1"/>
      <c r="O249" s="1"/>
    </row>
    <row r="250" spans="2:15" ht="15.75" customHeight="1">
      <c r="B250" s="1"/>
      <c r="O250" s="1"/>
    </row>
    <row r="251" spans="2:15" ht="15.75" customHeight="1">
      <c r="B251" s="1"/>
      <c r="O251" s="1"/>
    </row>
    <row r="252" spans="2:15" ht="15.75" customHeight="1">
      <c r="B252" s="1"/>
      <c r="O252" s="1"/>
    </row>
    <row r="253" spans="2:15" ht="15.75" customHeight="1">
      <c r="B253" s="1"/>
      <c r="O253" s="1"/>
    </row>
    <row r="254" spans="2:15" ht="15.75" customHeight="1">
      <c r="B254" s="1"/>
      <c r="O254" s="1"/>
    </row>
    <row r="255" spans="2:15" ht="15.75" customHeight="1">
      <c r="B255" s="1"/>
      <c r="O255" s="1"/>
    </row>
    <row r="256" spans="2:15" ht="15.75" customHeight="1">
      <c r="B256" s="1"/>
      <c r="O256" s="1"/>
    </row>
    <row r="257" spans="2:15" ht="15.75" customHeight="1">
      <c r="B257" s="1"/>
      <c r="O257" s="1"/>
    </row>
    <row r="258" spans="2:15" ht="15.75" customHeight="1">
      <c r="B258" s="1"/>
      <c r="O258" s="1"/>
    </row>
    <row r="259" spans="2:15" ht="15.75" customHeight="1">
      <c r="B259" s="1"/>
      <c r="O259" s="1"/>
    </row>
    <row r="260" spans="2:15" ht="15.75" customHeight="1">
      <c r="B260" s="1"/>
      <c r="O260" s="1"/>
    </row>
    <row r="261" spans="2:15" ht="15.75" customHeight="1">
      <c r="B261" s="1"/>
      <c r="O261" s="1"/>
    </row>
    <row r="262" spans="2:15" ht="15.75" customHeight="1">
      <c r="B262" s="1"/>
      <c r="O262" s="1"/>
    </row>
    <row r="263" spans="2:15" ht="15.75" customHeight="1">
      <c r="B263" s="1"/>
      <c r="O263" s="1"/>
    </row>
    <row r="264" spans="2:15" ht="15.75" customHeight="1">
      <c r="B264" s="1"/>
      <c r="O264" s="1"/>
    </row>
    <row r="265" spans="2:15" ht="15.75" customHeight="1">
      <c r="B265" s="1"/>
      <c r="O265" s="1"/>
    </row>
    <row r="266" spans="2:15" ht="15.75" customHeight="1">
      <c r="B266" s="1"/>
      <c r="O266" s="1"/>
    </row>
    <row r="267" spans="2:15" ht="15.75" customHeight="1">
      <c r="B267" s="1"/>
      <c r="O267" s="1"/>
    </row>
    <row r="268" spans="2:15" ht="15.75" customHeight="1">
      <c r="B268" s="1"/>
      <c r="O268" s="1"/>
    </row>
    <row r="269" spans="2:15" ht="15.75" customHeight="1">
      <c r="B269" s="1"/>
      <c r="O269" s="1"/>
    </row>
    <row r="270" spans="2:15" ht="15.75" customHeight="1">
      <c r="B270" s="1"/>
      <c r="O270" s="1"/>
    </row>
    <row r="271" spans="2:15" ht="15.75" customHeight="1">
      <c r="B271" s="1"/>
      <c r="O271" s="1"/>
    </row>
    <row r="272" spans="2:15" ht="15.75" customHeight="1">
      <c r="B272" s="1"/>
      <c r="O272" s="1"/>
    </row>
    <row r="273" spans="2:15" ht="15.75" customHeight="1">
      <c r="B273" s="1"/>
      <c r="O273" s="1"/>
    </row>
    <row r="274" spans="2:15" ht="15.75" customHeight="1">
      <c r="B274" s="1"/>
      <c r="O274" s="1"/>
    </row>
    <row r="275" spans="2:15" ht="15.75" customHeight="1">
      <c r="B275" s="1"/>
      <c r="O275" s="1"/>
    </row>
    <row r="276" spans="2:15" ht="15.75" customHeight="1">
      <c r="B276" s="1"/>
      <c r="O276" s="1"/>
    </row>
    <row r="277" spans="2:15" ht="15.75" customHeight="1">
      <c r="B277" s="1"/>
      <c r="O277" s="1"/>
    </row>
    <row r="278" spans="2:15" ht="15.75" customHeight="1">
      <c r="B278" s="1"/>
      <c r="O278" s="1"/>
    </row>
    <row r="279" spans="2:15" ht="15.75" customHeight="1">
      <c r="B279" s="1"/>
      <c r="O279" s="1"/>
    </row>
    <row r="280" spans="2:15" ht="15.75" customHeight="1">
      <c r="B280" s="1"/>
      <c r="O280" s="1"/>
    </row>
    <row r="281" spans="2:15" ht="15.75" customHeight="1">
      <c r="B281" s="1"/>
      <c r="O281" s="1"/>
    </row>
    <row r="282" spans="2:15" ht="15.75" customHeight="1">
      <c r="B282" s="1"/>
      <c r="O282" s="1"/>
    </row>
    <row r="283" spans="2:15" ht="15.75" customHeight="1">
      <c r="B283" s="1"/>
      <c r="O283" s="1"/>
    </row>
    <row r="284" spans="2:15" ht="15.75" customHeight="1">
      <c r="B284" s="1"/>
      <c r="O284" s="1"/>
    </row>
    <row r="285" spans="2:15" ht="15.75" customHeight="1">
      <c r="B285" s="1"/>
      <c r="O285" s="1"/>
    </row>
    <row r="286" spans="2:15" ht="15.75" customHeight="1">
      <c r="B286" s="1"/>
      <c r="O286" s="1"/>
    </row>
    <row r="287" spans="2:15" ht="15.75" customHeight="1">
      <c r="B287" s="1"/>
      <c r="O287" s="1"/>
    </row>
    <row r="288" spans="2:15" ht="15.75" customHeight="1">
      <c r="B288" s="1"/>
      <c r="O288" s="1"/>
    </row>
    <row r="289" spans="2:15" ht="15.75" customHeight="1">
      <c r="B289" s="1"/>
      <c r="O289" s="1"/>
    </row>
    <row r="290" spans="2:15" ht="15.75" customHeight="1">
      <c r="B290" s="1"/>
      <c r="O290" s="1"/>
    </row>
    <row r="291" spans="2:15" ht="15.75" customHeight="1">
      <c r="B291" s="1"/>
      <c r="O291" s="1"/>
    </row>
    <row r="292" spans="2:15" ht="15.75" customHeight="1">
      <c r="B292" s="1"/>
      <c r="O292" s="1"/>
    </row>
    <row r="293" spans="2:15" ht="15.75" customHeight="1">
      <c r="B293" s="1"/>
      <c r="O293" s="1"/>
    </row>
    <row r="294" spans="2:15" ht="15.75" customHeight="1">
      <c r="B294" s="1"/>
      <c r="O294" s="1"/>
    </row>
    <row r="295" spans="2:15" ht="15.75" customHeight="1">
      <c r="B295" s="1"/>
      <c r="O295" s="1"/>
    </row>
    <row r="296" spans="2:15" ht="15.75" customHeight="1">
      <c r="B296" s="1"/>
      <c r="O296" s="1"/>
    </row>
    <row r="297" spans="2:15" ht="15.75" customHeight="1">
      <c r="B297" s="1"/>
      <c r="O297" s="1"/>
    </row>
    <row r="298" spans="2:15" ht="15.75" customHeight="1">
      <c r="B298" s="1"/>
      <c r="O298" s="1"/>
    </row>
    <row r="299" spans="2:15" ht="15.75" customHeight="1">
      <c r="B299" s="1"/>
      <c r="O299" s="1"/>
    </row>
    <row r="300" spans="2:15" ht="15.75" customHeight="1">
      <c r="B300" s="1"/>
      <c r="O300" s="1"/>
    </row>
    <row r="301" spans="2:15" ht="15.75" customHeight="1">
      <c r="B301" s="1"/>
      <c r="O301" s="1"/>
    </row>
    <row r="302" spans="2:15" ht="15.75" customHeight="1">
      <c r="B302" s="1"/>
      <c r="O302" s="1"/>
    </row>
    <row r="303" spans="2:15" ht="15.75" customHeight="1">
      <c r="B303" s="1"/>
      <c r="O303" s="1"/>
    </row>
    <row r="304" spans="2:15" ht="15.75" customHeight="1">
      <c r="B304" s="1"/>
      <c r="O304" s="1"/>
    </row>
    <row r="305" spans="2:15" ht="15.75" customHeight="1">
      <c r="B305" s="1"/>
      <c r="O305" s="1"/>
    </row>
    <row r="306" spans="2:15" ht="15.75" customHeight="1">
      <c r="B306" s="1"/>
      <c r="O306" s="1"/>
    </row>
    <row r="307" spans="2:15" ht="15.75" customHeight="1">
      <c r="B307" s="1"/>
      <c r="O307" s="1"/>
    </row>
    <row r="308" spans="2:15" ht="15.75" customHeight="1">
      <c r="B308" s="1"/>
      <c r="O308" s="1"/>
    </row>
    <row r="309" spans="2:15" ht="15.75" customHeight="1">
      <c r="B309" s="1"/>
      <c r="O309" s="1"/>
    </row>
    <row r="310" spans="2:15" ht="15.75" customHeight="1">
      <c r="B310" s="1"/>
      <c r="O310" s="1"/>
    </row>
    <row r="311" spans="2:15" ht="15.75" customHeight="1">
      <c r="B311" s="1"/>
      <c r="O311" s="1"/>
    </row>
    <row r="312" spans="2:15" ht="15.75" customHeight="1">
      <c r="B312" s="1"/>
      <c r="O312" s="1"/>
    </row>
    <row r="313" spans="2:15" ht="15.75" customHeight="1">
      <c r="B313" s="1"/>
      <c r="O313" s="1"/>
    </row>
    <row r="314" spans="2:15" ht="15.75" customHeight="1">
      <c r="B314" s="1"/>
      <c r="O314" s="1"/>
    </row>
    <row r="315" spans="2:15" ht="15.75" customHeight="1">
      <c r="B315" s="1"/>
      <c r="O315" s="1"/>
    </row>
    <row r="316" spans="2:15" ht="15.75" customHeight="1">
      <c r="B316" s="1"/>
      <c r="O316" s="1"/>
    </row>
    <row r="317" spans="2:15" ht="15.75" customHeight="1">
      <c r="B317" s="1"/>
      <c r="O317" s="1"/>
    </row>
    <row r="318" spans="2:15" ht="15.75" customHeight="1">
      <c r="B318" s="1"/>
      <c r="O318" s="1"/>
    </row>
    <row r="319" spans="2:15" ht="15.75" customHeight="1">
      <c r="B319" s="1"/>
      <c r="O319" s="1"/>
    </row>
    <row r="320" spans="2:15" ht="15.75" customHeight="1">
      <c r="B320" s="1"/>
      <c r="O320" s="1"/>
    </row>
    <row r="321" spans="2:15" ht="15.75" customHeight="1">
      <c r="B321" s="1"/>
      <c r="O321" s="1"/>
    </row>
    <row r="322" spans="2:15" ht="15.75" customHeight="1">
      <c r="B322" s="1"/>
      <c r="O322" s="1"/>
    </row>
    <row r="323" spans="2:15" ht="15.75" customHeight="1">
      <c r="B323" s="1"/>
      <c r="O323" s="1"/>
    </row>
    <row r="324" spans="2:15" ht="15.75" customHeight="1">
      <c r="B324" s="1"/>
      <c r="O324" s="1"/>
    </row>
    <row r="325" spans="2:15" ht="15.75" customHeight="1">
      <c r="B325" s="1"/>
      <c r="O325" s="1"/>
    </row>
    <row r="326" spans="2:15" ht="15.75" customHeight="1">
      <c r="B326" s="1"/>
      <c r="O326" s="1"/>
    </row>
    <row r="327" spans="2:15" ht="15.75" customHeight="1">
      <c r="B327" s="1"/>
      <c r="O327" s="1"/>
    </row>
    <row r="328" spans="2:15" ht="15.75" customHeight="1">
      <c r="B328" s="1"/>
      <c r="O328" s="1"/>
    </row>
    <row r="329" spans="2:15" ht="15.75" customHeight="1">
      <c r="B329" s="1"/>
      <c r="O329" s="1"/>
    </row>
    <row r="330" spans="2:15" ht="15.75" customHeight="1">
      <c r="B330" s="1"/>
      <c r="O330" s="1"/>
    </row>
    <row r="331" spans="2:15" ht="15.75" customHeight="1">
      <c r="B331" s="1"/>
      <c r="O331" s="1"/>
    </row>
    <row r="332" spans="2:15" ht="15.75" customHeight="1">
      <c r="B332" s="1"/>
      <c r="O332" s="1"/>
    </row>
    <row r="333" spans="2:15" ht="15.75" customHeight="1">
      <c r="B333" s="1"/>
      <c r="O333" s="1"/>
    </row>
    <row r="334" spans="2:15" ht="15.75" customHeight="1">
      <c r="B334" s="1"/>
      <c r="O334" s="1"/>
    </row>
    <row r="335" spans="2:15" ht="15.75" customHeight="1">
      <c r="B335" s="1"/>
      <c r="O335" s="1"/>
    </row>
    <row r="336" spans="2:15" ht="15.75" customHeight="1">
      <c r="B336" s="1"/>
      <c r="O336" s="1"/>
    </row>
    <row r="337" spans="2:15" ht="15.75" customHeight="1">
      <c r="B337" s="1"/>
      <c r="O337" s="1"/>
    </row>
    <row r="338" spans="2:15" ht="15.75" customHeight="1">
      <c r="B338" s="1"/>
      <c r="O338" s="1"/>
    </row>
    <row r="339" spans="2:15" ht="15.75" customHeight="1">
      <c r="B339" s="1"/>
      <c r="O339" s="1"/>
    </row>
    <row r="340" spans="2:15" ht="15.75" customHeight="1">
      <c r="B340" s="1"/>
      <c r="O340" s="1"/>
    </row>
    <row r="341" spans="2:15" ht="15.75" customHeight="1">
      <c r="B341" s="1"/>
      <c r="O341" s="1"/>
    </row>
    <row r="342" spans="2:15" ht="15.75" customHeight="1">
      <c r="B342" s="1"/>
      <c r="O342" s="1"/>
    </row>
    <row r="343" spans="2:15" ht="15.75" customHeight="1">
      <c r="B343" s="1"/>
      <c r="O343" s="1"/>
    </row>
    <row r="344" spans="2:15" ht="15.75" customHeight="1">
      <c r="B344" s="1"/>
      <c r="O344" s="1"/>
    </row>
    <row r="345" spans="2:15" ht="15.75" customHeight="1">
      <c r="B345" s="1"/>
      <c r="O345" s="1"/>
    </row>
    <row r="346" spans="2:15" ht="15.75" customHeight="1">
      <c r="B346" s="1"/>
      <c r="O346" s="1"/>
    </row>
    <row r="347" spans="2:15" ht="15.75" customHeight="1">
      <c r="B347" s="1"/>
      <c r="O347" s="1"/>
    </row>
    <row r="348" spans="2:15" ht="15.75" customHeight="1">
      <c r="B348" s="1"/>
      <c r="O348" s="1"/>
    </row>
    <row r="349" spans="2:15" ht="15.75" customHeight="1">
      <c r="B349" s="1"/>
      <c r="O349" s="1"/>
    </row>
    <row r="350" spans="2:15" ht="15.75" customHeight="1">
      <c r="B350" s="1"/>
      <c r="O350" s="1"/>
    </row>
    <row r="351" spans="2:15" ht="15.75" customHeight="1">
      <c r="B351" s="1"/>
      <c r="O351" s="1"/>
    </row>
    <row r="352" spans="2:15" ht="15.75" customHeight="1">
      <c r="B352" s="1"/>
      <c r="O352" s="1"/>
    </row>
    <row r="353" spans="2:15" ht="15.75" customHeight="1">
      <c r="B353" s="1"/>
      <c r="O353" s="1"/>
    </row>
    <row r="354" spans="2:15" ht="15.75" customHeight="1">
      <c r="B354" s="1"/>
      <c r="O354" s="1"/>
    </row>
    <row r="355" spans="2:15" ht="15.75" customHeight="1">
      <c r="B355" s="1"/>
      <c r="O355" s="1"/>
    </row>
    <row r="356" spans="2:15" ht="15.75" customHeight="1">
      <c r="B356" s="1"/>
      <c r="O356" s="1"/>
    </row>
    <row r="357" spans="2:15" ht="15.75" customHeight="1">
      <c r="B357" s="1"/>
      <c r="O357" s="1"/>
    </row>
    <row r="358" spans="2:15" ht="15.75" customHeight="1">
      <c r="B358" s="1"/>
      <c r="O358" s="1"/>
    </row>
    <row r="359" spans="2:15" ht="15.75" customHeight="1">
      <c r="B359" s="1"/>
      <c r="O359" s="1"/>
    </row>
    <row r="360" spans="2:15" ht="15.75" customHeight="1">
      <c r="B360" s="1"/>
      <c r="O360" s="1"/>
    </row>
    <row r="361" spans="2:15" ht="15.75" customHeight="1">
      <c r="B361" s="1"/>
      <c r="O361" s="1"/>
    </row>
    <row r="362" spans="2:15" ht="15.75" customHeight="1">
      <c r="B362" s="1"/>
      <c r="O362" s="1"/>
    </row>
    <row r="363" spans="2:15" ht="15.75" customHeight="1">
      <c r="B363" s="1"/>
      <c r="O363" s="1"/>
    </row>
    <row r="364" spans="2:15" ht="15.75" customHeight="1">
      <c r="B364" s="1"/>
      <c r="O364" s="1"/>
    </row>
    <row r="365" spans="2:15" ht="15.75" customHeight="1">
      <c r="B365" s="1"/>
      <c r="O365" s="1"/>
    </row>
    <row r="366" spans="2:15" ht="15.75" customHeight="1">
      <c r="B366" s="1"/>
      <c r="O366" s="1"/>
    </row>
    <row r="367" spans="2:15" ht="15.75" customHeight="1">
      <c r="B367" s="1"/>
      <c r="O367" s="1"/>
    </row>
    <row r="368" spans="2:15" ht="15.75" customHeight="1">
      <c r="B368" s="1"/>
      <c r="O368" s="1"/>
    </row>
    <row r="369" spans="2:15" ht="15.75" customHeight="1">
      <c r="B369" s="1"/>
      <c r="O369" s="1"/>
    </row>
    <row r="370" spans="2:15" ht="15.75" customHeight="1">
      <c r="B370" s="1"/>
      <c r="O370" s="1"/>
    </row>
    <row r="371" spans="2:15" ht="15.75" customHeight="1">
      <c r="B371" s="1"/>
      <c r="O371" s="1"/>
    </row>
    <row r="372" spans="2:15" ht="15.75" customHeight="1">
      <c r="B372" s="1"/>
      <c r="O372" s="1"/>
    </row>
    <row r="373" spans="2:15" ht="15.75" customHeight="1">
      <c r="B373" s="1"/>
      <c r="O373" s="1"/>
    </row>
    <row r="374" spans="2:15" ht="15.75" customHeight="1">
      <c r="B374" s="1"/>
      <c r="O374" s="1"/>
    </row>
    <row r="375" spans="2:15" ht="15.75" customHeight="1">
      <c r="B375" s="1"/>
      <c r="O375" s="1"/>
    </row>
    <row r="376" spans="2:15" ht="15.75" customHeight="1">
      <c r="B376" s="1"/>
      <c r="O376" s="1"/>
    </row>
    <row r="377" spans="2:15" ht="15.75" customHeight="1">
      <c r="B377" s="1"/>
      <c r="O377" s="1"/>
    </row>
    <row r="378" spans="2:15" ht="15.75" customHeight="1">
      <c r="B378" s="1"/>
      <c r="O378" s="1"/>
    </row>
    <row r="379" spans="2:15" ht="15.75" customHeight="1">
      <c r="B379" s="1"/>
      <c r="O379" s="1"/>
    </row>
    <row r="380" spans="2:15" ht="15.75" customHeight="1">
      <c r="B380" s="1"/>
      <c r="O380" s="1"/>
    </row>
    <row r="381" spans="2:15" ht="15.75" customHeight="1">
      <c r="B381" s="1"/>
      <c r="O381" s="1"/>
    </row>
    <row r="382" spans="2:15" ht="15.75" customHeight="1">
      <c r="B382" s="1"/>
      <c r="O382" s="1"/>
    </row>
    <row r="383" spans="2:15" ht="15.75" customHeight="1">
      <c r="B383" s="1"/>
      <c r="O383" s="1"/>
    </row>
    <row r="384" spans="2:15" ht="15.75" customHeight="1">
      <c r="B384" s="1"/>
      <c r="O384" s="1"/>
    </row>
    <row r="385" spans="2:15" ht="15.75" customHeight="1">
      <c r="B385" s="1"/>
      <c r="O385" s="1"/>
    </row>
    <row r="386" spans="2:15" ht="15.75" customHeight="1">
      <c r="B386" s="1"/>
      <c r="O386" s="1"/>
    </row>
    <row r="387" spans="2:15" ht="15.75" customHeight="1">
      <c r="B387" s="1"/>
      <c r="O387" s="1"/>
    </row>
    <row r="388" spans="2:15" ht="15.75" customHeight="1">
      <c r="B388" s="1"/>
      <c r="O388" s="1"/>
    </row>
    <row r="389" spans="2:15" ht="15.75" customHeight="1">
      <c r="B389" s="1"/>
      <c r="O389" s="1"/>
    </row>
    <row r="390" spans="2:15" ht="15.75" customHeight="1">
      <c r="B390" s="1"/>
      <c r="O390" s="1"/>
    </row>
    <row r="391" spans="2:15" ht="15.75" customHeight="1">
      <c r="B391" s="1"/>
      <c r="O391" s="1"/>
    </row>
    <row r="392" spans="2:15" ht="15.75" customHeight="1">
      <c r="B392" s="1"/>
      <c r="O392" s="1"/>
    </row>
    <row r="393" spans="2:15" ht="15.75" customHeight="1">
      <c r="B393" s="1"/>
      <c r="O393" s="1"/>
    </row>
    <row r="394" spans="2:15" ht="15.75" customHeight="1">
      <c r="B394" s="1"/>
      <c r="O394" s="1"/>
    </row>
    <row r="395" spans="2:15" ht="15.75" customHeight="1">
      <c r="B395" s="1"/>
      <c r="O395" s="1"/>
    </row>
    <row r="396" spans="2:15" ht="15.75" customHeight="1">
      <c r="B396" s="1"/>
      <c r="O396" s="1"/>
    </row>
    <row r="397" spans="2:15" ht="15.75" customHeight="1">
      <c r="B397" s="1"/>
      <c r="O397" s="1"/>
    </row>
    <row r="398" spans="2:15" ht="15.75" customHeight="1">
      <c r="B398" s="1"/>
      <c r="O398" s="1"/>
    </row>
    <row r="399" spans="2:15" ht="15.75" customHeight="1">
      <c r="B399" s="1"/>
      <c r="O399" s="1"/>
    </row>
    <row r="400" spans="2:15" ht="15.75" customHeight="1">
      <c r="B400" s="1"/>
      <c r="O400" s="1"/>
    </row>
    <row r="401" spans="2:15" ht="15.75" customHeight="1">
      <c r="B401" s="1"/>
      <c r="O401" s="1"/>
    </row>
    <row r="402" spans="2:15" ht="15.75" customHeight="1">
      <c r="B402" s="1"/>
      <c r="O402" s="1"/>
    </row>
    <row r="403" spans="2:15" ht="15.75" customHeight="1">
      <c r="B403" s="1"/>
      <c r="O403" s="1"/>
    </row>
    <row r="404" spans="2:15" ht="15.75" customHeight="1">
      <c r="B404" s="1"/>
      <c r="O404" s="1"/>
    </row>
    <row r="405" spans="2:15" ht="15.75" customHeight="1">
      <c r="B405" s="1"/>
      <c r="O405" s="1"/>
    </row>
    <row r="406" spans="2:15" ht="15.75" customHeight="1">
      <c r="B406" s="1"/>
      <c r="O406" s="1"/>
    </row>
    <row r="407" spans="2:15" ht="15.75" customHeight="1">
      <c r="B407" s="1"/>
      <c r="O407" s="1"/>
    </row>
    <row r="408" spans="2:15" ht="15.75" customHeight="1">
      <c r="B408" s="1"/>
      <c r="O408" s="1"/>
    </row>
    <row r="409" spans="2:15" ht="15.75" customHeight="1">
      <c r="B409" s="1"/>
      <c r="O409" s="1"/>
    </row>
    <row r="410" spans="2:15" ht="15.75" customHeight="1">
      <c r="B410" s="1"/>
      <c r="O410" s="1"/>
    </row>
    <row r="411" spans="2:15" ht="15.75" customHeight="1">
      <c r="B411" s="1"/>
      <c r="O411" s="1"/>
    </row>
    <row r="412" spans="2:15" ht="15.75" customHeight="1">
      <c r="B412" s="1"/>
      <c r="O412" s="1"/>
    </row>
    <row r="413" spans="2:15" ht="15.75" customHeight="1">
      <c r="B413" s="1"/>
      <c r="O413" s="1"/>
    </row>
    <row r="414" spans="2:15" ht="15.75" customHeight="1">
      <c r="B414" s="1"/>
      <c r="O414" s="1"/>
    </row>
    <row r="415" spans="2:15" ht="15.75" customHeight="1">
      <c r="B415" s="1"/>
      <c r="O415" s="1"/>
    </row>
    <row r="416" spans="2:15" ht="15.75" customHeight="1">
      <c r="B416" s="1"/>
      <c r="O416" s="1"/>
    </row>
    <row r="417" spans="2:15" ht="15.75" customHeight="1">
      <c r="B417" s="1"/>
      <c r="O417" s="1"/>
    </row>
    <row r="418" spans="2:15" ht="15.75" customHeight="1">
      <c r="B418" s="1"/>
      <c r="O418" s="1"/>
    </row>
    <row r="419" spans="2:15" ht="15.75" customHeight="1">
      <c r="B419" s="1"/>
      <c r="O419" s="1"/>
    </row>
    <row r="420" spans="2:15" ht="15.75" customHeight="1">
      <c r="B420" s="1"/>
      <c r="O420" s="1"/>
    </row>
    <row r="421" spans="2:15" ht="15.75" customHeight="1">
      <c r="B421" s="1"/>
      <c r="O421" s="1"/>
    </row>
    <row r="422" spans="2:15" ht="15.75" customHeight="1">
      <c r="B422" s="1"/>
      <c r="O422" s="1"/>
    </row>
    <row r="423" spans="2:15" ht="15.75" customHeight="1">
      <c r="B423" s="1"/>
      <c r="O423" s="1"/>
    </row>
    <row r="424" spans="2:15" ht="15.75" customHeight="1">
      <c r="B424" s="1"/>
      <c r="O424" s="1"/>
    </row>
    <row r="425" spans="2:15" ht="15.75" customHeight="1">
      <c r="B425" s="1"/>
      <c r="O425" s="1"/>
    </row>
    <row r="426" spans="2:15" ht="15.75" customHeight="1">
      <c r="B426" s="1"/>
      <c r="O426" s="1"/>
    </row>
    <row r="427" spans="2:15" ht="15.75" customHeight="1">
      <c r="B427" s="1"/>
      <c r="O427" s="1"/>
    </row>
    <row r="428" spans="2:15" ht="15.75" customHeight="1">
      <c r="B428" s="1"/>
      <c r="O428" s="1"/>
    </row>
    <row r="429" spans="2:15" ht="15.75" customHeight="1">
      <c r="B429" s="1"/>
      <c r="O429" s="1"/>
    </row>
    <row r="430" spans="2:15" ht="15.75" customHeight="1">
      <c r="B430" s="1"/>
      <c r="O430" s="1"/>
    </row>
    <row r="431" spans="2:15" ht="15.75" customHeight="1">
      <c r="B431" s="1"/>
      <c r="O431" s="1"/>
    </row>
    <row r="432" spans="2:15" ht="15.75" customHeight="1">
      <c r="B432" s="1"/>
      <c r="O432" s="1"/>
    </row>
    <row r="433" spans="2:15" ht="15.75" customHeight="1">
      <c r="B433" s="1"/>
      <c r="O433" s="1"/>
    </row>
    <row r="434" spans="2:15" ht="15.75" customHeight="1">
      <c r="B434" s="1"/>
      <c r="O434" s="1"/>
    </row>
    <row r="435" spans="2:15" ht="15.75" customHeight="1">
      <c r="B435" s="1"/>
      <c r="O435" s="1"/>
    </row>
    <row r="436" spans="2:15" ht="15.75" customHeight="1">
      <c r="B436" s="1"/>
      <c r="O436" s="1"/>
    </row>
    <row r="437" spans="2:15" ht="15.75" customHeight="1">
      <c r="B437" s="1"/>
      <c r="O437" s="1"/>
    </row>
    <row r="438" spans="2:15" ht="15.75" customHeight="1">
      <c r="B438" s="1"/>
      <c r="O438" s="1"/>
    </row>
    <row r="439" spans="2:15" ht="15.75" customHeight="1">
      <c r="B439" s="1"/>
      <c r="O439" s="1"/>
    </row>
    <row r="440" spans="2:15" ht="15.75" customHeight="1">
      <c r="B440" s="1"/>
      <c r="O440" s="1"/>
    </row>
    <row r="441" spans="2:15" ht="15.75" customHeight="1">
      <c r="B441" s="1"/>
      <c r="O441" s="1"/>
    </row>
    <row r="442" spans="2:15" ht="15.75" customHeight="1">
      <c r="B442" s="1"/>
      <c r="O442" s="1"/>
    </row>
    <row r="443" spans="2:15" ht="15.75" customHeight="1">
      <c r="B443" s="1"/>
      <c r="O443" s="1"/>
    </row>
    <row r="444" spans="2:15" ht="15.75" customHeight="1">
      <c r="B444" s="1"/>
      <c r="O444" s="1"/>
    </row>
    <row r="445" spans="2:15" ht="15.75" customHeight="1">
      <c r="B445" s="1"/>
      <c r="O445" s="1"/>
    </row>
    <row r="446" spans="2:15" ht="15.75" customHeight="1">
      <c r="B446" s="1"/>
      <c r="O446" s="1"/>
    </row>
    <row r="447" spans="2:15" ht="15.75" customHeight="1">
      <c r="B447" s="1"/>
      <c r="O447" s="1"/>
    </row>
    <row r="448" spans="2:15" ht="15.75" customHeight="1">
      <c r="B448" s="1"/>
      <c r="O448" s="1"/>
    </row>
    <row r="449" spans="2:15" ht="15.75" customHeight="1">
      <c r="B449" s="1"/>
      <c r="O449" s="1"/>
    </row>
    <row r="450" spans="2:15" ht="15.75" customHeight="1">
      <c r="B450" s="1"/>
      <c r="O450" s="1"/>
    </row>
    <row r="451" spans="2:15" ht="15.75" customHeight="1">
      <c r="B451" s="1"/>
      <c r="O451" s="1"/>
    </row>
    <row r="452" spans="2:15" ht="15.75" customHeight="1">
      <c r="B452" s="1"/>
      <c r="O452" s="1"/>
    </row>
    <row r="453" spans="2:15" ht="15.75" customHeight="1">
      <c r="B453" s="1"/>
      <c r="O453" s="1"/>
    </row>
    <row r="454" spans="2:15" ht="15.75" customHeight="1">
      <c r="B454" s="1"/>
      <c r="O454" s="1"/>
    </row>
    <row r="455" spans="2:15" ht="15.75" customHeight="1">
      <c r="B455" s="1"/>
      <c r="O455" s="1"/>
    </row>
    <row r="456" spans="2:15" ht="15.75" customHeight="1">
      <c r="B456" s="1"/>
      <c r="O456" s="1"/>
    </row>
    <row r="457" spans="2:15" ht="15.75" customHeight="1">
      <c r="B457" s="1"/>
      <c r="O457" s="1"/>
    </row>
    <row r="458" spans="2:15" ht="15.75" customHeight="1">
      <c r="B458" s="1"/>
      <c r="O458" s="1"/>
    </row>
    <row r="459" spans="2:15" ht="15.75" customHeight="1">
      <c r="B459" s="1"/>
      <c r="O459" s="1"/>
    </row>
    <row r="460" spans="2:15" ht="15.75" customHeight="1">
      <c r="B460" s="1"/>
      <c r="O460" s="1"/>
    </row>
    <row r="461" spans="2:15" ht="15.75" customHeight="1">
      <c r="B461" s="1"/>
      <c r="O461" s="1"/>
    </row>
    <row r="462" spans="2:15" ht="15.75" customHeight="1">
      <c r="B462" s="1"/>
      <c r="O462" s="1"/>
    </row>
    <row r="463" spans="2:15" ht="15.75" customHeight="1">
      <c r="B463" s="1"/>
      <c r="O463" s="1"/>
    </row>
    <row r="464" spans="2:15" ht="15.75" customHeight="1">
      <c r="B464" s="1"/>
      <c r="O464" s="1"/>
    </row>
    <row r="465" spans="2:15" ht="15.75" customHeight="1">
      <c r="B465" s="1"/>
      <c r="O465" s="1"/>
    </row>
    <row r="466" spans="2:15" ht="15.75" customHeight="1">
      <c r="B466" s="1"/>
      <c r="O466" s="1"/>
    </row>
    <row r="467" spans="2:15" ht="15.75" customHeight="1">
      <c r="B467" s="1"/>
      <c r="O467" s="1"/>
    </row>
    <row r="468" spans="2:15" ht="15.75" customHeight="1">
      <c r="B468" s="1"/>
      <c r="O468" s="1"/>
    </row>
    <row r="469" spans="2:15" ht="15.75" customHeight="1">
      <c r="B469" s="1"/>
      <c r="O469" s="1"/>
    </row>
    <row r="470" spans="2:15" ht="15.75" customHeight="1">
      <c r="B470" s="1"/>
      <c r="O470" s="1"/>
    </row>
    <row r="471" spans="2:15" ht="15.75" customHeight="1">
      <c r="B471" s="1"/>
      <c r="O471" s="1"/>
    </row>
    <row r="472" spans="2:15" ht="15.75" customHeight="1">
      <c r="B472" s="1"/>
      <c r="O472" s="1"/>
    </row>
    <row r="473" spans="2:15" ht="15.75" customHeight="1">
      <c r="B473" s="1"/>
      <c r="O473" s="1"/>
    </row>
    <row r="474" spans="2:15" ht="15.75" customHeight="1">
      <c r="B474" s="1"/>
      <c r="O474" s="1"/>
    </row>
    <row r="475" spans="2:15" ht="15.75" customHeight="1">
      <c r="B475" s="1"/>
      <c r="O475" s="1"/>
    </row>
    <row r="476" spans="2:15" ht="15.75" customHeight="1">
      <c r="B476" s="1"/>
      <c r="O476" s="1"/>
    </row>
    <row r="477" spans="2:15" ht="15.75" customHeight="1">
      <c r="B477" s="1"/>
      <c r="O477" s="1"/>
    </row>
    <row r="478" spans="2:15" ht="15.75" customHeight="1">
      <c r="B478" s="1"/>
      <c r="O478" s="1"/>
    </row>
    <row r="479" spans="2:15" ht="15.75" customHeight="1">
      <c r="B479" s="1"/>
      <c r="O479" s="1"/>
    </row>
    <row r="480" spans="2:15" ht="15.75" customHeight="1">
      <c r="B480" s="1"/>
      <c r="O480" s="1"/>
    </row>
    <row r="481" spans="2:15" ht="15.75" customHeight="1">
      <c r="B481" s="1"/>
      <c r="O481" s="1"/>
    </row>
    <row r="482" spans="2:15" ht="15.75" customHeight="1">
      <c r="B482" s="1"/>
      <c r="O482" s="1"/>
    </row>
    <row r="483" spans="2:15" ht="15.75" customHeight="1">
      <c r="B483" s="1"/>
      <c r="O483" s="1"/>
    </row>
    <row r="484" spans="2:15" ht="15.75" customHeight="1">
      <c r="B484" s="1"/>
      <c r="O484" s="1"/>
    </row>
    <row r="485" spans="2:15" ht="15.75" customHeight="1">
      <c r="B485" s="1"/>
      <c r="O485" s="1"/>
    </row>
    <row r="486" spans="2:15" ht="15.75" customHeight="1">
      <c r="B486" s="1"/>
      <c r="O486" s="1"/>
    </row>
    <row r="487" spans="2:15" ht="15.75" customHeight="1">
      <c r="B487" s="1"/>
      <c r="O487" s="1"/>
    </row>
    <row r="488" spans="2:15" ht="15.75" customHeight="1">
      <c r="B488" s="1"/>
      <c r="O488" s="1"/>
    </row>
    <row r="489" spans="2:15" ht="15.75" customHeight="1">
      <c r="B489" s="1"/>
      <c r="O489" s="1"/>
    </row>
    <row r="490" spans="2:15" ht="15.75" customHeight="1">
      <c r="B490" s="1"/>
      <c r="O490" s="1"/>
    </row>
    <row r="491" spans="2:15" ht="15.75" customHeight="1">
      <c r="B491" s="1"/>
      <c r="O491" s="1"/>
    </row>
    <row r="492" spans="2:15" ht="15.75" customHeight="1">
      <c r="B492" s="1"/>
      <c r="O492" s="1"/>
    </row>
    <row r="493" spans="2:15" ht="15.75" customHeight="1">
      <c r="B493" s="1"/>
      <c r="O493" s="1"/>
    </row>
    <row r="494" spans="2:15" ht="15.75" customHeight="1">
      <c r="B494" s="1"/>
      <c r="O494" s="1"/>
    </row>
    <row r="495" spans="2:15" ht="15.75" customHeight="1">
      <c r="B495" s="1"/>
      <c r="O495" s="1"/>
    </row>
    <row r="496" spans="2:15" ht="15.75" customHeight="1">
      <c r="B496" s="1"/>
      <c r="O496" s="1"/>
    </row>
    <row r="497" spans="2:15" ht="15.75" customHeight="1">
      <c r="B497" s="1"/>
      <c r="O497" s="1"/>
    </row>
    <row r="498" spans="2:15" ht="15.75" customHeight="1">
      <c r="B498" s="1"/>
      <c r="O498" s="1"/>
    </row>
    <row r="499" spans="2:15" ht="15.75" customHeight="1">
      <c r="B499" s="1"/>
      <c r="O499" s="1"/>
    </row>
    <row r="500" spans="2:15" ht="15.75" customHeight="1">
      <c r="B500" s="1"/>
      <c r="O500" s="1"/>
    </row>
    <row r="501" spans="2:15" ht="15.75" customHeight="1">
      <c r="B501" s="1"/>
      <c r="O501" s="1"/>
    </row>
    <row r="502" spans="2:15" ht="15.75" customHeight="1">
      <c r="B502" s="1"/>
      <c r="O502" s="1"/>
    </row>
    <row r="503" spans="2:15" ht="15.75" customHeight="1">
      <c r="B503" s="1"/>
      <c r="O503" s="1"/>
    </row>
    <row r="504" spans="2:15" ht="15.75" customHeight="1">
      <c r="B504" s="1"/>
      <c r="O504" s="1"/>
    </row>
    <row r="505" spans="2:15" ht="15.75" customHeight="1">
      <c r="B505" s="1"/>
      <c r="O505" s="1"/>
    </row>
    <row r="506" spans="2:15" ht="15.75" customHeight="1">
      <c r="B506" s="1"/>
      <c r="O506" s="1"/>
    </row>
    <row r="507" spans="2:15" ht="15.75" customHeight="1">
      <c r="B507" s="1"/>
      <c r="O507" s="1"/>
    </row>
    <row r="508" spans="2:15" ht="15.75" customHeight="1">
      <c r="B508" s="1"/>
      <c r="O508" s="1"/>
    </row>
    <row r="509" spans="2:15" ht="15.75" customHeight="1">
      <c r="B509" s="1"/>
      <c r="O509" s="1"/>
    </row>
    <row r="510" spans="2:15" ht="15.75" customHeight="1">
      <c r="B510" s="1"/>
      <c r="O510" s="1"/>
    </row>
    <row r="511" spans="2:15" ht="15.75" customHeight="1">
      <c r="B511" s="1"/>
      <c r="O511" s="1"/>
    </row>
    <row r="512" spans="2:15" ht="15.75" customHeight="1">
      <c r="B512" s="1"/>
      <c r="O512" s="1"/>
    </row>
    <row r="513" spans="2:15" ht="15.75" customHeight="1">
      <c r="B513" s="1"/>
      <c r="O513" s="1"/>
    </row>
    <row r="514" spans="2:15" ht="15.75" customHeight="1">
      <c r="B514" s="1"/>
      <c r="O514" s="1"/>
    </row>
    <row r="515" spans="2:15" ht="15.75" customHeight="1">
      <c r="B515" s="1"/>
      <c r="O515" s="1"/>
    </row>
    <row r="516" spans="2:15" ht="15.75" customHeight="1">
      <c r="B516" s="1"/>
      <c r="O516" s="1"/>
    </row>
    <row r="517" spans="2:15" ht="15.75" customHeight="1">
      <c r="B517" s="1"/>
      <c r="O517" s="1"/>
    </row>
    <row r="518" spans="2:15" ht="15.75" customHeight="1">
      <c r="B518" s="1"/>
      <c r="O518" s="1"/>
    </row>
    <row r="519" spans="2:15" ht="15.75" customHeight="1">
      <c r="B519" s="1"/>
      <c r="O519" s="1"/>
    </row>
    <row r="520" spans="2:15" ht="15.75" customHeight="1">
      <c r="B520" s="1"/>
      <c r="O520" s="1"/>
    </row>
    <row r="521" spans="2:15" ht="15.75" customHeight="1">
      <c r="B521" s="1"/>
      <c r="O521" s="1"/>
    </row>
    <row r="522" spans="2:15" ht="15.75" customHeight="1">
      <c r="B522" s="1"/>
      <c r="O522" s="1"/>
    </row>
    <row r="523" spans="2:15" ht="15.75" customHeight="1">
      <c r="B523" s="1"/>
      <c r="O523" s="1"/>
    </row>
    <row r="524" spans="2:15" ht="15.75" customHeight="1">
      <c r="B524" s="1"/>
      <c r="O524" s="1"/>
    </row>
    <row r="525" spans="2:15" ht="15.75" customHeight="1">
      <c r="B525" s="1"/>
      <c r="O525" s="1"/>
    </row>
    <row r="526" spans="2:15" ht="15.75" customHeight="1">
      <c r="B526" s="1"/>
      <c r="O526" s="1"/>
    </row>
    <row r="527" spans="2:15" ht="15.75" customHeight="1">
      <c r="B527" s="1"/>
      <c r="O527" s="1"/>
    </row>
    <row r="528" spans="2:15" ht="15.75" customHeight="1">
      <c r="B528" s="1"/>
      <c r="O528" s="1"/>
    </row>
    <row r="529" spans="2:15" ht="15.75" customHeight="1">
      <c r="B529" s="1"/>
      <c r="O529" s="1"/>
    </row>
    <row r="530" spans="2:15" ht="15.75" customHeight="1">
      <c r="B530" s="1"/>
      <c r="O530" s="1"/>
    </row>
    <row r="531" spans="2:15" ht="15.75" customHeight="1">
      <c r="B531" s="1"/>
      <c r="O531" s="1"/>
    </row>
    <row r="532" spans="2:15" ht="15.75" customHeight="1">
      <c r="B532" s="1"/>
      <c r="O532" s="1"/>
    </row>
    <row r="533" spans="2:15" ht="15.75" customHeight="1">
      <c r="B533" s="1"/>
      <c r="O533" s="1"/>
    </row>
    <row r="534" spans="2:15" ht="15.75" customHeight="1">
      <c r="B534" s="1"/>
      <c r="O534" s="1"/>
    </row>
    <row r="535" spans="2:15" ht="15.75" customHeight="1">
      <c r="B535" s="1"/>
      <c r="O535" s="1"/>
    </row>
    <row r="536" spans="2:15" ht="15.75" customHeight="1">
      <c r="B536" s="1"/>
      <c r="O536" s="1"/>
    </row>
    <row r="537" spans="2:15" ht="15.75" customHeight="1">
      <c r="B537" s="1"/>
      <c r="O537" s="1"/>
    </row>
    <row r="538" spans="2:15" ht="15.75" customHeight="1">
      <c r="B538" s="1"/>
      <c r="O538" s="1"/>
    </row>
    <row r="539" spans="2:15" ht="15.75" customHeight="1">
      <c r="B539" s="1"/>
      <c r="O539" s="1"/>
    </row>
    <row r="540" spans="2:15" ht="15.75" customHeight="1">
      <c r="B540" s="1"/>
      <c r="O540" s="1"/>
    </row>
    <row r="541" spans="2:15" ht="15.75" customHeight="1">
      <c r="B541" s="1"/>
      <c r="O541" s="1"/>
    </row>
    <row r="542" spans="2:15" ht="15.75" customHeight="1">
      <c r="B542" s="1"/>
      <c r="O542" s="1"/>
    </row>
    <row r="543" spans="2:15" ht="15.75" customHeight="1">
      <c r="B543" s="1"/>
      <c r="O543" s="1"/>
    </row>
    <row r="544" spans="2:15" ht="15.75" customHeight="1">
      <c r="B544" s="1"/>
      <c r="O544" s="1"/>
    </row>
    <row r="545" spans="2:15" ht="15.75" customHeight="1">
      <c r="B545" s="1"/>
      <c r="O545" s="1"/>
    </row>
    <row r="546" spans="2:15" ht="15.75" customHeight="1">
      <c r="B546" s="1"/>
      <c r="O546" s="1"/>
    </row>
    <row r="547" spans="2:15" ht="15.75" customHeight="1">
      <c r="B547" s="1"/>
      <c r="O547" s="1"/>
    </row>
    <row r="548" spans="2:15" ht="15.75" customHeight="1">
      <c r="B548" s="1"/>
      <c r="O548" s="1"/>
    </row>
    <row r="549" spans="2:15" ht="15.75" customHeight="1">
      <c r="B549" s="1"/>
      <c r="O549" s="1"/>
    </row>
    <row r="550" spans="2:15" ht="15.75" customHeight="1">
      <c r="B550" s="1"/>
      <c r="O550" s="1"/>
    </row>
    <row r="551" spans="2:15" ht="15.75" customHeight="1">
      <c r="B551" s="1"/>
      <c r="O551" s="1"/>
    </row>
    <row r="552" spans="2:15" ht="15.75" customHeight="1">
      <c r="B552" s="1"/>
      <c r="O552" s="1"/>
    </row>
    <row r="553" spans="2:15" ht="15.75" customHeight="1">
      <c r="B553" s="1"/>
      <c r="O553" s="1"/>
    </row>
    <row r="554" spans="2:15" ht="15.75" customHeight="1">
      <c r="B554" s="1"/>
      <c r="O554" s="1"/>
    </row>
    <row r="555" spans="2:15" ht="15.75" customHeight="1">
      <c r="B555" s="1"/>
      <c r="O555" s="1"/>
    </row>
    <row r="556" spans="2:15" ht="15.75" customHeight="1">
      <c r="B556" s="1"/>
      <c r="O556" s="1"/>
    </row>
    <row r="557" spans="2:15" ht="15.75" customHeight="1">
      <c r="B557" s="1"/>
      <c r="O557" s="1"/>
    </row>
    <row r="558" spans="2:15" ht="15.75" customHeight="1">
      <c r="B558" s="1"/>
      <c r="O558" s="1"/>
    </row>
    <row r="559" spans="2:15" ht="15.75" customHeight="1">
      <c r="B559" s="1"/>
      <c r="O559" s="1"/>
    </row>
    <row r="560" spans="2:15" ht="15.75" customHeight="1">
      <c r="B560" s="1"/>
      <c r="O560" s="1"/>
    </row>
    <row r="561" spans="2:15" ht="15.75" customHeight="1">
      <c r="B561" s="1"/>
      <c r="O561" s="1"/>
    </row>
    <row r="562" spans="2:15" ht="15.75" customHeight="1">
      <c r="B562" s="1"/>
      <c r="O562" s="1"/>
    </row>
    <row r="563" spans="2:15" ht="15.75" customHeight="1">
      <c r="B563" s="1"/>
      <c r="O563" s="1"/>
    </row>
    <row r="564" spans="2:15" ht="15.75" customHeight="1">
      <c r="B564" s="1"/>
      <c r="O564" s="1"/>
    </row>
    <row r="565" spans="2:15" ht="15.75" customHeight="1">
      <c r="B565" s="1"/>
      <c r="O565" s="1"/>
    </row>
    <row r="566" spans="2:15" ht="15.75" customHeight="1">
      <c r="B566" s="1"/>
      <c r="O566" s="1"/>
    </row>
    <row r="567" spans="2:15" ht="15.75" customHeight="1">
      <c r="B567" s="1"/>
      <c r="O567" s="1"/>
    </row>
    <row r="568" spans="2:15" ht="15.75" customHeight="1">
      <c r="B568" s="1"/>
      <c r="O568" s="1"/>
    </row>
    <row r="569" spans="2:15" ht="15.75" customHeight="1">
      <c r="B569" s="1"/>
      <c r="O569" s="1"/>
    </row>
    <row r="570" spans="2:15" ht="15.75" customHeight="1">
      <c r="B570" s="1"/>
      <c r="O570" s="1"/>
    </row>
    <row r="571" spans="2:15" ht="15.75" customHeight="1">
      <c r="B571" s="1"/>
      <c r="O571" s="1"/>
    </row>
    <row r="572" spans="2:15" ht="15.75" customHeight="1">
      <c r="B572" s="1"/>
      <c r="O572" s="1"/>
    </row>
    <row r="573" spans="2:15" ht="15.75" customHeight="1">
      <c r="B573" s="1"/>
      <c r="O573" s="1"/>
    </row>
    <row r="574" spans="2:15" ht="15.75" customHeight="1">
      <c r="B574" s="1"/>
      <c r="O574" s="1"/>
    </row>
    <row r="575" spans="2:15" ht="15.75" customHeight="1">
      <c r="B575" s="1"/>
      <c r="O575" s="1"/>
    </row>
    <row r="576" spans="2:15" ht="15.75" customHeight="1">
      <c r="B576" s="1"/>
      <c r="O576" s="1"/>
    </row>
    <row r="577" spans="2:15" ht="15.75" customHeight="1">
      <c r="B577" s="1"/>
      <c r="O577" s="1"/>
    </row>
    <row r="578" spans="2:15" ht="15.75" customHeight="1">
      <c r="B578" s="1"/>
      <c r="O578" s="1"/>
    </row>
    <row r="579" spans="2:15" ht="15.75" customHeight="1">
      <c r="B579" s="1"/>
      <c r="O579" s="1"/>
    </row>
    <row r="580" spans="2:15" ht="15.75" customHeight="1">
      <c r="B580" s="1"/>
      <c r="O580" s="1"/>
    </row>
    <row r="581" spans="2:15" ht="15.75" customHeight="1">
      <c r="B581" s="1"/>
      <c r="O581" s="1"/>
    </row>
    <row r="582" spans="2:15" ht="15.75" customHeight="1">
      <c r="B582" s="1"/>
      <c r="O582" s="1"/>
    </row>
    <row r="583" spans="2:15" ht="15.75" customHeight="1">
      <c r="B583" s="1"/>
      <c r="O583" s="1"/>
    </row>
    <row r="584" spans="2:15" ht="15.75" customHeight="1">
      <c r="B584" s="1"/>
      <c r="O584" s="1"/>
    </row>
    <row r="585" spans="2:15" ht="15.75" customHeight="1">
      <c r="B585" s="1"/>
      <c r="O585" s="1"/>
    </row>
    <row r="586" spans="2:15" ht="15.75" customHeight="1">
      <c r="B586" s="1"/>
      <c r="O586" s="1"/>
    </row>
    <row r="587" spans="2:15" ht="15.75" customHeight="1">
      <c r="B587" s="1"/>
      <c r="O587" s="1"/>
    </row>
    <row r="588" spans="2:15" ht="15.75" customHeight="1">
      <c r="B588" s="1"/>
      <c r="O588" s="1"/>
    </row>
    <row r="589" spans="2:15" ht="15.75" customHeight="1">
      <c r="B589" s="1"/>
      <c r="O589" s="1"/>
    </row>
    <row r="590" spans="2:15" ht="15.75" customHeight="1">
      <c r="B590" s="1"/>
      <c r="O590" s="1"/>
    </row>
    <row r="591" spans="2:15" ht="15.75" customHeight="1">
      <c r="B591" s="1"/>
      <c r="O591" s="1"/>
    </row>
    <row r="592" spans="2:15" ht="15.75" customHeight="1">
      <c r="B592" s="1"/>
      <c r="O592" s="1"/>
    </row>
    <row r="593" spans="2:15" ht="15.75" customHeight="1">
      <c r="B593" s="1"/>
      <c r="O593" s="1"/>
    </row>
    <row r="594" spans="2:15" ht="15.75" customHeight="1">
      <c r="B594" s="1"/>
      <c r="O594" s="1"/>
    </row>
    <row r="595" spans="2:15" ht="15.75" customHeight="1">
      <c r="B595" s="1"/>
      <c r="O595" s="1"/>
    </row>
    <row r="596" spans="2:15" ht="15.75" customHeight="1">
      <c r="B596" s="1"/>
      <c r="O596" s="1"/>
    </row>
    <row r="597" spans="2:15" ht="15.75" customHeight="1">
      <c r="B597" s="1"/>
      <c r="O597" s="1"/>
    </row>
    <row r="598" spans="2:15" ht="15.75" customHeight="1">
      <c r="B598" s="1"/>
      <c r="O598" s="1"/>
    </row>
    <row r="599" spans="2:15" ht="15.75" customHeight="1">
      <c r="B599" s="1"/>
      <c r="O599" s="1"/>
    </row>
    <row r="600" spans="2:15" ht="15.75" customHeight="1">
      <c r="B600" s="1"/>
      <c r="O600" s="1"/>
    </row>
    <row r="601" spans="2:15" ht="15.75" customHeight="1">
      <c r="B601" s="1"/>
      <c r="O601" s="1"/>
    </row>
    <row r="602" spans="2:15" ht="15.75" customHeight="1">
      <c r="B602" s="1"/>
      <c r="O602" s="1"/>
    </row>
    <row r="603" spans="2:15" ht="15.75" customHeight="1">
      <c r="B603" s="1"/>
      <c r="O603" s="1"/>
    </row>
    <row r="604" spans="2:15" ht="15.75" customHeight="1">
      <c r="B604" s="1"/>
      <c r="O604" s="1"/>
    </row>
    <row r="605" spans="2:15" ht="15.75" customHeight="1">
      <c r="B605" s="1"/>
      <c r="O605" s="1"/>
    </row>
    <row r="606" spans="2:15" ht="15.75" customHeight="1">
      <c r="B606" s="1"/>
      <c r="O606" s="1"/>
    </row>
    <row r="607" spans="2:15" ht="15.75" customHeight="1">
      <c r="B607" s="1"/>
      <c r="O607" s="1"/>
    </row>
    <row r="608" spans="2:15" ht="15.75" customHeight="1">
      <c r="B608" s="1"/>
      <c r="O608" s="1"/>
    </row>
    <row r="609" spans="2:15" ht="15.75" customHeight="1">
      <c r="B609" s="1"/>
      <c r="O609" s="1"/>
    </row>
    <row r="610" spans="2:15" ht="15.75" customHeight="1">
      <c r="B610" s="1"/>
      <c r="O610" s="1"/>
    </row>
    <row r="611" spans="2:15" ht="15.75" customHeight="1">
      <c r="B611" s="1"/>
      <c r="O611" s="1"/>
    </row>
    <row r="612" spans="2:15" ht="15.75" customHeight="1">
      <c r="B612" s="1"/>
      <c r="O612" s="1"/>
    </row>
    <row r="613" spans="2:15" ht="15.75" customHeight="1">
      <c r="B613" s="1"/>
      <c r="O613" s="1"/>
    </row>
    <row r="614" spans="2:15" ht="15.75" customHeight="1">
      <c r="B614" s="1"/>
      <c r="O614" s="1"/>
    </row>
    <row r="615" spans="2:15" ht="15.75" customHeight="1">
      <c r="B615" s="1"/>
      <c r="O615" s="1"/>
    </row>
    <row r="616" spans="2:15" ht="15.75" customHeight="1">
      <c r="B616" s="1"/>
      <c r="O616" s="1"/>
    </row>
    <row r="617" spans="2:15" ht="15.75" customHeight="1">
      <c r="B617" s="1"/>
      <c r="O617" s="1"/>
    </row>
    <row r="618" spans="2:15" ht="15.75" customHeight="1">
      <c r="B618" s="1"/>
      <c r="O618" s="1"/>
    </row>
    <row r="619" spans="2:15" ht="15.75" customHeight="1">
      <c r="B619" s="1"/>
      <c r="O619" s="1"/>
    </row>
    <row r="620" spans="2:15" ht="15.75" customHeight="1">
      <c r="B620" s="1"/>
      <c r="O620" s="1"/>
    </row>
    <row r="621" spans="2:15" ht="15.75" customHeight="1">
      <c r="B621" s="1"/>
      <c r="O621" s="1"/>
    </row>
    <row r="622" spans="2:15" ht="15.75" customHeight="1">
      <c r="B622" s="1"/>
      <c r="O622" s="1"/>
    </row>
    <row r="623" spans="2:15" ht="15.75" customHeight="1">
      <c r="B623" s="1"/>
      <c r="O623" s="1"/>
    </row>
    <row r="624" spans="2:15" ht="15.75" customHeight="1">
      <c r="B624" s="1"/>
      <c r="O624" s="1"/>
    </row>
    <row r="625" spans="2:15" ht="15.75" customHeight="1">
      <c r="B625" s="1"/>
      <c r="O625" s="1"/>
    </row>
    <row r="626" spans="2:15" ht="15.75" customHeight="1">
      <c r="B626" s="1"/>
      <c r="O626" s="1"/>
    </row>
    <row r="627" spans="2:15" ht="15.75" customHeight="1">
      <c r="B627" s="1"/>
      <c r="O627" s="1"/>
    </row>
    <row r="628" spans="2:15" ht="15.75" customHeight="1">
      <c r="B628" s="1"/>
      <c r="O628" s="1"/>
    </row>
    <row r="629" spans="2:15" ht="15.75" customHeight="1">
      <c r="B629" s="1"/>
      <c r="O629" s="1"/>
    </row>
    <row r="630" spans="2:15" ht="15.75" customHeight="1">
      <c r="B630" s="1"/>
      <c r="O630" s="1"/>
    </row>
    <row r="631" spans="2:15" ht="15.75" customHeight="1">
      <c r="B631" s="1"/>
      <c r="O631" s="1"/>
    </row>
    <row r="632" spans="2:15" ht="15.75" customHeight="1">
      <c r="B632" s="1"/>
      <c r="O632" s="1"/>
    </row>
    <row r="633" spans="2:15" ht="15.75" customHeight="1">
      <c r="B633" s="1"/>
      <c r="O633" s="1"/>
    </row>
    <row r="634" spans="2:15" ht="15.75" customHeight="1">
      <c r="B634" s="1"/>
      <c r="O634" s="1"/>
    </row>
    <row r="635" spans="2:15" ht="15.75" customHeight="1">
      <c r="B635" s="1"/>
      <c r="O635" s="1"/>
    </row>
    <row r="636" spans="2:15" ht="15.75" customHeight="1">
      <c r="B636" s="1"/>
      <c r="O636" s="1"/>
    </row>
    <row r="637" spans="2:15" ht="15.75" customHeight="1">
      <c r="B637" s="1"/>
      <c r="O637" s="1"/>
    </row>
    <row r="638" spans="2:15" ht="15.75" customHeight="1">
      <c r="B638" s="1"/>
      <c r="O638" s="1"/>
    </row>
    <row r="639" spans="2:15" ht="15.75" customHeight="1">
      <c r="B639" s="1"/>
      <c r="O639" s="1"/>
    </row>
    <row r="640" spans="2:15" ht="15.75" customHeight="1">
      <c r="B640" s="1"/>
      <c r="O640" s="1"/>
    </row>
    <row r="641" spans="2:15" ht="15.75" customHeight="1">
      <c r="B641" s="1"/>
      <c r="O641" s="1"/>
    </row>
    <row r="642" spans="2:15" ht="15.75" customHeight="1">
      <c r="B642" s="1"/>
      <c r="O642" s="1"/>
    </row>
    <row r="643" spans="2:15" ht="15.75" customHeight="1">
      <c r="B643" s="1"/>
      <c r="O643" s="1"/>
    </row>
    <row r="644" spans="2:15" ht="15.75" customHeight="1">
      <c r="B644" s="1"/>
      <c r="O644" s="1"/>
    </row>
    <row r="645" spans="2:15" ht="15.75" customHeight="1">
      <c r="B645" s="1"/>
      <c r="O645" s="1"/>
    </row>
    <row r="646" spans="2:15" ht="15.75" customHeight="1">
      <c r="B646" s="1"/>
      <c r="O646" s="1"/>
    </row>
    <row r="647" spans="2:15" ht="15.75" customHeight="1">
      <c r="B647" s="1"/>
      <c r="O647" s="1"/>
    </row>
    <row r="648" spans="2:15" ht="15.75" customHeight="1">
      <c r="B648" s="1"/>
      <c r="O648" s="1"/>
    </row>
    <row r="649" spans="2:15" ht="15.75" customHeight="1">
      <c r="B649" s="1"/>
      <c r="O649" s="1"/>
    </row>
    <row r="650" spans="2:15" ht="15.75" customHeight="1">
      <c r="B650" s="1"/>
      <c r="O650" s="1"/>
    </row>
    <row r="651" spans="2:15" ht="15.75" customHeight="1">
      <c r="B651" s="1"/>
      <c r="O651" s="1"/>
    </row>
    <row r="652" spans="2:15" ht="15.75" customHeight="1">
      <c r="B652" s="1"/>
      <c r="O652" s="1"/>
    </row>
    <row r="653" spans="2:15" ht="15.75" customHeight="1">
      <c r="B653" s="1"/>
      <c r="O653" s="1"/>
    </row>
    <row r="654" spans="2:15" ht="15.75" customHeight="1">
      <c r="B654" s="1"/>
      <c r="O654" s="1"/>
    </row>
    <row r="655" spans="2:15" ht="15.75" customHeight="1">
      <c r="B655" s="1"/>
      <c r="O655" s="1"/>
    </row>
    <row r="656" spans="2:15" ht="15.75" customHeight="1">
      <c r="B656" s="1"/>
      <c r="O656" s="1"/>
    </row>
    <row r="657" spans="2:15" ht="15.75" customHeight="1">
      <c r="B657" s="1"/>
      <c r="O657" s="1"/>
    </row>
    <row r="658" spans="2:15" ht="15.75" customHeight="1">
      <c r="B658" s="1"/>
      <c r="O658" s="1"/>
    </row>
    <row r="659" spans="2:15" ht="15.75" customHeight="1">
      <c r="B659" s="1"/>
      <c r="O659" s="1"/>
    </row>
    <row r="660" spans="2:15" ht="15.75" customHeight="1">
      <c r="B660" s="1"/>
      <c r="O660" s="1"/>
    </row>
    <row r="661" spans="2:15" ht="15.75" customHeight="1">
      <c r="B661" s="1"/>
      <c r="O661" s="1"/>
    </row>
    <row r="662" spans="2:15" ht="15.75" customHeight="1">
      <c r="B662" s="1"/>
      <c r="O662" s="1"/>
    </row>
    <row r="663" spans="2:15" ht="15.75" customHeight="1">
      <c r="B663" s="1"/>
      <c r="O663" s="1"/>
    </row>
    <row r="664" spans="2:15" ht="15.75" customHeight="1">
      <c r="B664" s="1"/>
      <c r="O664" s="1"/>
    </row>
    <row r="665" spans="2:15" ht="15.75" customHeight="1">
      <c r="B665" s="1"/>
      <c r="O665" s="1"/>
    </row>
    <row r="666" spans="2:15" ht="15.75" customHeight="1">
      <c r="B666" s="1"/>
      <c r="O666" s="1"/>
    </row>
    <row r="667" spans="2:15" ht="15.75" customHeight="1">
      <c r="B667" s="1"/>
      <c r="O667" s="1"/>
    </row>
    <row r="668" spans="2:15" ht="15.75" customHeight="1">
      <c r="B668" s="1"/>
      <c r="O668" s="1"/>
    </row>
    <row r="669" spans="2:15" ht="15.75" customHeight="1">
      <c r="B669" s="1"/>
      <c r="O669" s="1"/>
    </row>
    <row r="670" spans="2:15" ht="15.75" customHeight="1">
      <c r="B670" s="1"/>
      <c r="O670" s="1"/>
    </row>
    <row r="671" spans="2:15" ht="15.75" customHeight="1">
      <c r="B671" s="1"/>
      <c r="O671" s="1"/>
    </row>
    <row r="672" spans="2:15" ht="15.75" customHeight="1">
      <c r="B672" s="1"/>
      <c r="O672" s="1"/>
    </row>
    <row r="673" spans="2:15" ht="15.75" customHeight="1">
      <c r="B673" s="1"/>
      <c r="O673" s="1"/>
    </row>
    <row r="674" spans="2:15" ht="15.75" customHeight="1">
      <c r="B674" s="1"/>
      <c r="O674" s="1"/>
    </row>
    <row r="675" spans="2:15" ht="15.75" customHeight="1">
      <c r="B675" s="1"/>
      <c r="O675" s="1"/>
    </row>
    <row r="676" spans="2:15" ht="15.75" customHeight="1">
      <c r="B676" s="1"/>
      <c r="O676" s="1"/>
    </row>
    <row r="677" spans="2:15" ht="15.75" customHeight="1">
      <c r="B677" s="1"/>
      <c r="O677" s="1"/>
    </row>
    <row r="678" spans="2:15" ht="15.75" customHeight="1">
      <c r="B678" s="1"/>
      <c r="O678" s="1"/>
    </row>
    <row r="679" spans="2:15" ht="15.75" customHeight="1">
      <c r="B679" s="1"/>
      <c r="O679" s="1"/>
    </row>
    <row r="680" spans="2:15" ht="15.75" customHeight="1">
      <c r="B680" s="1"/>
      <c r="O680" s="1"/>
    </row>
    <row r="681" spans="2:15" ht="15.75" customHeight="1">
      <c r="B681" s="1"/>
      <c r="O681" s="1"/>
    </row>
    <row r="682" spans="2:15" ht="15.75" customHeight="1">
      <c r="B682" s="1"/>
      <c r="O682" s="1"/>
    </row>
    <row r="683" spans="2:15" ht="15.75" customHeight="1">
      <c r="B683" s="1"/>
      <c r="O683" s="1"/>
    </row>
    <row r="684" spans="2:15" ht="15.75" customHeight="1">
      <c r="B684" s="1"/>
      <c r="O684" s="1"/>
    </row>
    <row r="685" spans="2:15" ht="15.75" customHeight="1">
      <c r="B685" s="1"/>
      <c r="O685" s="1"/>
    </row>
    <row r="686" spans="2:15" ht="15.75" customHeight="1">
      <c r="B686" s="1"/>
      <c r="O686" s="1"/>
    </row>
    <row r="687" spans="2:15" ht="15.75" customHeight="1">
      <c r="B687" s="1"/>
      <c r="O687" s="1"/>
    </row>
    <row r="688" spans="2:15" ht="15.75" customHeight="1">
      <c r="B688" s="1"/>
      <c r="O688" s="1"/>
    </row>
    <row r="689" spans="2:15" ht="15.75" customHeight="1">
      <c r="B689" s="1"/>
      <c r="O689" s="1"/>
    </row>
    <row r="690" spans="2:15" ht="15.75" customHeight="1">
      <c r="B690" s="1"/>
      <c r="O690" s="1"/>
    </row>
    <row r="691" spans="2:15" ht="15.75" customHeight="1">
      <c r="B691" s="1"/>
      <c r="O691" s="1"/>
    </row>
    <row r="692" spans="2:15" ht="15.75" customHeight="1">
      <c r="B692" s="1"/>
      <c r="O692" s="1"/>
    </row>
    <row r="693" spans="2:15" ht="15.75" customHeight="1">
      <c r="B693" s="1"/>
      <c r="O693" s="1"/>
    </row>
    <row r="694" spans="2:15" ht="15.75" customHeight="1">
      <c r="B694" s="1"/>
      <c r="O694" s="1"/>
    </row>
    <row r="695" spans="2:15" ht="15.75" customHeight="1">
      <c r="B695" s="1"/>
      <c r="O695" s="1"/>
    </row>
    <row r="696" spans="2:15" ht="15.75" customHeight="1">
      <c r="B696" s="1"/>
      <c r="O696" s="1"/>
    </row>
    <row r="697" spans="2:15" ht="15.75" customHeight="1">
      <c r="B697" s="1"/>
      <c r="O697" s="1"/>
    </row>
    <row r="698" spans="2:15" ht="15.75" customHeight="1">
      <c r="B698" s="1"/>
      <c r="O698" s="1"/>
    </row>
    <row r="699" spans="2:15" ht="15.75" customHeight="1">
      <c r="B699" s="1"/>
      <c r="O699" s="1"/>
    </row>
    <row r="700" spans="2:15" ht="15.75" customHeight="1">
      <c r="B700" s="1"/>
      <c r="O700" s="1"/>
    </row>
    <row r="701" spans="2:15" ht="15.75" customHeight="1">
      <c r="B701" s="1"/>
      <c r="O701" s="1"/>
    </row>
    <row r="702" spans="2:15" ht="15.75" customHeight="1">
      <c r="B702" s="1"/>
      <c r="O702" s="1"/>
    </row>
    <row r="703" spans="2:15" ht="15.75" customHeight="1">
      <c r="B703" s="1"/>
      <c r="O703" s="1"/>
    </row>
    <row r="704" spans="2:15" ht="15.75" customHeight="1">
      <c r="B704" s="1"/>
      <c r="O704" s="1"/>
    </row>
    <row r="705" spans="2:15" ht="15.75" customHeight="1">
      <c r="B705" s="1"/>
      <c r="O705" s="1"/>
    </row>
    <row r="706" spans="2:15" ht="15.75" customHeight="1">
      <c r="B706" s="1"/>
      <c r="O706" s="1"/>
    </row>
    <row r="707" spans="2:15" ht="15.75" customHeight="1">
      <c r="B707" s="1"/>
      <c r="O707" s="1"/>
    </row>
    <row r="708" spans="2:15" ht="15.75" customHeight="1">
      <c r="B708" s="1"/>
      <c r="O708" s="1"/>
    </row>
    <row r="709" spans="2:15" ht="15.75" customHeight="1">
      <c r="B709" s="1"/>
      <c r="O709" s="1"/>
    </row>
    <row r="710" spans="2:15" ht="15.75" customHeight="1">
      <c r="B710" s="1"/>
      <c r="O710" s="1"/>
    </row>
    <row r="711" spans="2:15" ht="15.75" customHeight="1">
      <c r="B711" s="1"/>
      <c r="O711" s="1"/>
    </row>
    <row r="712" spans="2:15" ht="15.75" customHeight="1">
      <c r="B712" s="1"/>
      <c r="O712" s="1"/>
    </row>
    <row r="713" spans="2:15" ht="15.75" customHeight="1">
      <c r="B713" s="1"/>
      <c r="O713" s="1"/>
    </row>
    <row r="714" spans="2:15" ht="15.75" customHeight="1">
      <c r="B714" s="1"/>
      <c r="O714" s="1"/>
    </row>
    <row r="715" spans="2:15" ht="15.75" customHeight="1">
      <c r="B715" s="1"/>
      <c r="O715" s="1"/>
    </row>
    <row r="716" spans="2:15" ht="15.75" customHeight="1">
      <c r="B716" s="1"/>
      <c r="O716" s="1"/>
    </row>
    <row r="717" spans="2:15" ht="15.75" customHeight="1">
      <c r="B717" s="1"/>
      <c r="O717" s="1"/>
    </row>
    <row r="718" spans="2:15" ht="15.75" customHeight="1">
      <c r="B718" s="1"/>
      <c r="O718" s="1"/>
    </row>
    <row r="719" spans="2:15" ht="15.75" customHeight="1">
      <c r="B719" s="1"/>
      <c r="O719" s="1"/>
    </row>
    <row r="720" spans="2:15" ht="15.75" customHeight="1">
      <c r="B720" s="1"/>
      <c r="O720" s="1"/>
    </row>
    <row r="721" spans="2:15" ht="15.75" customHeight="1">
      <c r="B721" s="1"/>
      <c r="O721" s="1"/>
    </row>
    <row r="722" spans="2:15" ht="15.75" customHeight="1">
      <c r="B722" s="1"/>
      <c r="O722" s="1"/>
    </row>
    <row r="723" spans="2:15" ht="15.75" customHeight="1">
      <c r="B723" s="1"/>
      <c r="O723" s="1"/>
    </row>
    <row r="724" spans="2:15" ht="15.75" customHeight="1">
      <c r="B724" s="1"/>
      <c r="O724" s="1"/>
    </row>
    <row r="725" spans="2:15" ht="15.75" customHeight="1">
      <c r="B725" s="1"/>
      <c r="O725" s="1"/>
    </row>
    <row r="726" spans="2:15" ht="15.75" customHeight="1">
      <c r="B726" s="1"/>
      <c r="O726" s="1"/>
    </row>
    <row r="727" spans="2:15" ht="15.75" customHeight="1">
      <c r="B727" s="1"/>
      <c r="O727" s="1"/>
    </row>
    <row r="728" spans="2:15" ht="15.75" customHeight="1">
      <c r="B728" s="1"/>
      <c r="O728" s="1"/>
    </row>
    <row r="729" spans="2:15" ht="15.75" customHeight="1">
      <c r="B729" s="1"/>
      <c r="O729" s="1"/>
    </row>
    <row r="730" spans="2:15" ht="15.75" customHeight="1">
      <c r="B730" s="1"/>
      <c r="O730" s="1"/>
    </row>
    <row r="731" spans="2:15" ht="15.75" customHeight="1">
      <c r="B731" s="1"/>
      <c r="O731" s="1"/>
    </row>
    <row r="732" spans="2:15" ht="15.75" customHeight="1">
      <c r="B732" s="1"/>
      <c r="O732" s="1"/>
    </row>
    <row r="733" spans="2:15" ht="15.75" customHeight="1">
      <c r="B733" s="1"/>
      <c r="O733" s="1"/>
    </row>
    <row r="734" spans="2:15" ht="15.75" customHeight="1">
      <c r="B734" s="1"/>
      <c r="O734" s="1"/>
    </row>
    <row r="735" spans="2:15" ht="15.75" customHeight="1">
      <c r="B735" s="1"/>
      <c r="O735" s="1"/>
    </row>
    <row r="736" spans="2:15" ht="15.75" customHeight="1">
      <c r="B736" s="1"/>
      <c r="O736" s="1"/>
    </row>
    <row r="737" spans="2:15" ht="15.75" customHeight="1">
      <c r="B737" s="1"/>
      <c r="O737" s="1"/>
    </row>
    <row r="738" spans="2:15" ht="15.75" customHeight="1">
      <c r="B738" s="1"/>
      <c r="O738" s="1"/>
    </row>
    <row r="739" spans="2:15" ht="15.75" customHeight="1">
      <c r="B739" s="1"/>
      <c r="O739" s="1"/>
    </row>
    <row r="740" spans="2:15" ht="15.75" customHeight="1">
      <c r="B740" s="1"/>
      <c r="O740" s="1"/>
    </row>
    <row r="741" spans="2:15" ht="15.75" customHeight="1">
      <c r="B741" s="1"/>
      <c r="O741" s="1"/>
    </row>
    <row r="742" spans="2:15" ht="15.75" customHeight="1">
      <c r="B742" s="1"/>
      <c r="O742" s="1"/>
    </row>
    <row r="743" spans="2:15" ht="15.75" customHeight="1">
      <c r="B743" s="1"/>
      <c r="O743" s="1"/>
    </row>
    <row r="744" spans="2:15" ht="15.75" customHeight="1">
      <c r="B744" s="1"/>
      <c r="O744" s="1"/>
    </row>
    <row r="745" spans="2:15" ht="15.75" customHeight="1">
      <c r="B745" s="1"/>
      <c r="O745" s="1"/>
    </row>
    <row r="746" spans="2:15" ht="15.75" customHeight="1">
      <c r="B746" s="1"/>
      <c r="O746" s="1"/>
    </row>
    <row r="747" spans="2:15" ht="15.75" customHeight="1">
      <c r="B747" s="1"/>
      <c r="O747" s="1"/>
    </row>
    <row r="748" spans="2:15" ht="15.75" customHeight="1">
      <c r="B748" s="1"/>
      <c r="O748" s="1"/>
    </row>
    <row r="749" spans="2:15" ht="15.75" customHeight="1">
      <c r="B749" s="1"/>
      <c r="O749" s="1"/>
    </row>
    <row r="750" spans="2:15" ht="15.75" customHeight="1">
      <c r="B750" s="1"/>
      <c r="O750" s="1"/>
    </row>
    <row r="751" spans="2:15" ht="15.75" customHeight="1">
      <c r="B751" s="1"/>
      <c r="O751" s="1"/>
    </row>
    <row r="752" spans="2:15" ht="15.75" customHeight="1">
      <c r="B752" s="1"/>
      <c r="O752" s="1"/>
    </row>
    <row r="753" spans="2:15" ht="15.75" customHeight="1">
      <c r="B753" s="1"/>
      <c r="O753" s="1"/>
    </row>
    <row r="754" spans="2:15" ht="15.75" customHeight="1">
      <c r="B754" s="1"/>
      <c r="O754" s="1"/>
    </row>
    <row r="755" spans="2:15" ht="15.75" customHeight="1">
      <c r="B755" s="1"/>
      <c r="O755" s="1"/>
    </row>
    <row r="756" spans="2:15" ht="15.75" customHeight="1">
      <c r="B756" s="1"/>
      <c r="O756" s="1"/>
    </row>
    <row r="757" spans="2:15" ht="15.75" customHeight="1">
      <c r="B757" s="1"/>
      <c r="O757" s="1"/>
    </row>
    <row r="758" spans="2:15" ht="15.75" customHeight="1">
      <c r="B758" s="1"/>
      <c r="O758" s="1"/>
    </row>
    <row r="759" spans="2:15" ht="15.75" customHeight="1">
      <c r="B759" s="1"/>
      <c r="O759" s="1"/>
    </row>
    <row r="760" spans="2:15" ht="15.75" customHeight="1">
      <c r="B760" s="1"/>
      <c r="O760" s="1"/>
    </row>
    <row r="761" spans="2:15" ht="15.75" customHeight="1">
      <c r="B761" s="1"/>
      <c r="O761" s="1"/>
    </row>
    <row r="762" spans="2:15" ht="15.75" customHeight="1">
      <c r="B762" s="1"/>
      <c r="O762" s="1"/>
    </row>
    <row r="763" spans="2:15" ht="15.75" customHeight="1">
      <c r="B763" s="1"/>
      <c r="O763" s="1"/>
    </row>
    <row r="764" spans="2:15" ht="15.75" customHeight="1">
      <c r="B764" s="1"/>
      <c r="O764" s="1"/>
    </row>
    <row r="765" spans="2:15" ht="15.75" customHeight="1">
      <c r="B765" s="1"/>
      <c r="O765" s="1"/>
    </row>
    <row r="766" spans="2:15" ht="15.75" customHeight="1">
      <c r="B766" s="1"/>
      <c r="O766" s="1"/>
    </row>
    <row r="767" spans="2:15" ht="15.75" customHeight="1">
      <c r="B767" s="1"/>
      <c r="O767" s="1"/>
    </row>
    <row r="768" spans="2:15" ht="15.75" customHeight="1">
      <c r="B768" s="1"/>
      <c r="O768" s="1"/>
    </row>
    <row r="769" spans="2:15" ht="15.75" customHeight="1">
      <c r="B769" s="1"/>
      <c r="O769" s="1"/>
    </row>
    <row r="770" spans="2:15" ht="15.75" customHeight="1">
      <c r="B770" s="1"/>
      <c r="O770" s="1"/>
    </row>
    <row r="771" spans="2:15" ht="15.75" customHeight="1">
      <c r="B771" s="1"/>
      <c r="O771" s="1"/>
    </row>
    <row r="772" spans="2:15" ht="15.75" customHeight="1">
      <c r="B772" s="1"/>
      <c r="O772" s="1"/>
    </row>
    <row r="773" spans="2:15" ht="15.75" customHeight="1">
      <c r="B773" s="1"/>
      <c r="O773" s="1"/>
    </row>
    <row r="774" spans="2:15" ht="15.75" customHeight="1">
      <c r="B774" s="1"/>
      <c r="O774" s="1"/>
    </row>
    <row r="775" spans="2:15" ht="15.75" customHeight="1">
      <c r="B775" s="1"/>
      <c r="O775" s="1"/>
    </row>
    <row r="776" spans="2:15" ht="15.75" customHeight="1">
      <c r="B776" s="1"/>
      <c r="O776" s="1"/>
    </row>
    <row r="777" spans="2:15" ht="15.75" customHeight="1">
      <c r="B777" s="1"/>
      <c r="O777" s="1"/>
    </row>
    <row r="778" spans="2:15" ht="15.75" customHeight="1">
      <c r="B778" s="1"/>
      <c r="O778" s="1"/>
    </row>
    <row r="779" spans="2:15" ht="15.75" customHeight="1">
      <c r="B779" s="1"/>
      <c r="O779" s="1"/>
    </row>
    <row r="780" spans="2:15" ht="15.75" customHeight="1">
      <c r="B780" s="1"/>
      <c r="O780" s="1"/>
    </row>
    <row r="781" spans="2:15" ht="15.75" customHeight="1">
      <c r="B781" s="1"/>
      <c r="O781" s="1"/>
    </row>
    <row r="782" spans="2:15" ht="15.75" customHeight="1">
      <c r="B782" s="1"/>
      <c r="O782" s="1"/>
    </row>
    <row r="783" spans="2:15" ht="15.75" customHeight="1">
      <c r="B783" s="1"/>
      <c r="O783" s="1"/>
    </row>
    <row r="784" spans="2:15" ht="15.75" customHeight="1">
      <c r="B784" s="1"/>
      <c r="O784" s="1"/>
    </row>
    <row r="785" spans="2:15" ht="15.75" customHeight="1">
      <c r="B785" s="1"/>
      <c r="O785" s="1"/>
    </row>
    <row r="786" spans="2:15" ht="15.75" customHeight="1">
      <c r="B786" s="1"/>
      <c r="O786" s="1"/>
    </row>
    <row r="787" spans="2:15" ht="15.75" customHeight="1">
      <c r="B787" s="1"/>
      <c r="O787" s="1"/>
    </row>
    <row r="788" spans="2:15" ht="15.75" customHeight="1">
      <c r="B788" s="1"/>
      <c r="O788" s="1"/>
    </row>
    <row r="789" spans="2:15" ht="15.75" customHeight="1">
      <c r="B789" s="1"/>
      <c r="O789" s="1"/>
    </row>
    <row r="790" spans="2:15" ht="15.75" customHeight="1">
      <c r="B790" s="1"/>
      <c r="O790" s="1"/>
    </row>
    <row r="791" spans="2:15" ht="15.75" customHeight="1">
      <c r="B791" s="1"/>
      <c r="O791" s="1"/>
    </row>
    <row r="792" spans="2:15" ht="15.75" customHeight="1">
      <c r="B792" s="1"/>
      <c r="O792" s="1"/>
    </row>
    <row r="793" spans="2:15" ht="15.75" customHeight="1">
      <c r="B793" s="1"/>
      <c r="O793" s="1"/>
    </row>
    <row r="794" spans="2:15" ht="15.75" customHeight="1">
      <c r="B794" s="1"/>
      <c r="O794" s="1"/>
    </row>
    <row r="795" spans="2:15" ht="15.75" customHeight="1">
      <c r="B795" s="1"/>
      <c r="O795" s="1"/>
    </row>
    <row r="796" spans="2:15" ht="15.75" customHeight="1">
      <c r="B796" s="1"/>
      <c r="O796" s="1"/>
    </row>
    <row r="797" spans="2:15" ht="15.75" customHeight="1">
      <c r="B797" s="1"/>
      <c r="O797" s="1"/>
    </row>
    <row r="798" spans="2:15" ht="15.75" customHeight="1">
      <c r="B798" s="1"/>
      <c r="O798" s="1"/>
    </row>
    <row r="799" spans="2:15" ht="15.75" customHeight="1">
      <c r="B799" s="1"/>
      <c r="O799" s="1"/>
    </row>
    <row r="800" spans="2:15" ht="15.75" customHeight="1">
      <c r="B800" s="1"/>
      <c r="O800" s="1"/>
    </row>
    <row r="801" spans="2:15" ht="15.75" customHeight="1">
      <c r="B801" s="1"/>
      <c r="O801" s="1"/>
    </row>
    <row r="802" spans="2:15" ht="15.75" customHeight="1">
      <c r="B802" s="1"/>
      <c r="O802" s="1"/>
    </row>
    <row r="803" spans="2:15" ht="15.75" customHeight="1">
      <c r="B803" s="1"/>
      <c r="O803" s="1"/>
    </row>
    <row r="804" spans="2:15" ht="15.75" customHeight="1">
      <c r="B804" s="1"/>
      <c r="O804" s="1"/>
    </row>
    <row r="805" spans="2:15" ht="15.75" customHeight="1">
      <c r="B805" s="1"/>
      <c r="O805" s="1"/>
    </row>
    <row r="806" spans="2:15" ht="15.75" customHeight="1">
      <c r="B806" s="1"/>
      <c r="O806" s="1"/>
    </row>
    <row r="807" spans="2:15" ht="15.75" customHeight="1">
      <c r="B807" s="1"/>
      <c r="O807" s="1"/>
    </row>
    <row r="808" spans="2:15" ht="15.75" customHeight="1">
      <c r="B808" s="1"/>
      <c r="O808" s="1"/>
    </row>
    <row r="809" spans="2:15" ht="15.75" customHeight="1">
      <c r="B809" s="1"/>
      <c r="O809" s="1"/>
    </row>
    <row r="810" spans="2:15" ht="15.75" customHeight="1">
      <c r="B810" s="1"/>
      <c r="O810" s="1"/>
    </row>
    <row r="811" spans="2:15" ht="15.75" customHeight="1">
      <c r="B811" s="1"/>
      <c r="O811" s="1"/>
    </row>
    <row r="812" spans="2:15" ht="15.75" customHeight="1">
      <c r="B812" s="1"/>
      <c r="O812" s="1"/>
    </row>
    <row r="813" spans="2:15" ht="15.75" customHeight="1">
      <c r="B813" s="1"/>
      <c r="O813" s="1"/>
    </row>
    <row r="814" spans="2:15" ht="15.75" customHeight="1">
      <c r="B814" s="1"/>
      <c r="O814" s="1"/>
    </row>
    <row r="815" spans="2:15" ht="15.75" customHeight="1">
      <c r="B815" s="1"/>
      <c r="O815" s="1"/>
    </row>
    <row r="816" spans="2:15" ht="15.75" customHeight="1">
      <c r="B816" s="1"/>
      <c r="O816" s="1"/>
    </row>
    <row r="817" spans="2:15" ht="15.75" customHeight="1">
      <c r="B817" s="1"/>
      <c r="O817" s="1"/>
    </row>
    <row r="818" spans="2:15" ht="15.75" customHeight="1">
      <c r="B818" s="1"/>
      <c r="O818" s="1"/>
    </row>
    <row r="819" spans="2:15" ht="15.75" customHeight="1">
      <c r="B819" s="1"/>
      <c r="O819" s="1"/>
    </row>
    <row r="820" spans="2:15" ht="15.75" customHeight="1">
      <c r="B820" s="1"/>
      <c r="O820" s="1"/>
    </row>
    <row r="821" spans="2:15" ht="15.75" customHeight="1">
      <c r="B821" s="1"/>
      <c r="O821" s="1"/>
    </row>
    <row r="822" spans="2:15" ht="15.75" customHeight="1">
      <c r="B822" s="1"/>
      <c r="O822" s="1"/>
    </row>
    <row r="823" spans="2:15" ht="15.75" customHeight="1">
      <c r="B823" s="1"/>
      <c r="O823" s="1"/>
    </row>
    <row r="824" spans="2:15" ht="15.75" customHeight="1">
      <c r="B824" s="1"/>
      <c r="O824" s="1"/>
    </row>
    <row r="825" spans="2:15" ht="15.75" customHeight="1">
      <c r="B825" s="1"/>
      <c r="O825" s="1"/>
    </row>
    <row r="826" spans="2:15" ht="15.75" customHeight="1">
      <c r="B826" s="1"/>
      <c r="O826" s="1"/>
    </row>
    <row r="827" spans="2:15" ht="15.75" customHeight="1">
      <c r="B827" s="1"/>
      <c r="O827" s="1"/>
    </row>
    <row r="828" spans="2:15" ht="15.75" customHeight="1">
      <c r="B828" s="1"/>
      <c r="O828" s="1"/>
    </row>
    <row r="829" spans="2:15" ht="15.75" customHeight="1">
      <c r="B829" s="1"/>
      <c r="O829" s="1"/>
    </row>
    <row r="830" spans="2:15" ht="15.75" customHeight="1">
      <c r="B830" s="1"/>
      <c r="O830" s="1"/>
    </row>
    <row r="831" spans="2:15" ht="15.75" customHeight="1">
      <c r="B831" s="1"/>
      <c r="O831" s="1"/>
    </row>
    <row r="832" spans="2:15" ht="15.75" customHeight="1">
      <c r="B832" s="1"/>
      <c r="O832" s="1"/>
    </row>
    <row r="833" spans="2:15" ht="15.75" customHeight="1">
      <c r="B833" s="1"/>
      <c r="O833" s="1"/>
    </row>
    <row r="834" spans="2:15" ht="15.75" customHeight="1">
      <c r="B834" s="1"/>
      <c r="O834" s="1"/>
    </row>
    <row r="835" spans="2:15" ht="15.75" customHeight="1">
      <c r="B835" s="1"/>
      <c r="O835" s="1"/>
    </row>
    <row r="836" spans="2:15" ht="15.75" customHeight="1">
      <c r="B836" s="1"/>
      <c r="O836" s="1"/>
    </row>
    <row r="837" spans="2:15" ht="15.75" customHeight="1">
      <c r="B837" s="1"/>
      <c r="O837" s="1"/>
    </row>
    <row r="838" spans="2:15" ht="15.75" customHeight="1">
      <c r="B838" s="1"/>
      <c r="O838" s="1"/>
    </row>
    <row r="839" spans="2:15" ht="15.75" customHeight="1">
      <c r="B839" s="1"/>
      <c r="O839" s="1"/>
    </row>
    <row r="840" spans="2:15" ht="15.75" customHeight="1">
      <c r="B840" s="1"/>
      <c r="O840" s="1"/>
    </row>
    <row r="841" spans="2:15" ht="15.75" customHeight="1">
      <c r="B841" s="1"/>
      <c r="O841" s="1"/>
    </row>
    <row r="842" spans="2:15" ht="15.75" customHeight="1">
      <c r="B842" s="1"/>
      <c r="O842" s="1"/>
    </row>
    <row r="843" spans="2:15" ht="15.75" customHeight="1">
      <c r="B843" s="1"/>
      <c r="O843" s="1"/>
    </row>
    <row r="844" spans="2:15" ht="15.75" customHeight="1">
      <c r="B844" s="1"/>
      <c r="O844" s="1"/>
    </row>
    <row r="845" spans="2:15" ht="15.75" customHeight="1">
      <c r="B845" s="1"/>
      <c r="O845" s="1"/>
    </row>
    <row r="846" spans="2:15" ht="15.75" customHeight="1">
      <c r="B846" s="1"/>
      <c r="O846" s="1"/>
    </row>
    <row r="847" spans="2:15" ht="15.75" customHeight="1">
      <c r="B847" s="1"/>
      <c r="O847" s="1"/>
    </row>
    <row r="848" spans="2:15" ht="15.75" customHeight="1">
      <c r="B848" s="1"/>
      <c r="O848" s="1"/>
    </row>
    <row r="849" spans="2:15" ht="15.75" customHeight="1">
      <c r="B849" s="1"/>
      <c r="O849" s="1"/>
    </row>
    <row r="850" spans="2:15" ht="15.75" customHeight="1">
      <c r="B850" s="1"/>
      <c r="O850" s="1"/>
    </row>
    <row r="851" spans="2:15" ht="15.75" customHeight="1">
      <c r="B851" s="1"/>
      <c r="O851" s="1"/>
    </row>
    <row r="852" spans="2:15" ht="15.75" customHeight="1">
      <c r="B852" s="1"/>
      <c r="O852" s="1"/>
    </row>
    <row r="853" spans="2:15" ht="15.75" customHeight="1">
      <c r="B853" s="1"/>
      <c r="O853" s="1"/>
    </row>
    <row r="854" spans="2:15" ht="15.75" customHeight="1">
      <c r="B854" s="1"/>
      <c r="O854" s="1"/>
    </row>
    <row r="855" spans="2:15" ht="15.75" customHeight="1">
      <c r="B855" s="1"/>
      <c r="O855" s="1"/>
    </row>
    <row r="856" spans="2:15" ht="15.75" customHeight="1">
      <c r="B856" s="1"/>
      <c r="O856" s="1"/>
    </row>
    <row r="857" spans="2:15" ht="15.75" customHeight="1">
      <c r="B857" s="1"/>
      <c r="O857" s="1"/>
    </row>
    <row r="858" spans="2:15" ht="15.75" customHeight="1">
      <c r="B858" s="1"/>
      <c r="O858" s="1"/>
    </row>
    <row r="859" spans="2:15" ht="15.75" customHeight="1">
      <c r="B859" s="1"/>
      <c r="O859" s="1"/>
    </row>
    <row r="860" spans="2:15" ht="15.75" customHeight="1">
      <c r="B860" s="1"/>
      <c r="O860" s="1"/>
    </row>
    <row r="861" spans="2:15" ht="15.75" customHeight="1">
      <c r="B861" s="1"/>
      <c r="O861" s="1"/>
    </row>
    <row r="862" spans="2:15" ht="15.75" customHeight="1">
      <c r="B862" s="1"/>
      <c r="O862" s="1"/>
    </row>
    <row r="863" spans="2:15" ht="15.75" customHeight="1">
      <c r="B863" s="1"/>
      <c r="O863" s="1"/>
    </row>
    <row r="864" spans="2:15" ht="15.75" customHeight="1">
      <c r="B864" s="1"/>
      <c r="O864" s="1"/>
    </row>
    <row r="865" spans="2:15" ht="15.75" customHeight="1">
      <c r="B865" s="1"/>
      <c r="O865" s="1"/>
    </row>
    <row r="866" spans="2:15" ht="15.75" customHeight="1">
      <c r="B866" s="1"/>
      <c r="O866" s="1"/>
    </row>
    <row r="867" spans="2:15" ht="15.75" customHeight="1">
      <c r="B867" s="1"/>
      <c r="O867" s="1"/>
    </row>
    <row r="868" spans="2:15" ht="15.75" customHeight="1">
      <c r="B868" s="1"/>
      <c r="O868" s="1"/>
    </row>
    <row r="869" spans="2:15" ht="15.75" customHeight="1">
      <c r="B869" s="1"/>
      <c r="O869" s="1"/>
    </row>
    <row r="870" spans="2:15" ht="15.75" customHeight="1">
      <c r="B870" s="1"/>
      <c r="O870" s="1"/>
    </row>
    <row r="871" spans="2:15" ht="15.75" customHeight="1">
      <c r="B871" s="1"/>
      <c r="O871" s="1"/>
    </row>
    <row r="872" spans="2:15" ht="15.75" customHeight="1">
      <c r="B872" s="1"/>
      <c r="O872" s="1"/>
    </row>
    <row r="873" spans="2:15" ht="15.75" customHeight="1">
      <c r="B873" s="1"/>
      <c r="O873" s="1"/>
    </row>
    <row r="874" spans="2:15" ht="15.75" customHeight="1">
      <c r="B874" s="1"/>
      <c r="O874" s="1"/>
    </row>
    <row r="875" spans="2:15" ht="15.75" customHeight="1">
      <c r="B875" s="1"/>
      <c r="O875" s="1"/>
    </row>
    <row r="876" spans="2:15" ht="15.75" customHeight="1">
      <c r="B876" s="1"/>
      <c r="O876" s="1"/>
    </row>
    <row r="877" spans="2:15" ht="15.75" customHeight="1">
      <c r="B877" s="1"/>
      <c r="O877" s="1"/>
    </row>
    <row r="878" spans="2:15" ht="15.75" customHeight="1">
      <c r="B878" s="1"/>
      <c r="O878" s="1"/>
    </row>
    <row r="879" spans="2:15" ht="15.75" customHeight="1">
      <c r="B879" s="1"/>
      <c r="O879" s="1"/>
    </row>
    <row r="880" spans="2:15" ht="15.75" customHeight="1">
      <c r="B880" s="1"/>
      <c r="O880" s="1"/>
    </row>
    <row r="881" spans="2:15" ht="15.75" customHeight="1">
      <c r="B881" s="1"/>
      <c r="O881" s="1"/>
    </row>
    <row r="882" spans="2:15" ht="15.75" customHeight="1">
      <c r="B882" s="1"/>
      <c r="O882" s="1"/>
    </row>
    <row r="883" spans="2:15" ht="15.75" customHeight="1">
      <c r="B883" s="1"/>
      <c r="O883" s="1"/>
    </row>
    <row r="884" spans="2:15" ht="15.75" customHeight="1">
      <c r="B884" s="1"/>
      <c r="O884" s="1"/>
    </row>
    <row r="885" spans="2:15" ht="15.75" customHeight="1">
      <c r="B885" s="1"/>
      <c r="O885" s="1"/>
    </row>
    <row r="886" spans="2:15" ht="15.75" customHeight="1">
      <c r="B886" s="1"/>
      <c r="O886" s="1"/>
    </row>
    <row r="887" spans="2:15" ht="15.75" customHeight="1">
      <c r="B887" s="1"/>
      <c r="O887" s="1"/>
    </row>
    <row r="888" spans="2:15" ht="15.75" customHeight="1">
      <c r="B888" s="1"/>
      <c r="O888" s="1"/>
    </row>
    <row r="889" spans="2:15" ht="15.75" customHeight="1">
      <c r="B889" s="1"/>
      <c r="O889" s="1"/>
    </row>
    <row r="890" spans="2:15" ht="15.75" customHeight="1">
      <c r="B890" s="1"/>
      <c r="O890" s="1"/>
    </row>
    <row r="891" spans="2:15" ht="15.75" customHeight="1">
      <c r="B891" s="1"/>
      <c r="O891" s="1"/>
    </row>
    <row r="892" spans="2:15" ht="15.75" customHeight="1">
      <c r="B892" s="1"/>
      <c r="O892" s="1"/>
    </row>
    <row r="893" spans="2:15" ht="15.75" customHeight="1">
      <c r="B893" s="1"/>
      <c r="O893" s="1"/>
    </row>
    <row r="894" spans="2:15" ht="15.75" customHeight="1">
      <c r="B894" s="1"/>
      <c r="O894" s="1"/>
    </row>
    <row r="895" spans="2:15" ht="15.75" customHeight="1">
      <c r="B895" s="1"/>
      <c r="O895" s="1"/>
    </row>
    <row r="896" spans="2:15" ht="15.75" customHeight="1">
      <c r="B896" s="1"/>
      <c r="O896" s="1"/>
    </row>
    <row r="897" spans="2:15" ht="15.75" customHeight="1">
      <c r="B897" s="1"/>
      <c r="O897" s="1"/>
    </row>
    <row r="898" spans="2:15" ht="15.75" customHeight="1">
      <c r="B898" s="1"/>
      <c r="O898" s="1"/>
    </row>
    <row r="899" spans="2:15" ht="15.75" customHeight="1">
      <c r="B899" s="1"/>
      <c r="O899" s="1"/>
    </row>
    <row r="900" spans="2:15" ht="15.75" customHeight="1">
      <c r="B900" s="1"/>
      <c r="O900" s="1"/>
    </row>
    <row r="901" spans="2:15" ht="15.75" customHeight="1">
      <c r="B901" s="1"/>
      <c r="O901" s="1"/>
    </row>
    <row r="902" spans="2:15" ht="15.75" customHeight="1">
      <c r="B902" s="1"/>
      <c r="O902" s="1"/>
    </row>
    <row r="903" spans="2:15" ht="15.75" customHeight="1">
      <c r="B903" s="1"/>
      <c r="O903" s="1"/>
    </row>
    <row r="904" spans="2:15" ht="15.75" customHeight="1">
      <c r="B904" s="1"/>
      <c r="O904" s="1"/>
    </row>
    <row r="905" spans="2:15" ht="15.75" customHeight="1">
      <c r="B905" s="1"/>
      <c r="O905" s="1"/>
    </row>
    <row r="906" spans="2:15" ht="15.75" customHeight="1">
      <c r="B906" s="1"/>
      <c r="O906" s="1"/>
    </row>
    <row r="907" spans="2:15" ht="15.75" customHeight="1">
      <c r="B907" s="1"/>
      <c r="O907" s="1"/>
    </row>
    <row r="908" spans="2:15" ht="15.75" customHeight="1">
      <c r="B908" s="1"/>
      <c r="O908" s="1"/>
    </row>
    <row r="909" spans="2:15" ht="15.75" customHeight="1">
      <c r="B909" s="1"/>
      <c r="O909" s="1"/>
    </row>
    <row r="910" spans="2:15" ht="15.75" customHeight="1">
      <c r="B910" s="1"/>
      <c r="O910" s="1"/>
    </row>
    <row r="911" spans="2:15" ht="15.75" customHeight="1">
      <c r="B911" s="1"/>
      <c r="O911" s="1"/>
    </row>
    <row r="912" spans="2:15" ht="15.75" customHeight="1">
      <c r="B912" s="1"/>
      <c r="O912" s="1"/>
    </row>
    <row r="913" spans="2:15" ht="15.75" customHeight="1">
      <c r="B913" s="1"/>
      <c r="O913" s="1"/>
    </row>
    <row r="914" spans="2:15" ht="15.75" customHeight="1">
      <c r="B914" s="1"/>
      <c r="O914" s="1"/>
    </row>
    <row r="915" spans="2:15" ht="15.75" customHeight="1">
      <c r="B915" s="1"/>
      <c r="O915" s="1"/>
    </row>
    <row r="916" spans="2:15" ht="15.75" customHeight="1">
      <c r="B916" s="1"/>
      <c r="O916" s="1"/>
    </row>
    <row r="917" spans="2:15" ht="15.75" customHeight="1">
      <c r="B917" s="1"/>
      <c r="O917" s="1"/>
    </row>
    <row r="918" spans="2:15" ht="15.75" customHeight="1">
      <c r="B918" s="1"/>
      <c r="O918" s="1"/>
    </row>
    <row r="919" spans="2:15" ht="15.75" customHeight="1">
      <c r="B919" s="1"/>
      <c r="O919" s="1"/>
    </row>
    <row r="920" spans="2:15" ht="15.75" customHeight="1">
      <c r="B920" s="1"/>
      <c r="O920" s="1"/>
    </row>
    <row r="921" spans="2:15" ht="15.75" customHeight="1">
      <c r="B921" s="1"/>
      <c r="O921" s="1"/>
    </row>
    <row r="922" spans="2:15" ht="15.75" customHeight="1">
      <c r="B922" s="1"/>
      <c r="O922" s="1"/>
    </row>
    <row r="923" spans="2:15" ht="15.75" customHeight="1">
      <c r="B923" s="1"/>
      <c r="O923" s="1"/>
    </row>
    <row r="924" spans="2:15" ht="15.75" customHeight="1">
      <c r="B924" s="1"/>
      <c r="O924" s="1"/>
    </row>
    <row r="925" spans="2:15" ht="15.75" customHeight="1">
      <c r="B925" s="1"/>
      <c r="O925" s="1"/>
    </row>
    <row r="926" spans="2:15" ht="15.75" customHeight="1">
      <c r="B926" s="1"/>
      <c r="O926" s="1"/>
    </row>
    <row r="927" spans="2:15" ht="15.75" customHeight="1">
      <c r="B927" s="1"/>
      <c r="O927" s="1"/>
    </row>
    <row r="928" spans="2:15" ht="15.75" customHeight="1">
      <c r="B928" s="1"/>
      <c r="O928" s="1"/>
    </row>
    <row r="929" spans="2:15" ht="15.75" customHeight="1">
      <c r="B929" s="1"/>
      <c r="O929" s="1"/>
    </row>
    <row r="930" spans="2:15" ht="15.75" customHeight="1">
      <c r="B930" s="1"/>
      <c r="O930" s="1"/>
    </row>
    <row r="931" spans="2:15" ht="15.75" customHeight="1">
      <c r="B931" s="1"/>
      <c r="O931" s="1"/>
    </row>
    <row r="932" spans="2:15" ht="15.75" customHeight="1">
      <c r="B932" s="1"/>
      <c r="O932" s="1"/>
    </row>
    <row r="933" spans="2:15" ht="15.75" customHeight="1">
      <c r="B933" s="1"/>
      <c r="O933" s="1"/>
    </row>
    <row r="934" spans="2:15" ht="15.75" customHeight="1">
      <c r="B934" s="1"/>
      <c r="O934" s="1"/>
    </row>
    <row r="935" spans="2:15" ht="15.75" customHeight="1">
      <c r="B935" s="1"/>
      <c r="O935" s="1"/>
    </row>
    <row r="936" spans="2:15" ht="15.75" customHeight="1">
      <c r="B936" s="1"/>
      <c r="O936" s="1"/>
    </row>
    <row r="937" spans="2:15" ht="15.75" customHeight="1">
      <c r="B937" s="1"/>
      <c r="O937" s="1"/>
    </row>
    <row r="938" spans="2:15" ht="15.75" customHeight="1">
      <c r="B938" s="1"/>
      <c r="O938" s="1"/>
    </row>
    <row r="939" spans="2:15" ht="15.75" customHeight="1">
      <c r="B939" s="1"/>
      <c r="O939" s="1"/>
    </row>
    <row r="940" spans="2:15" ht="15.75" customHeight="1">
      <c r="B940" s="1"/>
      <c r="O940" s="1"/>
    </row>
    <row r="941" spans="2:15" ht="15.75" customHeight="1">
      <c r="B941" s="1"/>
      <c r="O941" s="1"/>
    </row>
    <row r="942" spans="2:15" ht="15.75" customHeight="1">
      <c r="B942" s="1"/>
      <c r="O942" s="1"/>
    </row>
    <row r="943" spans="2:15" ht="15.75" customHeight="1">
      <c r="B943" s="1"/>
      <c r="O943" s="1"/>
    </row>
    <row r="944" spans="2:15" ht="15.75" customHeight="1">
      <c r="B944" s="1"/>
      <c r="O944" s="1"/>
    </row>
    <row r="945" spans="2:15" ht="15.75" customHeight="1">
      <c r="B945" s="1"/>
      <c r="O945" s="1"/>
    </row>
    <row r="946" spans="2:15" ht="15.75" customHeight="1">
      <c r="B946" s="1"/>
      <c r="O946" s="1"/>
    </row>
    <row r="947" spans="2:15" ht="15.75" customHeight="1">
      <c r="B947" s="1"/>
      <c r="O947" s="1"/>
    </row>
    <row r="948" spans="2:15" ht="15.75" customHeight="1">
      <c r="B948" s="1"/>
      <c r="O948" s="1"/>
    </row>
    <row r="949" spans="2:15" ht="15.75" customHeight="1">
      <c r="B949" s="1"/>
      <c r="O949" s="1"/>
    </row>
    <row r="950" spans="2:15" ht="15.75" customHeight="1">
      <c r="B950" s="1"/>
      <c r="O950" s="1"/>
    </row>
    <row r="951" spans="2:15" ht="15.75" customHeight="1">
      <c r="B951" s="1"/>
      <c r="O951" s="1"/>
    </row>
    <row r="952" spans="2:15" ht="15.75" customHeight="1">
      <c r="B952" s="1"/>
      <c r="O952" s="1"/>
    </row>
    <row r="953" spans="2:15" ht="15.75" customHeight="1">
      <c r="B953" s="1"/>
      <c r="O953" s="1"/>
    </row>
    <row r="954" spans="2:15" ht="15.75" customHeight="1">
      <c r="B954" s="1"/>
      <c r="O954" s="1"/>
    </row>
    <row r="955" spans="2:15" ht="15.75" customHeight="1">
      <c r="B955" s="1"/>
      <c r="O955" s="1"/>
    </row>
    <row r="956" spans="2:15" ht="15.75" customHeight="1">
      <c r="B956" s="1"/>
      <c r="O956" s="1"/>
    </row>
    <row r="957" spans="2:15" ht="15.75" customHeight="1">
      <c r="B957" s="1"/>
      <c r="O957" s="1"/>
    </row>
    <row r="958" spans="2:15" ht="15.75" customHeight="1">
      <c r="B958" s="1"/>
      <c r="O958" s="1"/>
    </row>
    <row r="959" spans="2:15" ht="15.75" customHeight="1">
      <c r="B959" s="1"/>
      <c r="O959" s="1"/>
    </row>
    <row r="960" spans="2:15" ht="15.75" customHeight="1">
      <c r="B960" s="1"/>
      <c r="O960" s="1"/>
    </row>
    <row r="961" spans="2:15" ht="15.75" customHeight="1">
      <c r="B961" s="1"/>
      <c r="O961" s="1"/>
    </row>
    <row r="962" spans="2:15" ht="15.75" customHeight="1">
      <c r="B962" s="1"/>
      <c r="O962" s="1"/>
    </row>
    <row r="963" spans="2:15" ht="15.75" customHeight="1">
      <c r="B963" s="1"/>
      <c r="O963" s="1"/>
    </row>
    <row r="964" spans="2:15" ht="15.75" customHeight="1">
      <c r="B964" s="1"/>
      <c r="O964" s="1"/>
    </row>
    <row r="965" spans="2:15" ht="15.75" customHeight="1">
      <c r="B965" s="1"/>
      <c r="O965" s="1"/>
    </row>
    <row r="966" spans="2:15" ht="15.75" customHeight="1">
      <c r="B966" s="1"/>
      <c r="O966" s="1"/>
    </row>
    <row r="967" spans="2:15" ht="15.75" customHeight="1">
      <c r="B967" s="1"/>
      <c r="O967" s="1"/>
    </row>
    <row r="968" spans="2:15" ht="15.75" customHeight="1">
      <c r="B968" s="1"/>
      <c r="O968" s="1"/>
    </row>
    <row r="969" spans="2:15" ht="15.75" customHeight="1">
      <c r="B969" s="1"/>
      <c r="O969" s="1"/>
    </row>
    <row r="970" spans="2:15" ht="15.75" customHeight="1">
      <c r="B970" s="1"/>
      <c r="O970" s="1"/>
    </row>
    <row r="971" spans="2:15" ht="15.75" customHeight="1">
      <c r="B971" s="1"/>
      <c r="O971" s="1"/>
    </row>
    <row r="972" spans="2:15" ht="15.75" customHeight="1">
      <c r="B972" s="1"/>
      <c r="O972" s="1"/>
    </row>
    <row r="973" spans="2:15" ht="15.75" customHeight="1">
      <c r="B973" s="1"/>
      <c r="O973" s="1"/>
    </row>
    <row r="974" spans="2:15" ht="15.75" customHeight="1">
      <c r="B974" s="1"/>
      <c r="O974" s="1"/>
    </row>
    <row r="975" spans="2:15" ht="15.75" customHeight="1">
      <c r="B975" s="1"/>
      <c r="O975" s="1"/>
    </row>
    <row r="976" spans="2:15" ht="15.75" customHeight="1">
      <c r="B976" s="1"/>
      <c r="O976" s="1"/>
    </row>
    <row r="977" spans="2:15" ht="15.75" customHeight="1">
      <c r="B977" s="1"/>
      <c r="O977" s="1"/>
    </row>
    <row r="978" spans="2:15" ht="15.75" customHeight="1">
      <c r="B978" s="1"/>
      <c r="O978" s="1"/>
    </row>
    <row r="979" spans="2:15" ht="15.75" customHeight="1">
      <c r="B979" s="1"/>
      <c r="O979" s="1"/>
    </row>
    <row r="980" spans="2:15" ht="15.75" customHeight="1">
      <c r="B980" s="1"/>
      <c r="O980" s="1"/>
    </row>
    <row r="981" spans="2:15" ht="15.75" customHeight="1">
      <c r="B981" s="1"/>
      <c r="O981" s="1"/>
    </row>
    <row r="982" spans="2:15" ht="15.75" customHeight="1">
      <c r="B982" s="1"/>
      <c r="O982" s="1"/>
    </row>
    <row r="983" spans="2:15" ht="15.75" customHeight="1">
      <c r="B983" s="1"/>
      <c r="O983" s="1"/>
    </row>
    <row r="984" spans="2:15" ht="15.75" customHeight="1">
      <c r="B984" s="1"/>
      <c r="O984" s="1"/>
    </row>
    <row r="985" spans="2:15" ht="15.75" customHeight="1">
      <c r="B985" s="1"/>
      <c r="O985" s="1"/>
    </row>
    <row r="986" spans="2:15" ht="15.75" customHeight="1">
      <c r="B986" s="1"/>
      <c r="O986" s="1"/>
    </row>
    <row r="987" spans="2:15" ht="15.75" customHeight="1">
      <c r="B987" s="1"/>
      <c r="O987" s="1"/>
    </row>
    <row r="988" spans="2:15" ht="15.75" customHeight="1">
      <c r="B988" s="1"/>
      <c r="O988" s="1"/>
    </row>
    <row r="989" spans="2:15" ht="15.75" customHeight="1">
      <c r="B989" s="1"/>
      <c r="O989" s="1"/>
    </row>
    <row r="990" spans="2:15" ht="15.75" customHeight="1">
      <c r="B990" s="1"/>
      <c r="O990" s="1"/>
    </row>
    <row r="991" spans="2:15" ht="15.75" customHeight="1">
      <c r="B991" s="1"/>
      <c r="O991" s="1"/>
    </row>
    <row r="992" spans="2:15" ht="15.75" customHeight="1">
      <c r="B992" s="1"/>
      <c r="O992" s="1"/>
    </row>
    <row r="993" spans="2:15" ht="15.75" customHeight="1">
      <c r="B993" s="1"/>
      <c r="O993" s="1"/>
    </row>
    <row r="994" spans="2:15" ht="15.75" customHeight="1">
      <c r="B994" s="1"/>
      <c r="O994" s="1"/>
    </row>
    <row r="995" spans="2:15" ht="15.75" customHeight="1">
      <c r="B995" s="1"/>
      <c r="O995" s="1"/>
    </row>
    <row r="996" spans="2:15" ht="15.75" customHeight="1">
      <c r="B996" s="1"/>
      <c r="O996" s="1"/>
    </row>
    <row r="997" spans="2:15" ht="15.75" customHeight="1">
      <c r="B997" s="1"/>
      <c r="O997" s="1"/>
    </row>
    <row r="998" spans="2:15" ht="15.75" customHeight="1">
      <c r="B998" s="1"/>
      <c r="O998" s="1"/>
    </row>
    <row r="999" spans="2:15" ht="15.75" customHeight="1">
      <c r="B999" s="1"/>
      <c r="O999" s="1"/>
    </row>
    <row r="1000" spans="2:15" ht="15.75" customHeight="1">
      <c r="B1000" s="1"/>
      <c r="O1000" s="1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000"/>
  <sheetViews>
    <sheetView workbookViewId="0"/>
  </sheetViews>
  <sheetFormatPr baseColWidth="10" defaultColWidth="11.1640625" defaultRowHeight="15" customHeight="1"/>
  <cols>
    <col min="1" max="1" width="6.83203125" customWidth="1"/>
    <col min="2" max="2" width="34.1640625" customWidth="1"/>
    <col min="3" max="3" width="6.83203125" customWidth="1"/>
    <col min="4" max="7" width="10.1640625" hidden="1" customWidth="1"/>
    <col min="8" max="26" width="6.83203125" customWidth="1"/>
  </cols>
  <sheetData>
    <row r="1" spans="1:14" ht="15.75" customHeight="1">
      <c r="A1" s="32" t="s">
        <v>171</v>
      </c>
      <c r="B1" s="1"/>
      <c r="D1" s="1"/>
      <c r="E1" s="1"/>
      <c r="F1" s="1"/>
      <c r="G1" s="1"/>
    </row>
    <row r="2" spans="1:14" ht="15.75" customHeight="1">
      <c r="A2" s="32" t="s">
        <v>172</v>
      </c>
      <c r="B2" s="32" t="s">
        <v>173</v>
      </c>
      <c r="C2" s="32" t="s">
        <v>47</v>
      </c>
      <c r="D2" s="32" t="s">
        <v>48</v>
      </c>
      <c r="E2" s="32" t="s">
        <v>37</v>
      </c>
      <c r="F2" s="32" t="s">
        <v>38</v>
      </c>
      <c r="G2" s="32" t="s">
        <v>39</v>
      </c>
      <c r="H2" s="32" t="s">
        <v>40</v>
      </c>
      <c r="I2" s="32" t="s">
        <v>41</v>
      </c>
      <c r="J2" s="32" t="s">
        <v>42</v>
      </c>
      <c r="K2" s="32" t="s">
        <v>43</v>
      </c>
      <c r="L2" s="32" t="s">
        <v>44</v>
      </c>
      <c r="M2" s="32" t="s">
        <v>45</v>
      </c>
      <c r="N2" s="32" t="s">
        <v>46</v>
      </c>
    </row>
    <row r="3" spans="1:14" ht="15.75" customHeight="1">
      <c r="B3" s="1"/>
      <c r="D3" s="1"/>
      <c r="E3" s="1"/>
      <c r="F3" s="1"/>
      <c r="G3" s="1"/>
    </row>
    <row r="4" spans="1:14" ht="15.75" customHeight="1">
      <c r="B4" s="1"/>
      <c r="D4" s="1"/>
      <c r="E4" s="1"/>
      <c r="F4" s="1"/>
      <c r="G4" s="1"/>
    </row>
    <row r="5" spans="1:14" ht="15.75" customHeight="1">
      <c r="B5" s="1"/>
      <c r="D5" s="1"/>
      <c r="E5" s="1"/>
      <c r="F5" s="1"/>
      <c r="G5" s="1"/>
    </row>
    <row r="6" spans="1:14" ht="15.75" customHeight="1">
      <c r="B6" s="1"/>
      <c r="D6" s="1"/>
      <c r="E6" s="1"/>
      <c r="F6" s="1"/>
      <c r="G6" s="1"/>
    </row>
    <row r="7" spans="1:14" ht="15.75" customHeight="1">
      <c r="B7" s="1"/>
      <c r="D7" s="1"/>
      <c r="E7" s="1"/>
      <c r="F7" s="1"/>
      <c r="G7" s="1"/>
    </row>
    <row r="8" spans="1:14" ht="15.75" customHeight="1">
      <c r="B8" s="1"/>
      <c r="D8" s="1"/>
      <c r="E8" s="1"/>
      <c r="F8" s="1"/>
      <c r="G8" s="1"/>
    </row>
    <row r="9" spans="1:14" ht="15.75" customHeight="1">
      <c r="B9" s="1"/>
      <c r="D9" s="1"/>
      <c r="E9" s="1"/>
      <c r="F9" s="1"/>
      <c r="G9" s="1"/>
    </row>
    <row r="10" spans="1:14" ht="15.75" customHeight="1">
      <c r="B10" s="1"/>
      <c r="D10" s="1"/>
      <c r="E10" s="1"/>
      <c r="F10" s="1"/>
      <c r="G10" s="1"/>
    </row>
    <row r="11" spans="1:14" ht="15.75" customHeight="1">
      <c r="B11" s="1"/>
      <c r="D11" s="1"/>
      <c r="E11" s="1"/>
      <c r="F11" s="1"/>
      <c r="G11" s="1"/>
    </row>
    <row r="12" spans="1:14" ht="15.75" customHeight="1">
      <c r="B12" s="1"/>
      <c r="D12" s="1"/>
      <c r="E12" s="1"/>
      <c r="F12" s="1"/>
      <c r="G12" s="1"/>
    </row>
    <row r="13" spans="1:14" ht="15.75" customHeight="1">
      <c r="B13" s="1"/>
      <c r="D13" s="1"/>
      <c r="E13" s="1"/>
      <c r="F13" s="1"/>
      <c r="G13" s="1"/>
    </row>
    <row r="14" spans="1:14" ht="15.75" customHeight="1">
      <c r="B14" s="1"/>
      <c r="D14" s="1"/>
      <c r="E14" s="1"/>
      <c r="F14" s="1"/>
      <c r="G14" s="1"/>
    </row>
    <row r="15" spans="1:14" ht="15.75" customHeight="1">
      <c r="B15" s="1"/>
      <c r="D15" s="1"/>
      <c r="E15" s="1"/>
      <c r="F15" s="1"/>
      <c r="G15" s="1"/>
    </row>
    <row r="16" spans="1:14" ht="15.75" customHeight="1">
      <c r="B16" s="1"/>
      <c r="D16" s="1"/>
      <c r="E16" s="1"/>
      <c r="F16" s="1"/>
      <c r="G16" s="1"/>
    </row>
    <row r="17" spans="2:7" ht="15.75" customHeight="1">
      <c r="B17" s="1"/>
      <c r="D17" s="1"/>
      <c r="E17" s="1"/>
      <c r="F17" s="1"/>
      <c r="G17" s="1"/>
    </row>
    <row r="18" spans="2:7" ht="15.75" customHeight="1">
      <c r="B18" s="1"/>
      <c r="D18" s="1"/>
      <c r="E18" s="1"/>
      <c r="F18" s="1"/>
      <c r="G18" s="1"/>
    </row>
    <row r="19" spans="2:7" ht="15.75" customHeight="1">
      <c r="B19" s="1"/>
      <c r="D19" s="1"/>
      <c r="E19" s="1"/>
      <c r="F19" s="1"/>
      <c r="G19" s="1"/>
    </row>
    <row r="20" spans="2:7" ht="15.75" customHeight="1">
      <c r="B20" s="1"/>
      <c r="D20" s="1"/>
      <c r="E20" s="1"/>
      <c r="F20" s="1"/>
      <c r="G20" s="1"/>
    </row>
    <row r="21" spans="2:7" ht="15.75" customHeight="1">
      <c r="B21" s="1"/>
      <c r="D21" s="1"/>
      <c r="E21" s="1"/>
      <c r="F21" s="1"/>
      <c r="G21" s="1"/>
    </row>
    <row r="22" spans="2:7" ht="15.75" customHeight="1">
      <c r="B22" s="1"/>
      <c r="D22" s="1"/>
      <c r="E22" s="1"/>
      <c r="F22" s="1"/>
      <c r="G22" s="1"/>
    </row>
    <row r="23" spans="2:7" ht="15.75" customHeight="1">
      <c r="B23" s="1"/>
      <c r="D23" s="1"/>
      <c r="E23" s="1"/>
      <c r="F23" s="1"/>
      <c r="G23" s="1"/>
    </row>
    <row r="24" spans="2:7" ht="15.75" customHeight="1">
      <c r="B24" s="1"/>
      <c r="D24" s="1"/>
      <c r="E24" s="1"/>
      <c r="F24" s="1"/>
      <c r="G24" s="1"/>
    </row>
    <row r="25" spans="2:7" ht="15.75" customHeight="1">
      <c r="B25" s="1"/>
      <c r="D25" s="1"/>
      <c r="E25" s="1"/>
      <c r="F25" s="1"/>
      <c r="G25" s="1"/>
    </row>
    <row r="26" spans="2:7" ht="15.75" customHeight="1">
      <c r="B26" s="1"/>
      <c r="D26" s="1"/>
      <c r="E26" s="1"/>
      <c r="F26" s="1"/>
      <c r="G26" s="1"/>
    </row>
    <row r="27" spans="2:7" ht="15.75" customHeight="1">
      <c r="B27" s="1"/>
      <c r="D27" s="1"/>
      <c r="E27" s="1"/>
      <c r="F27" s="1"/>
      <c r="G27" s="1"/>
    </row>
    <row r="28" spans="2:7" ht="15.75" customHeight="1">
      <c r="B28" s="1"/>
      <c r="D28" s="1"/>
      <c r="E28" s="1"/>
      <c r="F28" s="1"/>
      <c r="G28" s="1"/>
    </row>
    <row r="29" spans="2:7" ht="15.75" customHeight="1">
      <c r="B29" s="1"/>
      <c r="D29" s="1"/>
      <c r="E29" s="1"/>
      <c r="F29" s="1"/>
      <c r="G29" s="1"/>
    </row>
    <row r="30" spans="2:7" ht="15.75" customHeight="1">
      <c r="B30" s="1"/>
      <c r="D30" s="1"/>
      <c r="E30" s="1"/>
      <c r="F30" s="1"/>
      <c r="G30" s="1"/>
    </row>
    <row r="31" spans="2:7" ht="15.75" customHeight="1">
      <c r="B31" s="1"/>
      <c r="D31" s="1"/>
      <c r="E31" s="1"/>
      <c r="F31" s="1"/>
      <c r="G31" s="1"/>
    </row>
    <row r="32" spans="2:7" ht="15.75" customHeight="1">
      <c r="B32" s="1"/>
      <c r="D32" s="1"/>
      <c r="E32" s="1"/>
      <c r="F32" s="1"/>
      <c r="G32" s="1"/>
    </row>
    <row r="33" spans="2:7" ht="15.75" customHeight="1">
      <c r="B33" s="1"/>
      <c r="D33" s="1"/>
      <c r="E33" s="1"/>
      <c r="F33" s="1"/>
      <c r="G33" s="1"/>
    </row>
    <row r="34" spans="2:7" ht="15.75" customHeight="1">
      <c r="B34" s="1"/>
      <c r="D34" s="1"/>
      <c r="E34" s="1"/>
      <c r="F34" s="1"/>
      <c r="G34" s="1"/>
    </row>
    <row r="35" spans="2:7" ht="15.75" customHeight="1">
      <c r="B35" s="1"/>
      <c r="D35" s="1"/>
      <c r="E35" s="1"/>
      <c r="F35" s="1"/>
      <c r="G35" s="1"/>
    </row>
    <row r="36" spans="2:7" ht="15.75" customHeight="1">
      <c r="B36" s="1"/>
      <c r="D36" s="1"/>
      <c r="E36" s="1"/>
      <c r="F36" s="1"/>
      <c r="G36" s="1"/>
    </row>
    <row r="37" spans="2:7" ht="15.75" customHeight="1">
      <c r="B37" s="1"/>
      <c r="D37" s="1"/>
      <c r="E37" s="1"/>
      <c r="F37" s="1"/>
      <c r="G37" s="1"/>
    </row>
    <row r="38" spans="2:7" ht="15.75" customHeight="1">
      <c r="B38" s="1"/>
      <c r="D38" s="1"/>
      <c r="E38" s="1"/>
      <c r="F38" s="1"/>
      <c r="G38" s="1"/>
    </row>
    <row r="39" spans="2:7" ht="15.75" customHeight="1">
      <c r="B39" s="1"/>
      <c r="D39" s="1"/>
      <c r="E39" s="1"/>
      <c r="F39" s="1"/>
      <c r="G39" s="1"/>
    </row>
    <row r="40" spans="2:7" ht="15.75" customHeight="1">
      <c r="B40" s="1"/>
      <c r="D40" s="1"/>
      <c r="E40" s="1"/>
      <c r="F40" s="1"/>
      <c r="G40" s="1"/>
    </row>
    <row r="41" spans="2:7" ht="15.75" customHeight="1">
      <c r="B41" s="1"/>
      <c r="D41" s="1"/>
      <c r="E41" s="1"/>
      <c r="F41" s="1"/>
      <c r="G41" s="1"/>
    </row>
    <row r="42" spans="2:7" ht="15.75" customHeight="1">
      <c r="B42" s="1"/>
      <c r="D42" s="1"/>
      <c r="E42" s="1"/>
      <c r="F42" s="1"/>
      <c r="G42" s="1"/>
    </row>
    <row r="43" spans="2:7" ht="15.75" customHeight="1">
      <c r="B43" s="1"/>
      <c r="D43" s="1"/>
      <c r="E43" s="1"/>
      <c r="F43" s="1"/>
      <c r="G43" s="1"/>
    </row>
    <row r="44" spans="2:7" ht="15.75" customHeight="1">
      <c r="B44" s="1"/>
      <c r="D44" s="1"/>
      <c r="E44" s="1"/>
      <c r="F44" s="1"/>
      <c r="G44" s="1"/>
    </row>
    <row r="45" spans="2:7" ht="15.75" customHeight="1">
      <c r="B45" s="1"/>
      <c r="D45" s="1"/>
      <c r="E45" s="1"/>
      <c r="F45" s="1"/>
      <c r="G45" s="1"/>
    </row>
    <row r="46" spans="2:7" ht="15.75" customHeight="1">
      <c r="B46" s="1"/>
      <c r="D46" s="1"/>
      <c r="E46" s="1"/>
      <c r="F46" s="1"/>
      <c r="G46" s="1"/>
    </row>
    <row r="47" spans="2:7" ht="15.75" customHeight="1">
      <c r="B47" s="1"/>
      <c r="D47" s="1"/>
      <c r="E47" s="1"/>
      <c r="F47" s="1"/>
      <c r="G47" s="1"/>
    </row>
    <row r="48" spans="2:7" ht="15.75" customHeight="1">
      <c r="B48" s="1"/>
      <c r="D48" s="1"/>
      <c r="E48" s="1"/>
      <c r="F48" s="1"/>
      <c r="G48" s="1"/>
    </row>
    <row r="49" spans="2:7" ht="15.75" customHeight="1">
      <c r="B49" s="1"/>
      <c r="D49" s="1"/>
      <c r="E49" s="1"/>
      <c r="F49" s="1"/>
      <c r="G49" s="1"/>
    </row>
    <row r="50" spans="2:7" ht="15.75" customHeight="1">
      <c r="B50" s="1"/>
      <c r="D50" s="1"/>
      <c r="E50" s="1"/>
      <c r="F50" s="1"/>
      <c r="G50" s="1"/>
    </row>
    <row r="51" spans="2:7" ht="15.75" customHeight="1">
      <c r="B51" s="1"/>
      <c r="D51" s="1"/>
      <c r="E51" s="1"/>
      <c r="F51" s="1"/>
      <c r="G51" s="1"/>
    </row>
    <row r="52" spans="2:7" ht="15.75" customHeight="1">
      <c r="B52" s="1"/>
      <c r="D52" s="1"/>
      <c r="E52" s="1"/>
      <c r="F52" s="1"/>
      <c r="G52" s="1"/>
    </row>
    <row r="53" spans="2:7" ht="15.75" customHeight="1">
      <c r="B53" s="1"/>
      <c r="D53" s="1"/>
      <c r="E53" s="1"/>
      <c r="F53" s="1"/>
      <c r="G53" s="1"/>
    </row>
    <row r="54" spans="2:7" ht="15.75" customHeight="1">
      <c r="B54" s="1"/>
      <c r="D54" s="1"/>
      <c r="E54" s="1"/>
      <c r="F54" s="1"/>
      <c r="G54" s="1"/>
    </row>
    <row r="55" spans="2:7" ht="15.75" customHeight="1">
      <c r="B55" s="1"/>
      <c r="D55" s="1"/>
      <c r="E55" s="1"/>
      <c r="F55" s="1"/>
      <c r="G55" s="1"/>
    </row>
    <row r="56" spans="2:7" ht="15.75" customHeight="1">
      <c r="B56" s="1"/>
      <c r="D56" s="1"/>
      <c r="E56" s="1"/>
      <c r="F56" s="1"/>
      <c r="G56" s="1"/>
    </row>
    <row r="57" spans="2:7" ht="15.75" customHeight="1">
      <c r="B57" s="1"/>
      <c r="D57" s="1"/>
      <c r="E57" s="1"/>
      <c r="F57" s="1"/>
      <c r="G57" s="1"/>
    </row>
    <row r="58" spans="2:7" ht="15.75" customHeight="1">
      <c r="B58" s="1"/>
      <c r="D58" s="1"/>
      <c r="E58" s="1"/>
      <c r="F58" s="1"/>
      <c r="G58" s="1"/>
    </row>
    <row r="59" spans="2:7" ht="15.75" customHeight="1">
      <c r="B59" s="1"/>
      <c r="D59" s="1"/>
      <c r="E59" s="1"/>
      <c r="F59" s="1"/>
      <c r="G59" s="1"/>
    </row>
    <row r="60" spans="2:7" ht="15.75" customHeight="1">
      <c r="B60" s="1"/>
      <c r="D60" s="1"/>
      <c r="E60" s="1"/>
      <c r="F60" s="1"/>
      <c r="G60" s="1"/>
    </row>
    <row r="61" spans="2:7" ht="15.75" customHeight="1">
      <c r="B61" s="1"/>
      <c r="D61" s="1"/>
      <c r="E61" s="1"/>
      <c r="F61" s="1"/>
      <c r="G61" s="1"/>
    </row>
    <row r="62" spans="2:7" ht="15.75" customHeight="1">
      <c r="B62" s="1"/>
      <c r="D62" s="1"/>
      <c r="E62" s="1"/>
      <c r="F62" s="1"/>
      <c r="G62" s="1"/>
    </row>
    <row r="63" spans="2:7" ht="15.75" customHeight="1">
      <c r="B63" s="1"/>
      <c r="D63" s="1"/>
      <c r="E63" s="1"/>
      <c r="F63" s="1"/>
      <c r="G63" s="1"/>
    </row>
    <row r="64" spans="2:7" ht="15.75" customHeight="1">
      <c r="B64" s="1"/>
      <c r="D64" s="1"/>
      <c r="E64" s="1"/>
      <c r="F64" s="1"/>
      <c r="G64" s="1"/>
    </row>
    <row r="65" spans="2:7" ht="15.75" customHeight="1">
      <c r="B65" s="1"/>
      <c r="D65" s="1"/>
      <c r="E65" s="1"/>
      <c r="F65" s="1"/>
      <c r="G65" s="1"/>
    </row>
    <row r="66" spans="2:7" ht="15.75" customHeight="1">
      <c r="B66" s="1"/>
      <c r="D66" s="1"/>
      <c r="E66" s="1"/>
      <c r="F66" s="1"/>
      <c r="G66" s="1"/>
    </row>
    <row r="67" spans="2:7" ht="15.75" customHeight="1">
      <c r="B67" s="1"/>
      <c r="D67" s="1"/>
      <c r="E67" s="1"/>
      <c r="F67" s="1"/>
      <c r="G67" s="1"/>
    </row>
    <row r="68" spans="2:7" ht="15.75" customHeight="1">
      <c r="B68" s="1"/>
      <c r="D68" s="1"/>
      <c r="E68" s="1"/>
      <c r="F68" s="1"/>
      <c r="G68" s="1"/>
    </row>
    <row r="69" spans="2:7" ht="15.75" customHeight="1">
      <c r="B69" s="1"/>
      <c r="D69" s="1"/>
      <c r="E69" s="1"/>
      <c r="F69" s="1"/>
      <c r="G69" s="1"/>
    </row>
    <row r="70" spans="2:7" ht="15.75" customHeight="1">
      <c r="B70" s="1"/>
      <c r="D70" s="1"/>
      <c r="E70" s="1"/>
      <c r="F70" s="1"/>
      <c r="G70" s="1"/>
    </row>
    <row r="71" spans="2:7" ht="15.75" customHeight="1">
      <c r="B71" s="1"/>
      <c r="D71" s="1"/>
      <c r="E71" s="1"/>
      <c r="F71" s="1"/>
      <c r="G71" s="1"/>
    </row>
    <row r="72" spans="2:7" ht="15.75" customHeight="1">
      <c r="B72" s="1"/>
      <c r="D72" s="1"/>
      <c r="E72" s="1"/>
      <c r="F72" s="1"/>
      <c r="G72" s="1"/>
    </row>
    <row r="73" spans="2:7" ht="15.75" customHeight="1">
      <c r="B73" s="1"/>
      <c r="D73" s="1"/>
      <c r="E73" s="1"/>
      <c r="F73" s="1"/>
      <c r="G73" s="1"/>
    </row>
    <row r="74" spans="2:7" ht="15.75" customHeight="1">
      <c r="B74" s="1"/>
      <c r="D74" s="1"/>
      <c r="E74" s="1"/>
      <c r="F74" s="1"/>
      <c r="G74" s="1"/>
    </row>
    <row r="75" spans="2:7" ht="15.75" customHeight="1">
      <c r="B75" s="1"/>
      <c r="D75" s="1"/>
      <c r="E75" s="1"/>
      <c r="F75" s="1"/>
      <c r="G75" s="1"/>
    </row>
    <row r="76" spans="2:7" ht="15.75" customHeight="1">
      <c r="B76" s="1"/>
      <c r="D76" s="1"/>
      <c r="E76" s="1"/>
      <c r="F76" s="1"/>
      <c r="G76" s="1"/>
    </row>
    <row r="77" spans="2:7" ht="15.75" customHeight="1">
      <c r="B77" s="1"/>
      <c r="D77" s="1"/>
      <c r="E77" s="1"/>
      <c r="F77" s="1"/>
      <c r="G77" s="1"/>
    </row>
    <row r="78" spans="2:7" ht="15.75" customHeight="1">
      <c r="B78" s="1"/>
      <c r="D78" s="1"/>
      <c r="E78" s="1"/>
      <c r="F78" s="1"/>
      <c r="G78" s="1"/>
    </row>
    <row r="79" spans="2:7" ht="15.75" customHeight="1">
      <c r="B79" s="1"/>
      <c r="D79" s="1"/>
      <c r="E79" s="1"/>
      <c r="F79" s="1"/>
      <c r="G79" s="1"/>
    </row>
    <row r="80" spans="2:7" ht="15.75" customHeight="1">
      <c r="B80" s="1"/>
      <c r="D80" s="1"/>
      <c r="E80" s="1"/>
      <c r="F80" s="1"/>
      <c r="G80" s="1"/>
    </row>
    <row r="81" spans="2:7" ht="15.75" customHeight="1">
      <c r="B81" s="1"/>
      <c r="D81" s="1"/>
      <c r="E81" s="1"/>
      <c r="F81" s="1"/>
      <c r="G81" s="1"/>
    </row>
    <row r="82" spans="2:7" ht="15.75" customHeight="1">
      <c r="B82" s="1"/>
      <c r="D82" s="1"/>
      <c r="E82" s="1"/>
      <c r="F82" s="1"/>
      <c r="G82" s="1"/>
    </row>
    <row r="83" spans="2:7" ht="15.75" customHeight="1">
      <c r="B83" s="1"/>
      <c r="D83" s="1"/>
      <c r="E83" s="1"/>
      <c r="F83" s="1"/>
      <c r="G83" s="1"/>
    </row>
    <row r="84" spans="2:7" ht="15.75" customHeight="1">
      <c r="B84" s="1"/>
      <c r="D84" s="1"/>
      <c r="E84" s="1"/>
      <c r="F84" s="1"/>
      <c r="G84" s="1"/>
    </row>
    <row r="85" spans="2:7" ht="15.75" customHeight="1">
      <c r="B85" s="1"/>
      <c r="D85" s="1"/>
      <c r="E85" s="1"/>
      <c r="F85" s="1"/>
      <c r="G85" s="1"/>
    </row>
    <row r="86" spans="2:7" ht="15.75" customHeight="1">
      <c r="B86" s="1"/>
      <c r="D86" s="1"/>
      <c r="E86" s="1"/>
      <c r="F86" s="1"/>
      <c r="G86" s="1"/>
    </row>
    <row r="87" spans="2:7" ht="15.75" customHeight="1">
      <c r="B87" s="1"/>
      <c r="D87" s="1"/>
      <c r="E87" s="1"/>
      <c r="F87" s="1"/>
      <c r="G87" s="1"/>
    </row>
    <row r="88" spans="2:7" ht="15.75" customHeight="1">
      <c r="B88" s="1"/>
      <c r="D88" s="1"/>
      <c r="E88" s="1"/>
      <c r="F88" s="1"/>
      <c r="G88" s="1"/>
    </row>
    <row r="89" spans="2:7" ht="15.75" customHeight="1">
      <c r="B89" s="1"/>
      <c r="D89" s="1"/>
      <c r="E89" s="1"/>
      <c r="F89" s="1"/>
      <c r="G89" s="1"/>
    </row>
    <row r="90" spans="2:7" ht="15.75" customHeight="1">
      <c r="B90" s="1"/>
      <c r="D90" s="1"/>
      <c r="E90" s="1"/>
      <c r="F90" s="1"/>
      <c r="G90" s="1"/>
    </row>
    <row r="91" spans="2:7" ht="15.75" customHeight="1">
      <c r="B91" s="1"/>
      <c r="D91" s="1"/>
      <c r="E91" s="1"/>
      <c r="F91" s="1"/>
      <c r="G91" s="1"/>
    </row>
    <row r="92" spans="2:7" ht="15.75" customHeight="1">
      <c r="B92" s="1"/>
      <c r="D92" s="1"/>
      <c r="E92" s="1"/>
      <c r="F92" s="1"/>
      <c r="G92" s="1"/>
    </row>
    <row r="93" spans="2:7" ht="15.75" customHeight="1">
      <c r="B93" s="1"/>
      <c r="D93" s="1"/>
      <c r="E93" s="1"/>
      <c r="F93" s="1"/>
      <c r="G93" s="1"/>
    </row>
    <row r="94" spans="2:7" ht="15.75" customHeight="1">
      <c r="B94" s="1"/>
      <c r="D94" s="1"/>
      <c r="E94" s="1"/>
      <c r="F94" s="1"/>
      <c r="G94" s="1"/>
    </row>
    <row r="95" spans="2:7" ht="15.75" customHeight="1">
      <c r="B95" s="1"/>
      <c r="D95" s="1"/>
      <c r="E95" s="1"/>
      <c r="F95" s="1"/>
      <c r="G95" s="1"/>
    </row>
    <row r="96" spans="2:7" ht="15.75" customHeight="1">
      <c r="B96" s="1"/>
      <c r="D96" s="1"/>
      <c r="E96" s="1"/>
      <c r="F96" s="1"/>
      <c r="G96" s="1"/>
    </row>
    <row r="97" spans="2:7" ht="15.75" customHeight="1">
      <c r="B97" s="1"/>
      <c r="D97" s="1"/>
      <c r="E97" s="1"/>
      <c r="F97" s="1"/>
      <c r="G97" s="1"/>
    </row>
    <row r="98" spans="2:7" ht="15.75" customHeight="1">
      <c r="B98" s="1"/>
      <c r="D98" s="1"/>
      <c r="E98" s="1"/>
      <c r="F98" s="1"/>
      <c r="G98" s="1"/>
    </row>
    <row r="99" spans="2:7" ht="15.75" customHeight="1">
      <c r="B99" s="1"/>
      <c r="D99" s="1"/>
      <c r="E99" s="1"/>
      <c r="F99" s="1"/>
      <c r="G99" s="1"/>
    </row>
    <row r="100" spans="2:7" ht="15.75" customHeight="1">
      <c r="B100" s="1"/>
      <c r="D100" s="1"/>
      <c r="E100" s="1"/>
      <c r="F100" s="1"/>
      <c r="G100" s="1"/>
    </row>
    <row r="101" spans="2:7" ht="15.75" customHeight="1">
      <c r="B101" s="1"/>
      <c r="D101" s="1"/>
      <c r="E101" s="1"/>
      <c r="F101" s="1"/>
      <c r="G101" s="1"/>
    </row>
    <row r="102" spans="2:7" ht="15.75" customHeight="1">
      <c r="B102" s="1"/>
      <c r="D102" s="1"/>
      <c r="E102" s="1"/>
      <c r="F102" s="1"/>
      <c r="G102" s="1"/>
    </row>
    <row r="103" spans="2:7" ht="15.75" customHeight="1">
      <c r="B103" s="1"/>
      <c r="D103" s="1"/>
      <c r="E103" s="1"/>
      <c r="F103" s="1"/>
      <c r="G103" s="1"/>
    </row>
    <row r="104" spans="2:7" ht="15.75" customHeight="1">
      <c r="B104" s="1"/>
      <c r="D104" s="1"/>
      <c r="E104" s="1"/>
      <c r="F104" s="1"/>
      <c r="G104" s="1"/>
    </row>
    <row r="105" spans="2:7" ht="15.75" customHeight="1">
      <c r="B105" s="1"/>
      <c r="D105" s="1"/>
      <c r="E105" s="1"/>
      <c r="F105" s="1"/>
      <c r="G105" s="1"/>
    </row>
    <row r="106" spans="2:7" ht="15.75" customHeight="1">
      <c r="B106" s="1"/>
      <c r="D106" s="1"/>
      <c r="E106" s="1"/>
      <c r="F106" s="1"/>
      <c r="G106" s="1"/>
    </row>
    <row r="107" spans="2:7" ht="15.75" customHeight="1">
      <c r="B107" s="1"/>
      <c r="D107" s="1"/>
      <c r="E107" s="1"/>
      <c r="F107" s="1"/>
      <c r="G107" s="1"/>
    </row>
    <row r="108" spans="2:7" ht="15.75" customHeight="1">
      <c r="B108" s="1"/>
      <c r="D108" s="1"/>
      <c r="E108" s="1"/>
      <c r="F108" s="1"/>
      <c r="G108" s="1"/>
    </row>
    <row r="109" spans="2:7" ht="15.75" customHeight="1">
      <c r="B109" s="1"/>
      <c r="D109" s="1"/>
      <c r="E109" s="1"/>
      <c r="F109" s="1"/>
      <c r="G109" s="1"/>
    </row>
    <row r="110" spans="2:7" ht="15.75" customHeight="1">
      <c r="B110" s="1"/>
      <c r="D110" s="1"/>
      <c r="E110" s="1"/>
      <c r="F110" s="1"/>
      <c r="G110" s="1"/>
    </row>
    <row r="111" spans="2:7" ht="15.75" customHeight="1">
      <c r="B111" s="1"/>
      <c r="D111" s="1"/>
      <c r="E111" s="1"/>
      <c r="F111" s="1"/>
      <c r="G111" s="1"/>
    </row>
    <row r="112" spans="2:7" ht="15.75" customHeight="1">
      <c r="B112" s="1"/>
      <c r="D112" s="1"/>
      <c r="E112" s="1"/>
      <c r="F112" s="1"/>
      <c r="G112" s="1"/>
    </row>
    <row r="113" spans="2:7" ht="15.75" customHeight="1">
      <c r="B113" s="1"/>
      <c r="D113" s="1"/>
      <c r="E113" s="1"/>
      <c r="F113" s="1"/>
      <c r="G113" s="1"/>
    </row>
    <row r="114" spans="2:7" ht="15.75" customHeight="1">
      <c r="B114" s="1"/>
      <c r="D114" s="1"/>
      <c r="E114" s="1"/>
      <c r="F114" s="1"/>
      <c r="G114" s="1"/>
    </row>
    <row r="115" spans="2:7" ht="15.75" customHeight="1">
      <c r="B115" s="1"/>
      <c r="D115" s="1"/>
      <c r="E115" s="1"/>
      <c r="F115" s="1"/>
      <c r="G115" s="1"/>
    </row>
    <row r="116" spans="2:7" ht="15.75" customHeight="1">
      <c r="B116" s="1"/>
      <c r="D116" s="1"/>
      <c r="E116" s="1"/>
      <c r="F116" s="1"/>
      <c r="G116" s="1"/>
    </row>
    <row r="117" spans="2:7" ht="15.75" customHeight="1">
      <c r="B117" s="1"/>
      <c r="D117" s="1"/>
      <c r="E117" s="1"/>
      <c r="F117" s="1"/>
      <c r="G117" s="1"/>
    </row>
    <row r="118" spans="2:7" ht="15.75" customHeight="1">
      <c r="B118" s="1"/>
      <c r="D118" s="1"/>
      <c r="E118" s="1"/>
      <c r="F118" s="1"/>
      <c r="G118" s="1"/>
    </row>
    <row r="119" spans="2:7" ht="15.75" customHeight="1">
      <c r="B119" s="1"/>
      <c r="D119" s="1"/>
      <c r="E119" s="1"/>
      <c r="F119" s="1"/>
      <c r="G119" s="1"/>
    </row>
    <row r="120" spans="2:7" ht="15.75" customHeight="1">
      <c r="B120" s="1"/>
      <c r="D120" s="1"/>
      <c r="E120" s="1"/>
      <c r="F120" s="1"/>
      <c r="G120" s="1"/>
    </row>
    <row r="121" spans="2:7" ht="15.75" customHeight="1">
      <c r="B121" s="1"/>
      <c r="D121" s="1"/>
      <c r="E121" s="1"/>
      <c r="F121" s="1"/>
      <c r="G121" s="1"/>
    </row>
    <row r="122" spans="2:7" ht="15.75" customHeight="1">
      <c r="B122" s="1"/>
      <c r="D122" s="1"/>
      <c r="E122" s="1"/>
      <c r="F122" s="1"/>
      <c r="G122" s="1"/>
    </row>
    <row r="123" spans="2:7" ht="15.75" customHeight="1">
      <c r="B123" s="1"/>
      <c r="D123" s="1"/>
      <c r="E123" s="1"/>
      <c r="F123" s="1"/>
      <c r="G123" s="1"/>
    </row>
    <row r="124" spans="2:7" ht="15.75" customHeight="1">
      <c r="B124" s="1"/>
      <c r="D124" s="1"/>
      <c r="E124" s="1"/>
      <c r="F124" s="1"/>
      <c r="G124" s="1"/>
    </row>
    <row r="125" spans="2:7" ht="15.75" customHeight="1">
      <c r="B125" s="1"/>
      <c r="D125" s="1"/>
      <c r="E125" s="1"/>
      <c r="F125" s="1"/>
      <c r="G125" s="1"/>
    </row>
    <row r="126" spans="2:7" ht="15.75" customHeight="1">
      <c r="B126" s="1"/>
      <c r="D126" s="1"/>
      <c r="E126" s="1"/>
      <c r="F126" s="1"/>
      <c r="G126" s="1"/>
    </row>
    <row r="127" spans="2:7" ht="15.75" customHeight="1">
      <c r="B127" s="1"/>
      <c r="D127" s="1"/>
      <c r="E127" s="1"/>
      <c r="F127" s="1"/>
      <c r="G127" s="1"/>
    </row>
    <row r="128" spans="2:7" ht="15.75" customHeight="1">
      <c r="B128" s="1"/>
      <c r="D128" s="1"/>
      <c r="E128" s="1"/>
      <c r="F128" s="1"/>
      <c r="G128" s="1"/>
    </row>
    <row r="129" spans="2:7" ht="15.75" customHeight="1">
      <c r="B129" s="1"/>
      <c r="D129" s="1"/>
      <c r="E129" s="1"/>
      <c r="F129" s="1"/>
      <c r="G129" s="1"/>
    </row>
    <row r="130" spans="2:7" ht="15.75" customHeight="1">
      <c r="B130" s="1"/>
      <c r="D130" s="1"/>
      <c r="E130" s="1"/>
      <c r="F130" s="1"/>
      <c r="G130" s="1"/>
    </row>
    <row r="131" spans="2:7" ht="15.75" customHeight="1">
      <c r="B131" s="1"/>
      <c r="D131" s="1"/>
      <c r="E131" s="1"/>
      <c r="F131" s="1"/>
      <c r="G131" s="1"/>
    </row>
    <row r="132" spans="2:7" ht="15.75" customHeight="1">
      <c r="B132" s="1"/>
      <c r="D132" s="1"/>
      <c r="E132" s="1"/>
      <c r="F132" s="1"/>
      <c r="G132" s="1"/>
    </row>
    <row r="133" spans="2:7" ht="15.75" customHeight="1">
      <c r="B133" s="1"/>
      <c r="D133" s="1"/>
      <c r="E133" s="1"/>
      <c r="F133" s="1"/>
      <c r="G133" s="1"/>
    </row>
    <row r="134" spans="2:7" ht="15.75" customHeight="1">
      <c r="B134" s="1"/>
      <c r="D134" s="1"/>
      <c r="E134" s="1"/>
      <c r="F134" s="1"/>
      <c r="G134" s="1"/>
    </row>
    <row r="135" spans="2:7" ht="15.75" customHeight="1">
      <c r="B135" s="1"/>
      <c r="D135" s="1"/>
      <c r="E135" s="1"/>
      <c r="F135" s="1"/>
      <c r="G135" s="1"/>
    </row>
    <row r="136" spans="2:7" ht="15.75" customHeight="1">
      <c r="B136" s="1"/>
      <c r="D136" s="1"/>
      <c r="E136" s="1"/>
      <c r="F136" s="1"/>
      <c r="G136" s="1"/>
    </row>
    <row r="137" spans="2:7" ht="15.75" customHeight="1">
      <c r="B137" s="1"/>
      <c r="D137" s="1"/>
      <c r="E137" s="1"/>
      <c r="F137" s="1"/>
      <c r="G137" s="1"/>
    </row>
    <row r="138" spans="2:7" ht="15.75" customHeight="1">
      <c r="B138" s="1"/>
      <c r="D138" s="1"/>
      <c r="E138" s="1"/>
      <c r="F138" s="1"/>
      <c r="G138" s="1"/>
    </row>
    <row r="139" spans="2:7" ht="15.75" customHeight="1">
      <c r="B139" s="1"/>
      <c r="D139" s="1"/>
      <c r="E139" s="1"/>
      <c r="F139" s="1"/>
      <c r="G139" s="1"/>
    </row>
    <row r="140" spans="2:7" ht="15.75" customHeight="1">
      <c r="B140" s="1"/>
      <c r="D140" s="1"/>
      <c r="E140" s="1"/>
      <c r="F140" s="1"/>
      <c r="G140" s="1"/>
    </row>
    <row r="141" spans="2:7" ht="15.75" customHeight="1">
      <c r="B141" s="1"/>
      <c r="D141" s="1"/>
      <c r="E141" s="1"/>
      <c r="F141" s="1"/>
      <c r="G141" s="1"/>
    </row>
    <row r="142" spans="2:7" ht="15.75" customHeight="1">
      <c r="B142" s="1"/>
      <c r="D142" s="1"/>
      <c r="E142" s="1"/>
      <c r="F142" s="1"/>
      <c r="G142" s="1"/>
    </row>
    <row r="143" spans="2:7" ht="15.75" customHeight="1">
      <c r="B143" s="1"/>
      <c r="D143" s="1"/>
      <c r="E143" s="1"/>
      <c r="F143" s="1"/>
      <c r="G143" s="1"/>
    </row>
    <row r="144" spans="2:7" ht="15.75" customHeight="1">
      <c r="B144" s="1"/>
      <c r="D144" s="1"/>
      <c r="E144" s="1"/>
      <c r="F144" s="1"/>
      <c r="G144" s="1"/>
    </row>
    <row r="145" spans="2:7" ht="15.75" customHeight="1">
      <c r="B145" s="1"/>
      <c r="D145" s="1"/>
      <c r="E145" s="1"/>
      <c r="F145" s="1"/>
      <c r="G145" s="1"/>
    </row>
    <row r="146" spans="2:7" ht="15.75" customHeight="1">
      <c r="B146" s="1"/>
      <c r="D146" s="1"/>
      <c r="E146" s="1"/>
      <c r="F146" s="1"/>
      <c r="G146" s="1"/>
    </row>
    <row r="147" spans="2:7" ht="15.75" customHeight="1">
      <c r="B147" s="1"/>
      <c r="D147" s="1"/>
      <c r="E147" s="1"/>
      <c r="F147" s="1"/>
      <c r="G147" s="1"/>
    </row>
    <row r="148" spans="2:7" ht="15.75" customHeight="1">
      <c r="B148" s="1"/>
      <c r="D148" s="1"/>
      <c r="E148" s="1"/>
      <c r="F148" s="1"/>
      <c r="G148" s="1"/>
    </row>
    <row r="149" spans="2:7" ht="15.75" customHeight="1">
      <c r="B149" s="1"/>
      <c r="D149" s="1"/>
      <c r="E149" s="1"/>
      <c r="F149" s="1"/>
      <c r="G149" s="1"/>
    </row>
    <row r="150" spans="2:7" ht="15.75" customHeight="1">
      <c r="B150" s="1"/>
      <c r="D150" s="1"/>
      <c r="E150" s="1"/>
      <c r="F150" s="1"/>
      <c r="G150" s="1"/>
    </row>
    <row r="151" spans="2:7" ht="15.75" customHeight="1">
      <c r="B151" s="1"/>
      <c r="D151" s="1"/>
      <c r="E151" s="1"/>
      <c r="F151" s="1"/>
      <c r="G151" s="1"/>
    </row>
    <row r="152" spans="2:7" ht="15.75" customHeight="1">
      <c r="B152" s="1"/>
      <c r="D152" s="1"/>
      <c r="E152" s="1"/>
      <c r="F152" s="1"/>
      <c r="G152" s="1"/>
    </row>
    <row r="153" spans="2:7" ht="15.75" customHeight="1">
      <c r="B153" s="1"/>
      <c r="D153" s="1"/>
      <c r="E153" s="1"/>
      <c r="F153" s="1"/>
      <c r="G153" s="1"/>
    </row>
    <row r="154" spans="2:7" ht="15.75" customHeight="1">
      <c r="B154" s="1"/>
      <c r="D154" s="1"/>
      <c r="E154" s="1"/>
      <c r="F154" s="1"/>
      <c r="G154" s="1"/>
    </row>
    <row r="155" spans="2:7" ht="15.75" customHeight="1">
      <c r="B155" s="1"/>
      <c r="D155" s="1"/>
      <c r="E155" s="1"/>
      <c r="F155" s="1"/>
      <c r="G155" s="1"/>
    </row>
    <row r="156" spans="2:7" ht="15.75" customHeight="1">
      <c r="B156" s="1"/>
      <c r="D156" s="1"/>
      <c r="E156" s="1"/>
      <c r="F156" s="1"/>
      <c r="G156" s="1"/>
    </row>
    <row r="157" spans="2:7" ht="15.75" customHeight="1">
      <c r="B157" s="1"/>
      <c r="D157" s="1"/>
      <c r="E157" s="1"/>
      <c r="F157" s="1"/>
      <c r="G157" s="1"/>
    </row>
    <row r="158" spans="2:7" ht="15.75" customHeight="1">
      <c r="B158" s="1"/>
      <c r="D158" s="1"/>
      <c r="E158" s="1"/>
      <c r="F158" s="1"/>
      <c r="G158" s="1"/>
    </row>
    <row r="159" spans="2:7" ht="15.75" customHeight="1">
      <c r="B159" s="1"/>
      <c r="D159" s="1"/>
      <c r="E159" s="1"/>
      <c r="F159" s="1"/>
      <c r="G159" s="1"/>
    </row>
    <row r="160" spans="2:7" ht="15.75" customHeight="1">
      <c r="B160" s="1"/>
      <c r="D160" s="1"/>
      <c r="E160" s="1"/>
      <c r="F160" s="1"/>
      <c r="G160" s="1"/>
    </row>
    <row r="161" spans="2:7" ht="15.75" customHeight="1">
      <c r="B161" s="1"/>
      <c r="D161" s="1"/>
      <c r="E161" s="1"/>
      <c r="F161" s="1"/>
      <c r="G161" s="1"/>
    </row>
    <row r="162" spans="2:7" ht="15.75" customHeight="1">
      <c r="B162" s="1"/>
      <c r="D162" s="1"/>
      <c r="E162" s="1"/>
      <c r="F162" s="1"/>
      <c r="G162" s="1"/>
    </row>
    <row r="163" spans="2:7" ht="15.75" customHeight="1">
      <c r="B163" s="1"/>
      <c r="D163" s="1"/>
      <c r="E163" s="1"/>
      <c r="F163" s="1"/>
      <c r="G163" s="1"/>
    </row>
    <row r="164" spans="2:7" ht="15.75" customHeight="1">
      <c r="B164" s="1"/>
      <c r="D164" s="1"/>
      <c r="E164" s="1"/>
      <c r="F164" s="1"/>
      <c r="G164" s="1"/>
    </row>
    <row r="165" spans="2:7" ht="15.75" customHeight="1">
      <c r="B165" s="1"/>
      <c r="D165" s="1"/>
      <c r="E165" s="1"/>
      <c r="F165" s="1"/>
      <c r="G165" s="1"/>
    </row>
    <row r="166" spans="2:7" ht="15.75" customHeight="1">
      <c r="B166" s="1"/>
      <c r="D166" s="1"/>
      <c r="E166" s="1"/>
      <c r="F166" s="1"/>
      <c r="G166" s="1"/>
    </row>
    <row r="167" spans="2:7" ht="15.75" customHeight="1">
      <c r="B167" s="1"/>
      <c r="D167" s="1"/>
      <c r="E167" s="1"/>
      <c r="F167" s="1"/>
      <c r="G167" s="1"/>
    </row>
    <row r="168" spans="2:7" ht="15.75" customHeight="1">
      <c r="B168" s="1"/>
      <c r="D168" s="1"/>
      <c r="E168" s="1"/>
      <c r="F168" s="1"/>
      <c r="G168" s="1"/>
    </row>
    <row r="169" spans="2:7" ht="15.75" customHeight="1">
      <c r="B169" s="1"/>
      <c r="D169" s="1"/>
      <c r="E169" s="1"/>
      <c r="F169" s="1"/>
      <c r="G169" s="1"/>
    </row>
    <row r="170" spans="2:7" ht="15.75" customHeight="1">
      <c r="B170" s="1"/>
      <c r="D170" s="1"/>
      <c r="E170" s="1"/>
      <c r="F170" s="1"/>
      <c r="G170" s="1"/>
    </row>
    <row r="171" spans="2:7" ht="15.75" customHeight="1">
      <c r="B171" s="1"/>
      <c r="D171" s="1"/>
      <c r="E171" s="1"/>
      <c r="F171" s="1"/>
      <c r="G171" s="1"/>
    </row>
    <row r="172" spans="2:7" ht="15.75" customHeight="1">
      <c r="B172" s="1"/>
      <c r="D172" s="1"/>
      <c r="E172" s="1"/>
      <c r="F172" s="1"/>
      <c r="G172" s="1"/>
    </row>
    <row r="173" spans="2:7" ht="15.75" customHeight="1">
      <c r="B173" s="1"/>
      <c r="D173" s="1"/>
      <c r="E173" s="1"/>
      <c r="F173" s="1"/>
      <c r="G173" s="1"/>
    </row>
    <row r="174" spans="2:7" ht="15.75" customHeight="1">
      <c r="B174" s="1"/>
      <c r="D174" s="1"/>
      <c r="E174" s="1"/>
      <c r="F174" s="1"/>
      <c r="G174" s="1"/>
    </row>
    <row r="175" spans="2:7" ht="15.75" customHeight="1">
      <c r="B175" s="1"/>
      <c r="D175" s="1"/>
      <c r="E175" s="1"/>
      <c r="F175" s="1"/>
      <c r="G175" s="1"/>
    </row>
    <row r="176" spans="2:7" ht="15.75" customHeight="1">
      <c r="B176" s="1"/>
      <c r="D176" s="1"/>
      <c r="E176" s="1"/>
      <c r="F176" s="1"/>
      <c r="G176" s="1"/>
    </row>
    <row r="177" spans="2:7" ht="15.75" customHeight="1">
      <c r="B177" s="1"/>
      <c r="D177" s="1"/>
      <c r="E177" s="1"/>
      <c r="F177" s="1"/>
      <c r="G177" s="1"/>
    </row>
    <row r="178" spans="2:7" ht="15.75" customHeight="1">
      <c r="B178" s="1"/>
      <c r="D178" s="1"/>
      <c r="E178" s="1"/>
      <c r="F178" s="1"/>
      <c r="G178" s="1"/>
    </row>
    <row r="179" spans="2:7" ht="15.75" customHeight="1">
      <c r="B179" s="1"/>
      <c r="D179" s="1"/>
      <c r="E179" s="1"/>
      <c r="F179" s="1"/>
      <c r="G179" s="1"/>
    </row>
    <row r="180" spans="2:7" ht="15.75" customHeight="1">
      <c r="B180" s="1"/>
      <c r="D180" s="1"/>
      <c r="E180" s="1"/>
      <c r="F180" s="1"/>
      <c r="G180" s="1"/>
    </row>
    <row r="181" spans="2:7" ht="15.75" customHeight="1">
      <c r="B181" s="1"/>
      <c r="D181" s="1"/>
      <c r="E181" s="1"/>
      <c r="F181" s="1"/>
      <c r="G181" s="1"/>
    </row>
    <row r="182" spans="2:7" ht="15.75" customHeight="1">
      <c r="B182" s="1"/>
      <c r="D182" s="1"/>
      <c r="E182" s="1"/>
      <c r="F182" s="1"/>
      <c r="G182" s="1"/>
    </row>
    <row r="183" spans="2:7" ht="15.75" customHeight="1">
      <c r="B183" s="1"/>
      <c r="D183" s="1"/>
      <c r="E183" s="1"/>
      <c r="F183" s="1"/>
      <c r="G183" s="1"/>
    </row>
    <row r="184" spans="2:7" ht="15.75" customHeight="1">
      <c r="B184" s="1"/>
      <c r="D184" s="1"/>
      <c r="E184" s="1"/>
      <c r="F184" s="1"/>
      <c r="G184" s="1"/>
    </row>
    <row r="185" spans="2:7" ht="15.75" customHeight="1">
      <c r="B185" s="1"/>
      <c r="D185" s="1"/>
      <c r="E185" s="1"/>
      <c r="F185" s="1"/>
      <c r="G185" s="1"/>
    </row>
    <row r="186" spans="2:7" ht="15.75" customHeight="1">
      <c r="B186" s="1"/>
      <c r="D186" s="1"/>
      <c r="E186" s="1"/>
      <c r="F186" s="1"/>
      <c r="G186" s="1"/>
    </row>
    <row r="187" spans="2:7" ht="15.75" customHeight="1">
      <c r="B187" s="1"/>
      <c r="D187" s="1"/>
      <c r="E187" s="1"/>
      <c r="F187" s="1"/>
      <c r="G187" s="1"/>
    </row>
    <row r="188" spans="2:7" ht="15.75" customHeight="1">
      <c r="B188" s="1"/>
      <c r="D188" s="1"/>
      <c r="E188" s="1"/>
      <c r="F188" s="1"/>
      <c r="G188" s="1"/>
    </row>
    <row r="189" spans="2:7" ht="15.75" customHeight="1">
      <c r="B189" s="1"/>
      <c r="D189" s="1"/>
      <c r="E189" s="1"/>
      <c r="F189" s="1"/>
      <c r="G189" s="1"/>
    </row>
    <row r="190" spans="2:7" ht="15.75" customHeight="1">
      <c r="B190" s="1"/>
      <c r="D190" s="1"/>
      <c r="E190" s="1"/>
      <c r="F190" s="1"/>
      <c r="G190" s="1"/>
    </row>
    <row r="191" spans="2:7" ht="15.75" customHeight="1">
      <c r="B191" s="1"/>
      <c r="D191" s="1"/>
      <c r="E191" s="1"/>
      <c r="F191" s="1"/>
      <c r="G191" s="1"/>
    </row>
    <row r="192" spans="2:7" ht="15.75" customHeight="1">
      <c r="B192" s="1"/>
      <c r="D192" s="1"/>
      <c r="E192" s="1"/>
      <c r="F192" s="1"/>
      <c r="G192" s="1"/>
    </row>
    <row r="193" spans="2:7" ht="15.75" customHeight="1">
      <c r="B193" s="1"/>
      <c r="D193" s="1"/>
      <c r="E193" s="1"/>
      <c r="F193" s="1"/>
      <c r="G193" s="1"/>
    </row>
    <row r="194" spans="2:7" ht="15.75" customHeight="1">
      <c r="B194" s="1"/>
      <c r="D194" s="1"/>
      <c r="E194" s="1"/>
      <c r="F194" s="1"/>
      <c r="G194" s="1"/>
    </row>
    <row r="195" spans="2:7" ht="15.75" customHeight="1">
      <c r="B195" s="1"/>
      <c r="D195" s="1"/>
      <c r="E195" s="1"/>
      <c r="F195" s="1"/>
      <c r="G195" s="1"/>
    </row>
    <row r="196" spans="2:7" ht="15.75" customHeight="1">
      <c r="B196" s="1"/>
      <c r="D196" s="1"/>
      <c r="E196" s="1"/>
      <c r="F196" s="1"/>
      <c r="G196" s="1"/>
    </row>
    <row r="197" spans="2:7" ht="15.75" customHeight="1">
      <c r="B197" s="1"/>
      <c r="D197" s="1"/>
      <c r="E197" s="1"/>
      <c r="F197" s="1"/>
      <c r="G197" s="1"/>
    </row>
    <row r="198" spans="2:7" ht="15.75" customHeight="1">
      <c r="B198" s="1"/>
      <c r="D198" s="1"/>
      <c r="E198" s="1"/>
      <c r="F198" s="1"/>
      <c r="G198" s="1"/>
    </row>
    <row r="199" spans="2:7" ht="15.75" customHeight="1">
      <c r="B199" s="1"/>
      <c r="D199" s="1"/>
      <c r="E199" s="1"/>
      <c r="F199" s="1"/>
      <c r="G199" s="1"/>
    </row>
    <row r="200" spans="2:7" ht="15.75" customHeight="1">
      <c r="B200" s="1"/>
      <c r="D200" s="1"/>
      <c r="E200" s="1"/>
      <c r="F200" s="1"/>
      <c r="G200" s="1"/>
    </row>
    <row r="201" spans="2:7" ht="15.75" customHeight="1">
      <c r="B201" s="1"/>
      <c r="D201" s="1"/>
      <c r="E201" s="1"/>
      <c r="F201" s="1"/>
      <c r="G201" s="1"/>
    </row>
    <row r="202" spans="2:7" ht="15.75" customHeight="1">
      <c r="B202" s="1"/>
      <c r="D202" s="1"/>
      <c r="E202" s="1"/>
      <c r="F202" s="1"/>
      <c r="G202" s="1"/>
    </row>
    <row r="203" spans="2:7" ht="15.75" customHeight="1">
      <c r="B203" s="1"/>
      <c r="D203" s="1"/>
      <c r="E203" s="1"/>
      <c r="F203" s="1"/>
      <c r="G203" s="1"/>
    </row>
    <row r="204" spans="2:7" ht="15.75" customHeight="1">
      <c r="B204" s="1"/>
      <c r="D204" s="1"/>
      <c r="E204" s="1"/>
      <c r="F204" s="1"/>
      <c r="G204" s="1"/>
    </row>
    <row r="205" spans="2:7" ht="15.75" customHeight="1">
      <c r="B205" s="1"/>
      <c r="D205" s="1"/>
      <c r="E205" s="1"/>
      <c r="F205" s="1"/>
      <c r="G205" s="1"/>
    </row>
    <row r="206" spans="2:7" ht="15.75" customHeight="1">
      <c r="B206" s="1"/>
      <c r="D206" s="1"/>
      <c r="E206" s="1"/>
      <c r="F206" s="1"/>
      <c r="G206" s="1"/>
    </row>
    <row r="207" spans="2:7" ht="15.75" customHeight="1">
      <c r="B207" s="1"/>
      <c r="D207" s="1"/>
      <c r="E207" s="1"/>
      <c r="F207" s="1"/>
      <c r="G207" s="1"/>
    </row>
    <row r="208" spans="2:7" ht="15.75" customHeight="1">
      <c r="B208" s="1"/>
      <c r="D208" s="1"/>
      <c r="E208" s="1"/>
      <c r="F208" s="1"/>
      <c r="G208" s="1"/>
    </row>
    <row r="209" spans="2:7" ht="15.75" customHeight="1">
      <c r="B209" s="1"/>
      <c r="D209" s="1"/>
      <c r="E209" s="1"/>
      <c r="F209" s="1"/>
      <c r="G209" s="1"/>
    </row>
    <row r="210" spans="2:7" ht="15.75" customHeight="1">
      <c r="B210" s="1"/>
      <c r="D210" s="1"/>
      <c r="E210" s="1"/>
      <c r="F210" s="1"/>
      <c r="G210" s="1"/>
    </row>
    <row r="211" spans="2:7" ht="15.75" customHeight="1">
      <c r="B211" s="1"/>
      <c r="D211" s="1"/>
      <c r="E211" s="1"/>
      <c r="F211" s="1"/>
      <c r="G211" s="1"/>
    </row>
    <row r="212" spans="2:7" ht="15.75" customHeight="1">
      <c r="B212" s="1"/>
      <c r="D212" s="1"/>
      <c r="E212" s="1"/>
      <c r="F212" s="1"/>
      <c r="G212" s="1"/>
    </row>
    <row r="213" spans="2:7" ht="15.75" customHeight="1">
      <c r="B213" s="1"/>
      <c r="D213" s="1"/>
      <c r="E213" s="1"/>
      <c r="F213" s="1"/>
      <c r="G213" s="1"/>
    </row>
    <row r="214" spans="2:7" ht="15.75" customHeight="1">
      <c r="B214" s="1"/>
      <c r="D214" s="1"/>
      <c r="E214" s="1"/>
      <c r="F214" s="1"/>
      <c r="G214" s="1"/>
    </row>
    <row r="215" spans="2:7" ht="15.75" customHeight="1">
      <c r="B215" s="1"/>
      <c r="D215" s="1"/>
      <c r="E215" s="1"/>
      <c r="F215" s="1"/>
      <c r="G215" s="1"/>
    </row>
    <row r="216" spans="2:7" ht="15.75" customHeight="1">
      <c r="B216" s="1"/>
      <c r="D216" s="1"/>
      <c r="E216" s="1"/>
      <c r="F216" s="1"/>
      <c r="G216" s="1"/>
    </row>
    <row r="217" spans="2:7" ht="15.75" customHeight="1">
      <c r="B217" s="1"/>
      <c r="D217" s="1"/>
      <c r="E217" s="1"/>
      <c r="F217" s="1"/>
      <c r="G217" s="1"/>
    </row>
    <row r="218" spans="2:7" ht="15.75" customHeight="1">
      <c r="B218" s="1"/>
      <c r="D218" s="1"/>
      <c r="E218" s="1"/>
      <c r="F218" s="1"/>
      <c r="G218" s="1"/>
    </row>
    <row r="219" spans="2:7" ht="15.75" customHeight="1">
      <c r="B219" s="1"/>
      <c r="D219" s="1"/>
      <c r="E219" s="1"/>
      <c r="F219" s="1"/>
      <c r="G219" s="1"/>
    </row>
    <row r="220" spans="2:7" ht="15.75" customHeight="1">
      <c r="B220" s="1"/>
      <c r="D220" s="1"/>
      <c r="E220" s="1"/>
      <c r="F220" s="1"/>
      <c r="G220" s="1"/>
    </row>
    <row r="221" spans="2:7" ht="15.75" customHeight="1">
      <c r="B221" s="1"/>
      <c r="D221" s="1"/>
      <c r="E221" s="1"/>
      <c r="F221" s="1"/>
      <c r="G221" s="1"/>
    </row>
    <row r="222" spans="2:7" ht="15.75" customHeight="1">
      <c r="B222" s="1"/>
      <c r="D222" s="1"/>
      <c r="E222" s="1"/>
      <c r="F222" s="1"/>
      <c r="G222" s="1"/>
    </row>
    <row r="223" spans="2:7" ht="15.75" customHeight="1">
      <c r="B223" s="1"/>
      <c r="D223" s="1"/>
      <c r="E223" s="1"/>
      <c r="F223" s="1"/>
      <c r="G223" s="1"/>
    </row>
    <row r="224" spans="2:7" ht="15.75" customHeight="1">
      <c r="B224" s="1"/>
      <c r="D224" s="1"/>
      <c r="E224" s="1"/>
      <c r="F224" s="1"/>
      <c r="G224" s="1"/>
    </row>
    <row r="225" spans="2:7" ht="15.75" customHeight="1">
      <c r="B225" s="1"/>
      <c r="D225" s="1"/>
      <c r="E225" s="1"/>
      <c r="F225" s="1"/>
      <c r="G225" s="1"/>
    </row>
    <row r="226" spans="2:7" ht="15.75" customHeight="1">
      <c r="B226" s="1"/>
      <c r="D226" s="1"/>
      <c r="E226" s="1"/>
      <c r="F226" s="1"/>
      <c r="G226" s="1"/>
    </row>
    <row r="227" spans="2:7" ht="15.75" customHeight="1">
      <c r="B227" s="1"/>
      <c r="D227" s="1"/>
      <c r="E227" s="1"/>
      <c r="F227" s="1"/>
      <c r="G227" s="1"/>
    </row>
    <row r="228" spans="2:7" ht="15.75" customHeight="1">
      <c r="B228" s="1"/>
      <c r="D228" s="1"/>
      <c r="E228" s="1"/>
      <c r="F228" s="1"/>
      <c r="G228" s="1"/>
    </row>
    <row r="229" spans="2:7" ht="15.75" customHeight="1">
      <c r="B229" s="1"/>
      <c r="D229" s="1"/>
      <c r="E229" s="1"/>
      <c r="F229" s="1"/>
      <c r="G229" s="1"/>
    </row>
    <row r="230" spans="2:7" ht="15.75" customHeight="1">
      <c r="B230" s="1"/>
      <c r="D230" s="1"/>
      <c r="E230" s="1"/>
      <c r="F230" s="1"/>
      <c r="G230" s="1"/>
    </row>
    <row r="231" spans="2:7" ht="15.75" customHeight="1">
      <c r="B231" s="1"/>
      <c r="D231" s="1"/>
      <c r="E231" s="1"/>
      <c r="F231" s="1"/>
      <c r="G231" s="1"/>
    </row>
    <row r="232" spans="2:7" ht="15.75" customHeight="1">
      <c r="B232" s="1"/>
      <c r="D232" s="1"/>
      <c r="E232" s="1"/>
      <c r="F232" s="1"/>
      <c r="G232" s="1"/>
    </row>
    <row r="233" spans="2:7" ht="15.75" customHeight="1">
      <c r="B233" s="1"/>
      <c r="D233" s="1"/>
      <c r="E233" s="1"/>
      <c r="F233" s="1"/>
      <c r="G233" s="1"/>
    </row>
    <row r="234" spans="2:7" ht="15.75" customHeight="1">
      <c r="B234" s="1"/>
      <c r="D234" s="1"/>
      <c r="E234" s="1"/>
      <c r="F234" s="1"/>
      <c r="G234" s="1"/>
    </row>
    <row r="235" spans="2:7" ht="15.75" customHeight="1">
      <c r="B235" s="1"/>
      <c r="D235" s="1"/>
      <c r="E235" s="1"/>
      <c r="F235" s="1"/>
      <c r="G235" s="1"/>
    </row>
    <row r="236" spans="2:7" ht="15.75" customHeight="1">
      <c r="B236" s="1"/>
      <c r="D236" s="1"/>
      <c r="E236" s="1"/>
      <c r="F236" s="1"/>
      <c r="G236" s="1"/>
    </row>
    <row r="237" spans="2:7" ht="15.75" customHeight="1">
      <c r="B237" s="1"/>
      <c r="D237" s="1"/>
      <c r="E237" s="1"/>
      <c r="F237" s="1"/>
      <c r="G237" s="1"/>
    </row>
    <row r="238" spans="2:7" ht="15.75" customHeight="1">
      <c r="B238" s="1"/>
      <c r="D238" s="1"/>
      <c r="E238" s="1"/>
      <c r="F238" s="1"/>
      <c r="G238" s="1"/>
    </row>
    <row r="239" spans="2:7" ht="15.75" customHeight="1">
      <c r="B239" s="1"/>
      <c r="D239" s="1"/>
      <c r="E239" s="1"/>
      <c r="F239" s="1"/>
      <c r="G239" s="1"/>
    </row>
    <row r="240" spans="2:7" ht="15.75" customHeight="1">
      <c r="B240" s="1"/>
      <c r="D240" s="1"/>
      <c r="E240" s="1"/>
      <c r="F240" s="1"/>
      <c r="G240" s="1"/>
    </row>
    <row r="241" spans="2:7" ht="15.75" customHeight="1">
      <c r="B241" s="1"/>
      <c r="D241" s="1"/>
      <c r="E241" s="1"/>
      <c r="F241" s="1"/>
      <c r="G241" s="1"/>
    </row>
    <row r="242" spans="2:7" ht="15.75" customHeight="1">
      <c r="B242" s="1"/>
      <c r="D242" s="1"/>
      <c r="E242" s="1"/>
      <c r="F242" s="1"/>
      <c r="G242" s="1"/>
    </row>
    <row r="243" spans="2:7" ht="15.75" customHeight="1">
      <c r="B243" s="1"/>
      <c r="D243" s="1"/>
      <c r="E243" s="1"/>
      <c r="F243" s="1"/>
      <c r="G243" s="1"/>
    </row>
    <row r="244" spans="2:7" ht="15.75" customHeight="1">
      <c r="B244" s="1"/>
      <c r="D244" s="1"/>
      <c r="E244" s="1"/>
      <c r="F244" s="1"/>
      <c r="G244" s="1"/>
    </row>
    <row r="245" spans="2:7" ht="15.75" customHeight="1">
      <c r="B245" s="1"/>
      <c r="D245" s="1"/>
      <c r="E245" s="1"/>
      <c r="F245" s="1"/>
      <c r="G245" s="1"/>
    </row>
    <row r="246" spans="2:7" ht="15.75" customHeight="1">
      <c r="B246" s="1"/>
      <c r="D246" s="1"/>
      <c r="E246" s="1"/>
      <c r="F246" s="1"/>
      <c r="G246" s="1"/>
    </row>
    <row r="247" spans="2:7" ht="15.75" customHeight="1">
      <c r="B247" s="1"/>
      <c r="D247" s="1"/>
      <c r="E247" s="1"/>
      <c r="F247" s="1"/>
      <c r="G247" s="1"/>
    </row>
    <row r="248" spans="2:7" ht="15.75" customHeight="1">
      <c r="B248" s="1"/>
      <c r="D248" s="1"/>
      <c r="E248" s="1"/>
      <c r="F248" s="1"/>
      <c r="G248" s="1"/>
    </row>
    <row r="249" spans="2:7" ht="15.75" customHeight="1">
      <c r="B249" s="1"/>
      <c r="D249" s="1"/>
      <c r="E249" s="1"/>
      <c r="F249" s="1"/>
      <c r="G249" s="1"/>
    </row>
    <row r="250" spans="2:7" ht="15.75" customHeight="1">
      <c r="B250" s="1"/>
      <c r="D250" s="1"/>
      <c r="E250" s="1"/>
      <c r="F250" s="1"/>
      <c r="G250" s="1"/>
    </row>
    <row r="251" spans="2:7" ht="15.75" customHeight="1">
      <c r="B251" s="1"/>
      <c r="D251" s="1"/>
      <c r="E251" s="1"/>
      <c r="F251" s="1"/>
      <c r="G251" s="1"/>
    </row>
    <row r="252" spans="2:7" ht="15.75" customHeight="1">
      <c r="B252" s="1"/>
      <c r="D252" s="1"/>
      <c r="E252" s="1"/>
      <c r="F252" s="1"/>
      <c r="G252" s="1"/>
    </row>
    <row r="253" spans="2:7" ht="15.75" customHeight="1">
      <c r="B253" s="1"/>
      <c r="D253" s="1"/>
      <c r="E253" s="1"/>
      <c r="F253" s="1"/>
      <c r="G253" s="1"/>
    </row>
    <row r="254" spans="2:7" ht="15.75" customHeight="1">
      <c r="B254" s="1"/>
      <c r="D254" s="1"/>
      <c r="E254" s="1"/>
      <c r="F254" s="1"/>
      <c r="G254" s="1"/>
    </row>
    <row r="255" spans="2:7" ht="15.75" customHeight="1">
      <c r="B255" s="1"/>
      <c r="D255" s="1"/>
      <c r="E255" s="1"/>
      <c r="F255" s="1"/>
      <c r="G255" s="1"/>
    </row>
    <row r="256" spans="2:7" ht="15.75" customHeight="1">
      <c r="B256" s="1"/>
      <c r="D256" s="1"/>
      <c r="E256" s="1"/>
      <c r="F256" s="1"/>
      <c r="G256" s="1"/>
    </row>
    <row r="257" spans="2:7" ht="15.75" customHeight="1">
      <c r="B257" s="1"/>
      <c r="D257" s="1"/>
      <c r="E257" s="1"/>
      <c r="F257" s="1"/>
      <c r="G257" s="1"/>
    </row>
    <row r="258" spans="2:7" ht="15.75" customHeight="1">
      <c r="B258" s="1"/>
      <c r="D258" s="1"/>
      <c r="E258" s="1"/>
      <c r="F258" s="1"/>
      <c r="G258" s="1"/>
    </row>
    <row r="259" spans="2:7" ht="15.75" customHeight="1">
      <c r="B259" s="1"/>
      <c r="D259" s="1"/>
      <c r="E259" s="1"/>
      <c r="F259" s="1"/>
      <c r="G259" s="1"/>
    </row>
    <row r="260" spans="2:7" ht="15.75" customHeight="1">
      <c r="B260" s="1"/>
      <c r="D260" s="1"/>
      <c r="E260" s="1"/>
      <c r="F260" s="1"/>
      <c r="G260" s="1"/>
    </row>
    <row r="261" spans="2:7" ht="15.75" customHeight="1">
      <c r="B261" s="1"/>
      <c r="D261" s="1"/>
      <c r="E261" s="1"/>
      <c r="F261" s="1"/>
      <c r="G261" s="1"/>
    </row>
    <row r="262" spans="2:7" ht="15.75" customHeight="1">
      <c r="B262" s="1"/>
      <c r="D262" s="1"/>
      <c r="E262" s="1"/>
      <c r="F262" s="1"/>
      <c r="G262" s="1"/>
    </row>
    <row r="263" spans="2:7" ht="15.75" customHeight="1">
      <c r="B263" s="1"/>
      <c r="D263" s="1"/>
      <c r="E263" s="1"/>
      <c r="F263" s="1"/>
      <c r="G263" s="1"/>
    </row>
    <row r="264" spans="2:7" ht="15.75" customHeight="1">
      <c r="B264" s="1"/>
      <c r="D264" s="1"/>
      <c r="E264" s="1"/>
      <c r="F264" s="1"/>
      <c r="G264" s="1"/>
    </row>
    <row r="265" spans="2:7" ht="15.75" customHeight="1">
      <c r="B265" s="1"/>
      <c r="D265" s="1"/>
      <c r="E265" s="1"/>
      <c r="F265" s="1"/>
      <c r="G265" s="1"/>
    </row>
    <row r="266" spans="2:7" ht="15.75" customHeight="1">
      <c r="B266" s="1"/>
      <c r="D266" s="1"/>
      <c r="E266" s="1"/>
      <c r="F266" s="1"/>
      <c r="G266" s="1"/>
    </row>
    <row r="267" spans="2:7" ht="15.75" customHeight="1">
      <c r="B267" s="1"/>
      <c r="D267" s="1"/>
      <c r="E267" s="1"/>
      <c r="F267" s="1"/>
      <c r="G267" s="1"/>
    </row>
    <row r="268" spans="2:7" ht="15.75" customHeight="1">
      <c r="B268" s="1"/>
      <c r="D268" s="1"/>
      <c r="E268" s="1"/>
      <c r="F268" s="1"/>
      <c r="G268" s="1"/>
    </row>
    <row r="269" spans="2:7" ht="15.75" customHeight="1">
      <c r="B269" s="1"/>
      <c r="D269" s="1"/>
      <c r="E269" s="1"/>
      <c r="F269" s="1"/>
      <c r="G269" s="1"/>
    </row>
    <row r="270" spans="2:7" ht="15.75" customHeight="1">
      <c r="B270" s="1"/>
      <c r="D270" s="1"/>
      <c r="E270" s="1"/>
      <c r="F270" s="1"/>
      <c r="G270" s="1"/>
    </row>
    <row r="271" spans="2:7" ht="15.75" customHeight="1">
      <c r="B271" s="1"/>
      <c r="D271" s="1"/>
      <c r="E271" s="1"/>
      <c r="F271" s="1"/>
      <c r="G271" s="1"/>
    </row>
    <row r="272" spans="2:7" ht="15.75" customHeight="1">
      <c r="B272" s="1"/>
      <c r="D272" s="1"/>
      <c r="E272" s="1"/>
      <c r="F272" s="1"/>
      <c r="G272" s="1"/>
    </row>
    <row r="273" spans="2:7" ht="15.75" customHeight="1">
      <c r="B273" s="1"/>
      <c r="D273" s="1"/>
      <c r="E273" s="1"/>
      <c r="F273" s="1"/>
      <c r="G273" s="1"/>
    </row>
    <row r="274" spans="2:7" ht="15.75" customHeight="1">
      <c r="B274" s="1"/>
      <c r="D274" s="1"/>
      <c r="E274" s="1"/>
      <c r="F274" s="1"/>
      <c r="G274" s="1"/>
    </row>
    <row r="275" spans="2:7" ht="15.75" customHeight="1">
      <c r="B275" s="1"/>
      <c r="D275" s="1"/>
      <c r="E275" s="1"/>
      <c r="F275" s="1"/>
      <c r="G275" s="1"/>
    </row>
    <row r="276" spans="2:7" ht="15.75" customHeight="1">
      <c r="B276" s="1"/>
      <c r="D276" s="1"/>
      <c r="E276" s="1"/>
      <c r="F276" s="1"/>
      <c r="G276" s="1"/>
    </row>
    <row r="277" spans="2:7" ht="15.75" customHeight="1">
      <c r="B277" s="1"/>
      <c r="D277" s="1"/>
      <c r="E277" s="1"/>
      <c r="F277" s="1"/>
      <c r="G277" s="1"/>
    </row>
    <row r="278" spans="2:7" ht="15.75" customHeight="1">
      <c r="B278" s="1"/>
      <c r="D278" s="1"/>
      <c r="E278" s="1"/>
      <c r="F278" s="1"/>
      <c r="G278" s="1"/>
    </row>
    <row r="279" spans="2:7" ht="15.75" customHeight="1">
      <c r="B279" s="1"/>
      <c r="D279" s="1"/>
      <c r="E279" s="1"/>
      <c r="F279" s="1"/>
      <c r="G279" s="1"/>
    </row>
    <row r="280" spans="2:7" ht="15.75" customHeight="1">
      <c r="B280" s="1"/>
      <c r="D280" s="1"/>
      <c r="E280" s="1"/>
      <c r="F280" s="1"/>
      <c r="G280" s="1"/>
    </row>
    <row r="281" spans="2:7" ht="15.75" customHeight="1">
      <c r="B281" s="1"/>
      <c r="D281" s="1"/>
      <c r="E281" s="1"/>
      <c r="F281" s="1"/>
      <c r="G281" s="1"/>
    </row>
    <row r="282" spans="2:7" ht="15.75" customHeight="1">
      <c r="B282" s="1"/>
      <c r="D282" s="1"/>
      <c r="E282" s="1"/>
      <c r="F282" s="1"/>
      <c r="G282" s="1"/>
    </row>
    <row r="283" spans="2:7" ht="15.75" customHeight="1">
      <c r="B283" s="1"/>
      <c r="D283" s="1"/>
      <c r="E283" s="1"/>
      <c r="F283" s="1"/>
      <c r="G283" s="1"/>
    </row>
    <row r="284" spans="2:7" ht="15.75" customHeight="1">
      <c r="B284" s="1"/>
      <c r="D284" s="1"/>
      <c r="E284" s="1"/>
      <c r="F284" s="1"/>
      <c r="G284" s="1"/>
    </row>
    <row r="285" spans="2:7" ht="15.75" customHeight="1">
      <c r="B285" s="1"/>
      <c r="D285" s="1"/>
      <c r="E285" s="1"/>
      <c r="F285" s="1"/>
      <c r="G285" s="1"/>
    </row>
    <row r="286" spans="2:7" ht="15.75" customHeight="1">
      <c r="B286" s="1"/>
      <c r="D286" s="1"/>
      <c r="E286" s="1"/>
      <c r="F286" s="1"/>
      <c r="G286" s="1"/>
    </row>
    <row r="287" spans="2:7" ht="15.75" customHeight="1">
      <c r="B287" s="1"/>
      <c r="D287" s="1"/>
      <c r="E287" s="1"/>
      <c r="F287" s="1"/>
      <c r="G287" s="1"/>
    </row>
    <row r="288" spans="2:7" ht="15.75" customHeight="1">
      <c r="B288" s="1"/>
      <c r="D288" s="1"/>
      <c r="E288" s="1"/>
      <c r="F288" s="1"/>
      <c r="G288" s="1"/>
    </row>
    <row r="289" spans="2:7" ht="15.75" customHeight="1">
      <c r="B289" s="1"/>
      <c r="D289" s="1"/>
      <c r="E289" s="1"/>
      <c r="F289" s="1"/>
      <c r="G289" s="1"/>
    </row>
    <row r="290" spans="2:7" ht="15.75" customHeight="1">
      <c r="B290" s="1"/>
      <c r="D290" s="1"/>
      <c r="E290" s="1"/>
      <c r="F290" s="1"/>
      <c r="G290" s="1"/>
    </row>
    <row r="291" spans="2:7" ht="15.75" customHeight="1">
      <c r="B291" s="1"/>
      <c r="D291" s="1"/>
      <c r="E291" s="1"/>
      <c r="F291" s="1"/>
      <c r="G291" s="1"/>
    </row>
    <row r="292" spans="2:7" ht="15.75" customHeight="1">
      <c r="B292" s="1"/>
      <c r="D292" s="1"/>
      <c r="E292" s="1"/>
      <c r="F292" s="1"/>
      <c r="G292" s="1"/>
    </row>
    <row r="293" spans="2:7" ht="15.75" customHeight="1">
      <c r="B293" s="1"/>
      <c r="D293" s="1"/>
      <c r="E293" s="1"/>
      <c r="F293" s="1"/>
      <c r="G293" s="1"/>
    </row>
    <row r="294" spans="2:7" ht="15.75" customHeight="1">
      <c r="B294" s="1"/>
      <c r="D294" s="1"/>
      <c r="E294" s="1"/>
      <c r="F294" s="1"/>
      <c r="G294" s="1"/>
    </row>
    <row r="295" spans="2:7" ht="15.75" customHeight="1">
      <c r="B295" s="1"/>
      <c r="D295" s="1"/>
      <c r="E295" s="1"/>
      <c r="F295" s="1"/>
      <c r="G295" s="1"/>
    </row>
    <row r="296" spans="2:7" ht="15.75" customHeight="1">
      <c r="B296" s="1"/>
      <c r="D296" s="1"/>
      <c r="E296" s="1"/>
      <c r="F296" s="1"/>
      <c r="G296" s="1"/>
    </row>
    <row r="297" spans="2:7" ht="15.75" customHeight="1">
      <c r="B297" s="1"/>
      <c r="D297" s="1"/>
      <c r="E297" s="1"/>
      <c r="F297" s="1"/>
      <c r="G297" s="1"/>
    </row>
    <row r="298" spans="2:7" ht="15.75" customHeight="1">
      <c r="B298" s="1"/>
      <c r="D298" s="1"/>
      <c r="E298" s="1"/>
      <c r="F298" s="1"/>
      <c r="G298" s="1"/>
    </row>
    <row r="299" spans="2:7" ht="15.75" customHeight="1">
      <c r="B299" s="1"/>
      <c r="D299" s="1"/>
      <c r="E299" s="1"/>
      <c r="F299" s="1"/>
      <c r="G299" s="1"/>
    </row>
    <row r="300" spans="2:7" ht="15.75" customHeight="1">
      <c r="B300" s="1"/>
      <c r="D300" s="1"/>
      <c r="E300" s="1"/>
      <c r="F300" s="1"/>
      <c r="G300" s="1"/>
    </row>
    <row r="301" spans="2:7" ht="15.75" customHeight="1">
      <c r="B301" s="1"/>
      <c r="D301" s="1"/>
      <c r="E301" s="1"/>
      <c r="F301" s="1"/>
      <c r="G301" s="1"/>
    </row>
    <row r="302" spans="2:7" ht="15.75" customHeight="1">
      <c r="B302" s="1"/>
      <c r="D302" s="1"/>
      <c r="E302" s="1"/>
      <c r="F302" s="1"/>
      <c r="G302" s="1"/>
    </row>
    <row r="303" spans="2:7" ht="15.75" customHeight="1">
      <c r="B303" s="1"/>
      <c r="D303" s="1"/>
      <c r="E303" s="1"/>
      <c r="F303" s="1"/>
      <c r="G303" s="1"/>
    </row>
    <row r="304" spans="2:7" ht="15.75" customHeight="1">
      <c r="B304" s="1"/>
      <c r="D304" s="1"/>
      <c r="E304" s="1"/>
      <c r="F304" s="1"/>
      <c r="G304" s="1"/>
    </row>
    <row r="305" spans="2:7" ht="15.75" customHeight="1">
      <c r="B305" s="1"/>
      <c r="D305" s="1"/>
      <c r="E305" s="1"/>
      <c r="F305" s="1"/>
      <c r="G305" s="1"/>
    </row>
    <row r="306" spans="2:7" ht="15.75" customHeight="1">
      <c r="B306" s="1"/>
      <c r="D306" s="1"/>
      <c r="E306" s="1"/>
      <c r="F306" s="1"/>
      <c r="G306" s="1"/>
    </row>
    <row r="307" spans="2:7" ht="15.75" customHeight="1">
      <c r="B307" s="1"/>
      <c r="D307" s="1"/>
      <c r="E307" s="1"/>
      <c r="F307" s="1"/>
      <c r="G307" s="1"/>
    </row>
    <row r="308" spans="2:7" ht="15.75" customHeight="1">
      <c r="B308" s="1"/>
      <c r="D308" s="1"/>
      <c r="E308" s="1"/>
      <c r="F308" s="1"/>
      <c r="G308" s="1"/>
    </row>
    <row r="309" spans="2:7" ht="15.75" customHeight="1">
      <c r="B309" s="1"/>
      <c r="D309" s="1"/>
      <c r="E309" s="1"/>
      <c r="F309" s="1"/>
      <c r="G309" s="1"/>
    </row>
    <row r="310" spans="2:7" ht="15.75" customHeight="1">
      <c r="B310" s="1"/>
      <c r="D310" s="1"/>
      <c r="E310" s="1"/>
      <c r="F310" s="1"/>
      <c r="G310" s="1"/>
    </row>
    <row r="311" spans="2:7" ht="15.75" customHeight="1">
      <c r="B311" s="1"/>
      <c r="D311" s="1"/>
      <c r="E311" s="1"/>
      <c r="F311" s="1"/>
      <c r="G311" s="1"/>
    </row>
    <row r="312" spans="2:7" ht="15.75" customHeight="1">
      <c r="B312" s="1"/>
      <c r="D312" s="1"/>
      <c r="E312" s="1"/>
      <c r="F312" s="1"/>
      <c r="G312" s="1"/>
    </row>
    <row r="313" spans="2:7" ht="15.75" customHeight="1">
      <c r="B313" s="1"/>
      <c r="D313" s="1"/>
      <c r="E313" s="1"/>
      <c r="F313" s="1"/>
      <c r="G313" s="1"/>
    </row>
    <row r="314" spans="2:7" ht="15.75" customHeight="1">
      <c r="B314" s="1"/>
      <c r="D314" s="1"/>
      <c r="E314" s="1"/>
      <c r="F314" s="1"/>
      <c r="G314" s="1"/>
    </row>
    <row r="315" spans="2:7" ht="15.75" customHeight="1">
      <c r="B315" s="1"/>
      <c r="D315" s="1"/>
      <c r="E315" s="1"/>
      <c r="F315" s="1"/>
      <c r="G315" s="1"/>
    </row>
    <row r="316" spans="2:7" ht="15.75" customHeight="1">
      <c r="B316" s="1"/>
      <c r="D316" s="1"/>
      <c r="E316" s="1"/>
      <c r="F316" s="1"/>
      <c r="G316" s="1"/>
    </row>
    <row r="317" spans="2:7" ht="15.75" customHeight="1">
      <c r="B317" s="1"/>
      <c r="D317" s="1"/>
      <c r="E317" s="1"/>
      <c r="F317" s="1"/>
      <c r="G317" s="1"/>
    </row>
    <row r="318" spans="2:7" ht="15.75" customHeight="1">
      <c r="B318" s="1"/>
      <c r="D318" s="1"/>
      <c r="E318" s="1"/>
      <c r="F318" s="1"/>
      <c r="G318" s="1"/>
    </row>
    <row r="319" spans="2:7" ht="15.75" customHeight="1">
      <c r="B319" s="1"/>
      <c r="D319" s="1"/>
      <c r="E319" s="1"/>
      <c r="F319" s="1"/>
      <c r="G319" s="1"/>
    </row>
    <row r="320" spans="2:7" ht="15.75" customHeight="1">
      <c r="B320" s="1"/>
      <c r="D320" s="1"/>
      <c r="E320" s="1"/>
      <c r="F320" s="1"/>
      <c r="G320" s="1"/>
    </row>
    <row r="321" spans="2:7" ht="15.75" customHeight="1">
      <c r="B321" s="1"/>
      <c r="D321" s="1"/>
      <c r="E321" s="1"/>
      <c r="F321" s="1"/>
      <c r="G321" s="1"/>
    </row>
    <row r="322" spans="2:7" ht="15.75" customHeight="1">
      <c r="B322" s="1"/>
      <c r="D322" s="1"/>
      <c r="E322" s="1"/>
      <c r="F322" s="1"/>
      <c r="G322" s="1"/>
    </row>
    <row r="323" spans="2:7" ht="15.75" customHeight="1">
      <c r="B323" s="1"/>
      <c r="D323" s="1"/>
      <c r="E323" s="1"/>
      <c r="F323" s="1"/>
      <c r="G323" s="1"/>
    </row>
    <row r="324" spans="2:7" ht="15.75" customHeight="1">
      <c r="B324" s="1"/>
      <c r="D324" s="1"/>
      <c r="E324" s="1"/>
      <c r="F324" s="1"/>
      <c r="G324" s="1"/>
    </row>
    <row r="325" spans="2:7" ht="15.75" customHeight="1">
      <c r="B325" s="1"/>
      <c r="D325" s="1"/>
      <c r="E325" s="1"/>
      <c r="F325" s="1"/>
      <c r="G325" s="1"/>
    </row>
    <row r="326" spans="2:7" ht="15.75" customHeight="1">
      <c r="B326" s="1"/>
      <c r="D326" s="1"/>
      <c r="E326" s="1"/>
      <c r="F326" s="1"/>
      <c r="G326" s="1"/>
    </row>
    <row r="327" spans="2:7" ht="15.75" customHeight="1">
      <c r="B327" s="1"/>
      <c r="D327" s="1"/>
      <c r="E327" s="1"/>
      <c r="F327" s="1"/>
      <c r="G327" s="1"/>
    </row>
    <row r="328" spans="2:7" ht="15.75" customHeight="1">
      <c r="B328" s="1"/>
      <c r="D328" s="1"/>
      <c r="E328" s="1"/>
      <c r="F328" s="1"/>
      <c r="G328" s="1"/>
    </row>
    <row r="329" spans="2:7" ht="15.75" customHeight="1">
      <c r="B329" s="1"/>
      <c r="D329" s="1"/>
      <c r="E329" s="1"/>
      <c r="F329" s="1"/>
      <c r="G329" s="1"/>
    </row>
    <row r="330" spans="2:7" ht="15.75" customHeight="1">
      <c r="B330" s="1"/>
      <c r="D330" s="1"/>
      <c r="E330" s="1"/>
      <c r="F330" s="1"/>
      <c r="G330" s="1"/>
    </row>
    <row r="331" spans="2:7" ht="15.75" customHeight="1">
      <c r="B331" s="1"/>
      <c r="D331" s="1"/>
      <c r="E331" s="1"/>
      <c r="F331" s="1"/>
      <c r="G331" s="1"/>
    </row>
    <row r="332" spans="2:7" ht="15.75" customHeight="1">
      <c r="B332" s="1"/>
      <c r="D332" s="1"/>
      <c r="E332" s="1"/>
      <c r="F332" s="1"/>
      <c r="G332" s="1"/>
    </row>
    <row r="333" spans="2:7" ht="15.75" customHeight="1">
      <c r="B333" s="1"/>
      <c r="D333" s="1"/>
      <c r="E333" s="1"/>
      <c r="F333" s="1"/>
      <c r="G333" s="1"/>
    </row>
    <row r="334" spans="2:7" ht="15.75" customHeight="1">
      <c r="B334" s="1"/>
      <c r="D334" s="1"/>
      <c r="E334" s="1"/>
      <c r="F334" s="1"/>
      <c r="G334" s="1"/>
    </row>
    <row r="335" spans="2:7" ht="15.75" customHeight="1">
      <c r="B335" s="1"/>
      <c r="D335" s="1"/>
      <c r="E335" s="1"/>
      <c r="F335" s="1"/>
      <c r="G335" s="1"/>
    </row>
    <row r="336" spans="2:7" ht="15.75" customHeight="1">
      <c r="B336" s="1"/>
      <c r="D336" s="1"/>
      <c r="E336" s="1"/>
      <c r="F336" s="1"/>
      <c r="G336" s="1"/>
    </row>
    <row r="337" spans="2:7" ht="15.75" customHeight="1">
      <c r="B337" s="1"/>
      <c r="D337" s="1"/>
      <c r="E337" s="1"/>
      <c r="F337" s="1"/>
      <c r="G337" s="1"/>
    </row>
    <row r="338" spans="2:7" ht="15.75" customHeight="1">
      <c r="B338" s="1"/>
      <c r="D338" s="1"/>
      <c r="E338" s="1"/>
      <c r="F338" s="1"/>
      <c r="G338" s="1"/>
    </row>
    <row r="339" spans="2:7" ht="15.75" customHeight="1">
      <c r="B339" s="1"/>
      <c r="D339" s="1"/>
      <c r="E339" s="1"/>
      <c r="F339" s="1"/>
      <c r="G339" s="1"/>
    </row>
    <row r="340" spans="2:7" ht="15.75" customHeight="1">
      <c r="B340" s="1"/>
      <c r="D340" s="1"/>
      <c r="E340" s="1"/>
      <c r="F340" s="1"/>
      <c r="G340" s="1"/>
    </row>
    <row r="341" spans="2:7" ht="15.75" customHeight="1">
      <c r="B341" s="1"/>
      <c r="D341" s="1"/>
      <c r="E341" s="1"/>
      <c r="F341" s="1"/>
      <c r="G341" s="1"/>
    </row>
    <row r="342" spans="2:7" ht="15.75" customHeight="1">
      <c r="B342" s="1"/>
      <c r="D342" s="1"/>
      <c r="E342" s="1"/>
      <c r="F342" s="1"/>
      <c r="G342" s="1"/>
    </row>
    <row r="343" spans="2:7" ht="15.75" customHeight="1">
      <c r="B343" s="1"/>
      <c r="D343" s="1"/>
      <c r="E343" s="1"/>
      <c r="F343" s="1"/>
      <c r="G343" s="1"/>
    </row>
    <row r="344" spans="2:7" ht="15.75" customHeight="1">
      <c r="B344" s="1"/>
      <c r="D344" s="1"/>
      <c r="E344" s="1"/>
      <c r="F344" s="1"/>
      <c r="G344" s="1"/>
    </row>
    <row r="345" spans="2:7" ht="15.75" customHeight="1">
      <c r="B345" s="1"/>
      <c r="D345" s="1"/>
      <c r="E345" s="1"/>
      <c r="F345" s="1"/>
      <c r="G345" s="1"/>
    </row>
    <row r="346" spans="2:7" ht="15.75" customHeight="1">
      <c r="B346" s="1"/>
      <c r="D346" s="1"/>
      <c r="E346" s="1"/>
      <c r="F346" s="1"/>
      <c r="G346" s="1"/>
    </row>
    <row r="347" spans="2:7" ht="15.75" customHeight="1">
      <c r="B347" s="1"/>
      <c r="D347" s="1"/>
      <c r="E347" s="1"/>
      <c r="F347" s="1"/>
      <c r="G347" s="1"/>
    </row>
    <row r="348" spans="2:7" ht="15.75" customHeight="1">
      <c r="B348" s="1"/>
      <c r="D348" s="1"/>
      <c r="E348" s="1"/>
      <c r="F348" s="1"/>
      <c r="G348" s="1"/>
    </row>
    <row r="349" spans="2:7" ht="15.75" customHeight="1">
      <c r="B349" s="1"/>
      <c r="D349" s="1"/>
      <c r="E349" s="1"/>
      <c r="F349" s="1"/>
      <c r="G349" s="1"/>
    </row>
    <row r="350" spans="2:7" ht="15.75" customHeight="1">
      <c r="B350" s="1"/>
      <c r="D350" s="1"/>
      <c r="E350" s="1"/>
      <c r="F350" s="1"/>
      <c r="G350" s="1"/>
    </row>
    <row r="351" spans="2:7" ht="15.75" customHeight="1">
      <c r="B351" s="1"/>
      <c r="D351" s="1"/>
      <c r="E351" s="1"/>
      <c r="F351" s="1"/>
      <c r="G351" s="1"/>
    </row>
    <row r="352" spans="2:7" ht="15.75" customHeight="1">
      <c r="B352" s="1"/>
      <c r="D352" s="1"/>
      <c r="E352" s="1"/>
      <c r="F352" s="1"/>
      <c r="G352" s="1"/>
    </row>
    <row r="353" spans="2:7" ht="15.75" customHeight="1">
      <c r="B353" s="1"/>
      <c r="D353" s="1"/>
      <c r="E353" s="1"/>
      <c r="F353" s="1"/>
      <c r="G353" s="1"/>
    </row>
    <row r="354" spans="2:7" ht="15.75" customHeight="1">
      <c r="B354" s="1"/>
      <c r="D354" s="1"/>
      <c r="E354" s="1"/>
      <c r="F354" s="1"/>
      <c r="G354" s="1"/>
    </row>
    <row r="355" spans="2:7" ht="15.75" customHeight="1">
      <c r="B355" s="1"/>
      <c r="D355" s="1"/>
      <c r="E355" s="1"/>
      <c r="F355" s="1"/>
      <c r="G355" s="1"/>
    </row>
    <row r="356" spans="2:7" ht="15.75" customHeight="1">
      <c r="B356" s="1"/>
      <c r="D356" s="1"/>
      <c r="E356" s="1"/>
      <c r="F356" s="1"/>
      <c r="G356" s="1"/>
    </row>
    <row r="357" spans="2:7" ht="15.75" customHeight="1">
      <c r="B357" s="1"/>
      <c r="D357" s="1"/>
      <c r="E357" s="1"/>
      <c r="F357" s="1"/>
      <c r="G357" s="1"/>
    </row>
    <row r="358" spans="2:7" ht="15.75" customHeight="1">
      <c r="B358" s="1"/>
      <c r="D358" s="1"/>
      <c r="E358" s="1"/>
      <c r="F358" s="1"/>
      <c r="G358" s="1"/>
    </row>
    <row r="359" spans="2:7" ht="15.75" customHeight="1">
      <c r="B359" s="1"/>
      <c r="D359" s="1"/>
      <c r="E359" s="1"/>
      <c r="F359" s="1"/>
      <c r="G359" s="1"/>
    </row>
    <row r="360" spans="2:7" ht="15.75" customHeight="1">
      <c r="B360" s="1"/>
      <c r="D360" s="1"/>
      <c r="E360" s="1"/>
      <c r="F360" s="1"/>
      <c r="G360" s="1"/>
    </row>
    <row r="361" spans="2:7" ht="15.75" customHeight="1">
      <c r="B361" s="1"/>
      <c r="D361" s="1"/>
      <c r="E361" s="1"/>
      <c r="F361" s="1"/>
      <c r="G361" s="1"/>
    </row>
    <row r="362" spans="2:7" ht="15.75" customHeight="1">
      <c r="B362" s="1"/>
      <c r="D362" s="1"/>
      <c r="E362" s="1"/>
      <c r="F362" s="1"/>
      <c r="G362" s="1"/>
    </row>
    <row r="363" spans="2:7" ht="15.75" customHeight="1">
      <c r="B363" s="1"/>
      <c r="D363" s="1"/>
      <c r="E363" s="1"/>
      <c r="F363" s="1"/>
      <c r="G363" s="1"/>
    </row>
    <row r="364" spans="2:7" ht="15.75" customHeight="1">
      <c r="B364" s="1"/>
      <c r="D364" s="1"/>
      <c r="E364" s="1"/>
      <c r="F364" s="1"/>
      <c r="G364" s="1"/>
    </row>
    <row r="365" spans="2:7" ht="15.75" customHeight="1">
      <c r="B365" s="1"/>
      <c r="D365" s="1"/>
      <c r="E365" s="1"/>
      <c r="F365" s="1"/>
      <c r="G365" s="1"/>
    </row>
    <row r="366" spans="2:7" ht="15.75" customHeight="1">
      <c r="B366" s="1"/>
      <c r="D366" s="1"/>
      <c r="E366" s="1"/>
      <c r="F366" s="1"/>
      <c r="G366" s="1"/>
    </row>
    <row r="367" spans="2:7" ht="15.75" customHeight="1">
      <c r="B367" s="1"/>
      <c r="D367" s="1"/>
      <c r="E367" s="1"/>
      <c r="F367" s="1"/>
      <c r="G367" s="1"/>
    </row>
    <row r="368" spans="2:7" ht="15.75" customHeight="1">
      <c r="B368" s="1"/>
      <c r="D368" s="1"/>
      <c r="E368" s="1"/>
      <c r="F368" s="1"/>
      <c r="G368" s="1"/>
    </row>
    <row r="369" spans="2:7" ht="15.75" customHeight="1">
      <c r="B369" s="1"/>
      <c r="D369" s="1"/>
      <c r="E369" s="1"/>
      <c r="F369" s="1"/>
      <c r="G369" s="1"/>
    </row>
    <row r="370" spans="2:7" ht="15.75" customHeight="1">
      <c r="B370" s="1"/>
      <c r="D370" s="1"/>
      <c r="E370" s="1"/>
      <c r="F370" s="1"/>
      <c r="G370" s="1"/>
    </row>
    <row r="371" spans="2:7" ht="15.75" customHeight="1">
      <c r="B371" s="1"/>
      <c r="D371" s="1"/>
      <c r="E371" s="1"/>
      <c r="F371" s="1"/>
      <c r="G371" s="1"/>
    </row>
    <row r="372" spans="2:7" ht="15.75" customHeight="1">
      <c r="B372" s="1"/>
      <c r="D372" s="1"/>
      <c r="E372" s="1"/>
      <c r="F372" s="1"/>
      <c r="G372" s="1"/>
    </row>
    <row r="373" spans="2:7" ht="15.75" customHeight="1">
      <c r="B373" s="1"/>
      <c r="D373" s="1"/>
      <c r="E373" s="1"/>
      <c r="F373" s="1"/>
      <c r="G373" s="1"/>
    </row>
    <row r="374" spans="2:7" ht="15.75" customHeight="1">
      <c r="B374" s="1"/>
      <c r="D374" s="1"/>
      <c r="E374" s="1"/>
      <c r="F374" s="1"/>
      <c r="G374" s="1"/>
    </row>
    <row r="375" spans="2:7" ht="15.75" customHeight="1">
      <c r="B375" s="1"/>
      <c r="D375" s="1"/>
      <c r="E375" s="1"/>
      <c r="F375" s="1"/>
      <c r="G375" s="1"/>
    </row>
    <row r="376" spans="2:7" ht="15.75" customHeight="1">
      <c r="B376" s="1"/>
      <c r="D376" s="1"/>
      <c r="E376" s="1"/>
      <c r="F376" s="1"/>
      <c r="G376" s="1"/>
    </row>
    <row r="377" spans="2:7" ht="15.75" customHeight="1">
      <c r="B377" s="1"/>
      <c r="D377" s="1"/>
      <c r="E377" s="1"/>
      <c r="F377" s="1"/>
      <c r="G377" s="1"/>
    </row>
    <row r="378" spans="2:7" ht="15.75" customHeight="1">
      <c r="B378" s="1"/>
      <c r="D378" s="1"/>
      <c r="E378" s="1"/>
      <c r="F378" s="1"/>
      <c r="G378" s="1"/>
    </row>
    <row r="379" spans="2:7" ht="15.75" customHeight="1">
      <c r="B379" s="1"/>
      <c r="D379" s="1"/>
      <c r="E379" s="1"/>
      <c r="F379" s="1"/>
      <c r="G379" s="1"/>
    </row>
    <row r="380" spans="2:7" ht="15.75" customHeight="1">
      <c r="B380" s="1"/>
      <c r="D380" s="1"/>
      <c r="E380" s="1"/>
      <c r="F380" s="1"/>
      <c r="G380" s="1"/>
    </row>
    <row r="381" spans="2:7" ht="15.75" customHeight="1">
      <c r="B381" s="1"/>
      <c r="D381" s="1"/>
      <c r="E381" s="1"/>
      <c r="F381" s="1"/>
      <c r="G381" s="1"/>
    </row>
    <row r="382" spans="2:7" ht="15.75" customHeight="1">
      <c r="B382" s="1"/>
      <c r="D382" s="1"/>
      <c r="E382" s="1"/>
      <c r="F382" s="1"/>
      <c r="G382" s="1"/>
    </row>
    <row r="383" spans="2:7" ht="15.75" customHeight="1">
      <c r="B383" s="1"/>
      <c r="D383" s="1"/>
      <c r="E383" s="1"/>
      <c r="F383" s="1"/>
      <c r="G383" s="1"/>
    </row>
    <row r="384" spans="2:7" ht="15.75" customHeight="1">
      <c r="B384" s="1"/>
      <c r="D384" s="1"/>
      <c r="E384" s="1"/>
      <c r="F384" s="1"/>
      <c r="G384" s="1"/>
    </row>
    <row r="385" spans="2:7" ht="15.75" customHeight="1">
      <c r="B385" s="1"/>
      <c r="D385" s="1"/>
      <c r="E385" s="1"/>
      <c r="F385" s="1"/>
      <c r="G385" s="1"/>
    </row>
    <row r="386" spans="2:7" ht="15.75" customHeight="1">
      <c r="B386" s="1"/>
      <c r="D386" s="1"/>
      <c r="E386" s="1"/>
      <c r="F386" s="1"/>
      <c r="G386" s="1"/>
    </row>
    <row r="387" spans="2:7" ht="15.75" customHeight="1">
      <c r="B387" s="1"/>
      <c r="D387" s="1"/>
      <c r="E387" s="1"/>
      <c r="F387" s="1"/>
      <c r="G387" s="1"/>
    </row>
    <row r="388" spans="2:7" ht="15.75" customHeight="1">
      <c r="B388" s="1"/>
      <c r="D388" s="1"/>
      <c r="E388" s="1"/>
      <c r="F388" s="1"/>
      <c r="G388" s="1"/>
    </row>
    <row r="389" spans="2:7" ht="15.75" customHeight="1">
      <c r="B389" s="1"/>
      <c r="D389" s="1"/>
      <c r="E389" s="1"/>
      <c r="F389" s="1"/>
      <c r="G389" s="1"/>
    </row>
    <row r="390" spans="2:7" ht="15.75" customHeight="1">
      <c r="B390" s="1"/>
      <c r="D390" s="1"/>
      <c r="E390" s="1"/>
      <c r="F390" s="1"/>
      <c r="G390" s="1"/>
    </row>
    <row r="391" spans="2:7" ht="15.75" customHeight="1">
      <c r="B391" s="1"/>
      <c r="D391" s="1"/>
      <c r="E391" s="1"/>
      <c r="F391" s="1"/>
      <c r="G391" s="1"/>
    </row>
    <row r="392" spans="2:7" ht="15.75" customHeight="1">
      <c r="B392" s="1"/>
      <c r="D392" s="1"/>
      <c r="E392" s="1"/>
      <c r="F392" s="1"/>
      <c r="G392" s="1"/>
    </row>
    <row r="393" spans="2:7" ht="15.75" customHeight="1">
      <c r="B393" s="1"/>
      <c r="D393" s="1"/>
      <c r="E393" s="1"/>
      <c r="F393" s="1"/>
      <c r="G393" s="1"/>
    </row>
    <row r="394" spans="2:7" ht="15.75" customHeight="1">
      <c r="B394" s="1"/>
      <c r="D394" s="1"/>
      <c r="E394" s="1"/>
      <c r="F394" s="1"/>
      <c r="G394" s="1"/>
    </row>
    <row r="395" spans="2:7" ht="15.75" customHeight="1">
      <c r="B395" s="1"/>
      <c r="D395" s="1"/>
      <c r="E395" s="1"/>
      <c r="F395" s="1"/>
      <c r="G395" s="1"/>
    </row>
    <row r="396" spans="2:7" ht="15.75" customHeight="1">
      <c r="B396" s="1"/>
      <c r="D396" s="1"/>
      <c r="E396" s="1"/>
      <c r="F396" s="1"/>
      <c r="G396" s="1"/>
    </row>
    <row r="397" spans="2:7" ht="15.75" customHeight="1">
      <c r="B397" s="1"/>
      <c r="D397" s="1"/>
      <c r="E397" s="1"/>
      <c r="F397" s="1"/>
      <c r="G397" s="1"/>
    </row>
    <row r="398" spans="2:7" ht="15.75" customHeight="1">
      <c r="B398" s="1"/>
      <c r="D398" s="1"/>
      <c r="E398" s="1"/>
      <c r="F398" s="1"/>
      <c r="G398" s="1"/>
    </row>
    <row r="399" spans="2:7" ht="15.75" customHeight="1">
      <c r="B399" s="1"/>
      <c r="D399" s="1"/>
      <c r="E399" s="1"/>
      <c r="F399" s="1"/>
      <c r="G399" s="1"/>
    </row>
    <row r="400" spans="2:7" ht="15.75" customHeight="1">
      <c r="B400" s="1"/>
      <c r="D400" s="1"/>
      <c r="E400" s="1"/>
      <c r="F400" s="1"/>
      <c r="G400" s="1"/>
    </row>
    <row r="401" spans="2:7" ht="15.75" customHeight="1">
      <c r="B401" s="1"/>
      <c r="D401" s="1"/>
      <c r="E401" s="1"/>
      <c r="F401" s="1"/>
      <c r="G401" s="1"/>
    </row>
    <row r="402" spans="2:7" ht="15.75" customHeight="1">
      <c r="B402" s="1"/>
      <c r="D402" s="1"/>
      <c r="E402" s="1"/>
      <c r="F402" s="1"/>
      <c r="G402" s="1"/>
    </row>
    <row r="403" spans="2:7" ht="15.75" customHeight="1">
      <c r="B403" s="1"/>
      <c r="D403" s="1"/>
      <c r="E403" s="1"/>
      <c r="F403" s="1"/>
      <c r="G403" s="1"/>
    </row>
    <row r="404" spans="2:7" ht="15.75" customHeight="1">
      <c r="B404" s="1"/>
      <c r="D404" s="1"/>
      <c r="E404" s="1"/>
      <c r="F404" s="1"/>
      <c r="G404" s="1"/>
    </row>
    <row r="405" spans="2:7" ht="15.75" customHeight="1">
      <c r="B405" s="1"/>
      <c r="D405" s="1"/>
      <c r="E405" s="1"/>
      <c r="F405" s="1"/>
      <c r="G405" s="1"/>
    </row>
    <row r="406" spans="2:7" ht="15.75" customHeight="1">
      <c r="B406" s="1"/>
      <c r="D406" s="1"/>
      <c r="E406" s="1"/>
      <c r="F406" s="1"/>
      <c r="G406" s="1"/>
    </row>
    <row r="407" spans="2:7" ht="15.75" customHeight="1">
      <c r="B407" s="1"/>
      <c r="D407" s="1"/>
      <c r="E407" s="1"/>
      <c r="F407" s="1"/>
      <c r="G407" s="1"/>
    </row>
    <row r="408" spans="2:7" ht="15.75" customHeight="1">
      <c r="B408" s="1"/>
      <c r="D408" s="1"/>
      <c r="E408" s="1"/>
      <c r="F408" s="1"/>
      <c r="G408" s="1"/>
    </row>
    <row r="409" spans="2:7" ht="15.75" customHeight="1">
      <c r="B409" s="1"/>
      <c r="D409" s="1"/>
      <c r="E409" s="1"/>
      <c r="F409" s="1"/>
      <c r="G409" s="1"/>
    </row>
    <row r="410" spans="2:7" ht="15.75" customHeight="1">
      <c r="B410" s="1"/>
      <c r="D410" s="1"/>
      <c r="E410" s="1"/>
      <c r="F410" s="1"/>
      <c r="G410" s="1"/>
    </row>
    <row r="411" spans="2:7" ht="15.75" customHeight="1">
      <c r="B411" s="1"/>
      <c r="D411" s="1"/>
      <c r="E411" s="1"/>
      <c r="F411" s="1"/>
      <c r="G411" s="1"/>
    </row>
    <row r="412" spans="2:7" ht="15.75" customHeight="1">
      <c r="B412" s="1"/>
      <c r="D412" s="1"/>
      <c r="E412" s="1"/>
      <c r="F412" s="1"/>
      <c r="G412" s="1"/>
    </row>
    <row r="413" spans="2:7" ht="15.75" customHeight="1">
      <c r="B413" s="1"/>
      <c r="D413" s="1"/>
      <c r="E413" s="1"/>
      <c r="F413" s="1"/>
      <c r="G413" s="1"/>
    </row>
    <row r="414" spans="2:7" ht="15.75" customHeight="1">
      <c r="B414" s="1"/>
      <c r="D414" s="1"/>
      <c r="E414" s="1"/>
      <c r="F414" s="1"/>
      <c r="G414" s="1"/>
    </row>
    <row r="415" spans="2:7" ht="15.75" customHeight="1">
      <c r="B415" s="1"/>
      <c r="D415" s="1"/>
      <c r="E415" s="1"/>
      <c r="F415" s="1"/>
      <c r="G415" s="1"/>
    </row>
    <row r="416" spans="2:7" ht="15.75" customHeight="1">
      <c r="B416" s="1"/>
      <c r="D416" s="1"/>
      <c r="E416" s="1"/>
      <c r="F416" s="1"/>
      <c r="G416" s="1"/>
    </row>
    <row r="417" spans="2:7" ht="15.75" customHeight="1">
      <c r="B417" s="1"/>
      <c r="D417" s="1"/>
      <c r="E417" s="1"/>
      <c r="F417" s="1"/>
      <c r="G417" s="1"/>
    </row>
    <row r="418" spans="2:7" ht="15.75" customHeight="1">
      <c r="B418" s="1"/>
      <c r="D418" s="1"/>
      <c r="E418" s="1"/>
      <c r="F418" s="1"/>
      <c r="G418" s="1"/>
    </row>
    <row r="419" spans="2:7" ht="15.75" customHeight="1">
      <c r="B419" s="1"/>
      <c r="D419" s="1"/>
      <c r="E419" s="1"/>
      <c r="F419" s="1"/>
      <c r="G419" s="1"/>
    </row>
    <row r="420" spans="2:7" ht="15.75" customHeight="1">
      <c r="B420" s="1"/>
      <c r="D420" s="1"/>
      <c r="E420" s="1"/>
      <c r="F420" s="1"/>
      <c r="G420" s="1"/>
    </row>
    <row r="421" spans="2:7" ht="15.75" customHeight="1">
      <c r="B421" s="1"/>
      <c r="D421" s="1"/>
      <c r="E421" s="1"/>
      <c r="F421" s="1"/>
      <c r="G421" s="1"/>
    </row>
    <row r="422" spans="2:7" ht="15.75" customHeight="1">
      <c r="B422" s="1"/>
      <c r="D422" s="1"/>
      <c r="E422" s="1"/>
      <c r="F422" s="1"/>
      <c r="G422" s="1"/>
    </row>
    <row r="423" spans="2:7" ht="15.75" customHeight="1">
      <c r="B423" s="1"/>
      <c r="D423" s="1"/>
      <c r="E423" s="1"/>
      <c r="F423" s="1"/>
      <c r="G423" s="1"/>
    </row>
    <row r="424" spans="2:7" ht="15.75" customHeight="1">
      <c r="B424" s="1"/>
      <c r="D424" s="1"/>
      <c r="E424" s="1"/>
      <c r="F424" s="1"/>
      <c r="G424" s="1"/>
    </row>
    <row r="425" spans="2:7" ht="15.75" customHeight="1">
      <c r="B425" s="1"/>
      <c r="D425" s="1"/>
      <c r="E425" s="1"/>
      <c r="F425" s="1"/>
      <c r="G425" s="1"/>
    </row>
    <row r="426" spans="2:7" ht="15.75" customHeight="1">
      <c r="B426" s="1"/>
      <c r="D426" s="1"/>
      <c r="E426" s="1"/>
      <c r="F426" s="1"/>
      <c r="G426" s="1"/>
    </row>
    <row r="427" spans="2:7" ht="15.75" customHeight="1">
      <c r="B427" s="1"/>
      <c r="D427" s="1"/>
      <c r="E427" s="1"/>
      <c r="F427" s="1"/>
      <c r="G427" s="1"/>
    </row>
    <row r="428" spans="2:7" ht="15.75" customHeight="1">
      <c r="B428" s="1"/>
      <c r="D428" s="1"/>
      <c r="E428" s="1"/>
      <c r="F428" s="1"/>
      <c r="G428" s="1"/>
    </row>
    <row r="429" spans="2:7" ht="15.75" customHeight="1">
      <c r="B429" s="1"/>
      <c r="D429" s="1"/>
      <c r="E429" s="1"/>
      <c r="F429" s="1"/>
      <c r="G429" s="1"/>
    </row>
    <row r="430" spans="2:7" ht="15.75" customHeight="1">
      <c r="B430" s="1"/>
      <c r="D430" s="1"/>
      <c r="E430" s="1"/>
      <c r="F430" s="1"/>
      <c r="G430" s="1"/>
    </row>
    <row r="431" spans="2:7" ht="15.75" customHeight="1">
      <c r="B431" s="1"/>
      <c r="D431" s="1"/>
      <c r="E431" s="1"/>
      <c r="F431" s="1"/>
      <c r="G431" s="1"/>
    </row>
    <row r="432" spans="2:7" ht="15.75" customHeight="1">
      <c r="B432" s="1"/>
      <c r="D432" s="1"/>
      <c r="E432" s="1"/>
      <c r="F432" s="1"/>
      <c r="G432" s="1"/>
    </row>
    <row r="433" spans="2:7" ht="15.75" customHeight="1">
      <c r="B433" s="1"/>
      <c r="D433" s="1"/>
      <c r="E433" s="1"/>
      <c r="F433" s="1"/>
      <c r="G433" s="1"/>
    </row>
    <row r="434" spans="2:7" ht="15.75" customHeight="1">
      <c r="B434" s="1"/>
      <c r="D434" s="1"/>
      <c r="E434" s="1"/>
      <c r="F434" s="1"/>
      <c r="G434" s="1"/>
    </row>
    <row r="435" spans="2:7" ht="15.75" customHeight="1">
      <c r="B435" s="1"/>
      <c r="D435" s="1"/>
      <c r="E435" s="1"/>
      <c r="F435" s="1"/>
      <c r="G435" s="1"/>
    </row>
    <row r="436" spans="2:7" ht="15.75" customHeight="1">
      <c r="B436" s="1"/>
      <c r="D436" s="1"/>
      <c r="E436" s="1"/>
      <c r="F436" s="1"/>
      <c r="G436" s="1"/>
    </row>
    <row r="437" spans="2:7" ht="15.75" customHeight="1">
      <c r="B437" s="1"/>
      <c r="D437" s="1"/>
      <c r="E437" s="1"/>
      <c r="F437" s="1"/>
      <c r="G437" s="1"/>
    </row>
    <row r="438" spans="2:7" ht="15.75" customHeight="1">
      <c r="B438" s="1"/>
      <c r="D438" s="1"/>
      <c r="E438" s="1"/>
      <c r="F438" s="1"/>
      <c r="G438" s="1"/>
    </row>
    <row r="439" spans="2:7" ht="15.75" customHeight="1">
      <c r="B439" s="1"/>
      <c r="D439" s="1"/>
      <c r="E439" s="1"/>
      <c r="F439" s="1"/>
      <c r="G439" s="1"/>
    </row>
    <row r="440" spans="2:7" ht="15.75" customHeight="1">
      <c r="B440" s="1"/>
      <c r="D440" s="1"/>
      <c r="E440" s="1"/>
      <c r="F440" s="1"/>
      <c r="G440" s="1"/>
    </row>
    <row r="441" spans="2:7" ht="15.75" customHeight="1">
      <c r="B441" s="1"/>
      <c r="D441" s="1"/>
      <c r="E441" s="1"/>
      <c r="F441" s="1"/>
      <c r="G441" s="1"/>
    </row>
    <row r="442" spans="2:7" ht="15.75" customHeight="1">
      <c r="B442" s="1"/>
      <c r="D442" s="1"/>
      <c r="E442" s="1"/>
      <c r="F442" s="1"/>
      <c r="G442" s="1"/>
    </row>
    <row r="443" spans="2:7" ht="15.75" customHeight="1">
      <c r="B443" s="1"/>
      <c r="D443" s="1"/>
      <c r="E443" s="1"/>
      <c r="F443" s="1"/>
      <c r="G443" s="1"/>
    </row>
    <row r="444" spans="2:7" ht="15.75" customHeight="1">
      <c r="B444" s="1"/>
      <c r="D444" s="1"/>
      <c r="E444" s="1"/>
      <c r="F444" s="1"/>
      <c r="G444" s="1"/>
    </row>
    <row r="445" spans="2:7" ht="15.75" customHeight="1">
      <c r="B445" s="1"/>
      <c r="D445" s="1"/>
      <c r="E445" s="1"/>
      <c r="F445" s="1"/>
      <c r="G445" s="1"/>
    </row>
    <row r="446" spans="2:7" ht="15.75" customHeight="1">
      <c r="B446" s="1"/>
      <c r="D446" s="1"/>
      <c r="E446" s="1"/>
      <c r="F446" s="1"/>
      <c r="G446" s="1"/>
    </row>
    <row r="447" spans="2:7" ht="15.75" customHeight="1">
      <c r="B447" s="1"/>
      <c r="D447" s="1"/>
      <c r="E447" s="1"/>
      <c r="F447" s="1"/>
      <c r="G447" s="1"/>
    </row>
    <row r="448" spans="2:7" ht="15.75" customHeight="1">
      <c r="B448" s="1"/>
      <c r="D448" s="1"/>
      <c r="E448" s="1"/>
      <c r="F448" s="1"/>
      <c r="G448" s="1"/>
    </row>
    <row r="449" spans="2:7" ht="15.75" customHeight="1">
      <c r="B449" s="1"/>
      <c r="D449" s="1"/>
      <c r="E449" s="1"/>
      <c r="F449" s="1"/>
      <c r="G449" s="1"/>
    </row>
    <row r="450" spans="2:7" ht="15.75" customHeight="1">
      <c r="B450" s="1"/>
      <c r="D450" s="1"/>
      <c r="E450" s="1"/>
      <c r="F450" s="1"/>
      <c r="G450" s="1"/>
    </row>
    <row r="451" spans="2:7" ht="15.75" customHeight="1">
      <c r="B451" s="1"/>
      <c r="D451" s="1"/>
      <c r="E451" s="1"/>
      <c r="F451" s="1"/>
      <c r="G451" s="1"/>
    </row>
    <row r="452" spans="2:7" ht="15.75" customHeight="1">
      <c r="B452" s="1"/>
      <c r="D452" s="1"/>
      <c r="E452" s="1"/>
      <c r="F452" s="1"/>
      <c r="G452" s="1"/>
    </row>
    <row r="453" spans="2:7" ht="15.75" customHeight="1">
      <c r="B453" s="1"/>
      <c r="D453" s="1"/>
      <c r="E453" s="1"/>
      <c r="F453" s="1"/>
      <c r="G453" s="1"/>
    </row>
    <row r="454" spans="2:7" ht="15.75" customHeight="1">
      <c r="B454" s="1"/>
      <c r="D454" s="1"/>
      <c r="E454" s="1"/>
      <c r="F454" s="1"/>
      <c r="G454" s="1"/>
    </row>
    <row r="455" spans="2:7" ht="15.75" customHeight="1">
      <c r="B455" s="1"/>
      <c r="D455" s="1"/>
      <c r="E455" s="1"/>
      <c r="F455" s="1"/>
      <c r="G455" s="1"/>
    </row>
    <row r="456" spans="2:7" ht="15.75" customHeight="1">
      <c r="B456" s="1"/>
      <c r="D456" s="1"/>
      <c r="E456" s="1"/>
      <c r="F456" s="1"/>
      <c r="G456" s="1"/>
    </row>
    <row r="457" spans="2:7" ht="15.75" customHeight="1">
      <c r="B457" s="1"/>
      <c r="D457" s="1"/>
      <c r="E457" s="1"/>
      <c r="F457" s="1"/>
      <c r="G457" s="1"/>
    </row>
    <row r="458" spans="2:7" ht="15.75" customHeight="1">
      <c r="B458" s="1"/>
      <c r="D458" s="1"/>
      <c r="E458" s="1"/>
      <c r="F458" s="1"/>
      <c r="G458" s="1"/>
    </row>
    <row r="459" spans="2:7" ht="15.75" customHeight="1">
      <c r="B459" s="1"/>
      <c r="D459" s="1"/>
      <c r="E459" s="1"/>
      <c r="F459" s="1"/>
      <c r="G459" s="1"/>
    </row>
    <row r="460" spans="2:7" ht="15.75" customHeight="1">
      <c r="B460" s="1"/>
      <c r="D460" s="1"/>
      <c r="E460" s="1"/>
      <c r="F460" s="1"/>
      <c r="G460" s="1"/>
    </row>
    <row r="461" spans="2:7" ht="15.75" customHeight="1">
      <c r="B461" s="1"/>
      <c r="D461" s="1"/>
      <c r="E461" s="1"/>
      <c r="F461" s="1"/>
      <c r="G461" s="1"/>
    </row>
    <row r="462" spans="2:7" ht="15.75" customHeight="1">
      <c r="B462" s="1"/>
      <c r="D462" s="1"/>
      <c r="E462" s="1"/>
      <c r="F462" s="1"/>
      <c r="G462" s="1"/>
    </row>
    <row r="463" spans="2:7" ht="15.75" customHeight="1">
      <c r="B463" s="1"/>
      <c r="D463" s="1"/>
      <c r="E463" s="1"/>
      <c r="F463" s="1"/>
      <c r="G463" s="1"/>
    </row>
    <row r="464" spans="2:7" ht="15.75" customHeight="1">
      <c r="B464" s="1"/>
      <c r="D464" s="1"/>
      <c r="E464" s="1"/>
      <c r="F464" s="1"/>
      <c r="G464" s="1"/>
    </row>
    <row r="465" spans="2:7" ht="15.75" customHeight="1">
      <c r="B465" s="1"/>
      <c r="D465" s="1"/>
      <c r="E465" s="1"/>
      <c r="F465" s="1"/>
      <c r="G465" s="1"/>
    </row>
    <row r="466" spans="2:7" ht="15.75" customHeight="1">
      <c r="B466" s="1"/>
      <c r="D466" s="1"/>
      <c r="E466" s="1"/>
      <c r="F466" s="1"/>
      <c r="G466" s="1"/>
    </row>
    <row r="467" spans="2:7" ht="15.75" customHeight="1">
      <c r="B467" s="1"/>
      <c r="D467" s="1"/>
      <c r="E467" s="1"/>
      <c r="F467" s="1"/>
      <c r="G467" s="1"/>
    </row>
    <row r="468" spans="2:7" ht="15.75" customHeight="1">
      <c r="B468" s="1"/>
      <c r="D468" s="1"/>
      <c r="E468" s="1"/>
      <c r="F468" s="1"/>
      <c r="G468" s="1"/>
    </row>
    <row r="469" spans="2:7" ht="15.75" customHeight="1">
      <c r="B469" s="1"/>
      <c r="D469" s="1"/>
      <c r="E469" s="1"/>
      <c r="F469" s="1"/>
      <c r="G469" s="1"/>
    </row>
    <row r="470" spans="2:7" ht="15.75" customHeight="1">
      <c r="B470" s="1"/>
      <c r="D470" s="1"/>
      <c r="E470" s="1"/>
      <c r="F470" s="1"/>
      <c r="G470" s="1"/>
    </row>
    <row r="471" spans="2:7" ht="15.75" customHeight="1">
      <c r="B471" s="1"/>
      <c r="D471" s="1"/>
      <c r="E471" s="1"/>
      <c r="F471" s="1"/>
      <c r="G471" s="1"/>
    </row>
    <row r="472" spans="2:7" ht="15.75" customHeight="1">
      <c r="B472" s="1"/>
      <c r="D472" s="1"/>
      <c r="E472" s="1"/>
      <c r="F472" s="1"/>
      <c r="G472" s="1"/>
    </row>
    <row r="473" spans="2:7" ht="15.75" customHeight="1">
      <c r="B473" s="1"/>
      <c r="D473" s="1"/>
      <c r="E473" s="1"/>
      <c r="F473" s="1"/>
      <c r="G473" s="1"/>
    </row>
    <row r="474" spans="2:7" ht="15.75" customHeight="1">
      <c r="B474" s="1"/>
      <c r="D474" s="1"/>
      <c r="E474" s="1"/>
      <c r="F474" s="1"/>
      <c r="G474" s="1"/>
    </row>
    <row r="475" spans="2:7" ht="15.75" customHeight="1">
      <c r="B475" s="1"/>
      <c r="D475" s="1"/>
      <c r="E475" s="1"/>
      <c r="F475" s="1"/>
      <c r="G475" s="1"/>
    </row>
    <row r="476" spans="2:7" ht="15.75" customHeight="1">
      <c r="B476" s="1"/>
      <c r="D476" s="1"/>
      <c r="E476" s="1"/>
      <c r="F476" s="1"/>
      <c r="G476" s="1"/>
    </row>
    <row r="477" spans="2:7" ht="15.75" customHeight="1">
      <c r="B477" s="1"/>
      <c r="D477" s="1"/>
      <c r="E477" s="1"/>
      <c r="F477" s="1"/>
      <c r="G477" s="1"/>
    </row>
    <row r="478" spans="2:7" ht="15.75" customHeight="1">
      <c r="B478" s="1"/>
      <c r="D478" s="1"/>
      <c r="E478" s="1"/>
      <c r="F478" s="1"/>
      <c r="G478" s="1"/>
    </row>
    <row r="479" spans="2:7" ht="15.75" customHeight="1">
      <c r="B479" s="1"/>
      <c r="D479" s="1"/>
      <c r="E479" s="1"/>
      <c r="F479" s="1"/>
      <c r="G479" s="1"/>
    </row>
    <row r="480" spans="2:7" ht="15.75" customHeight="1">
      <c r="B480" s="1"/>
      <c r="D480" s="1"/>
      <c r="E480" s="1"/>
      <c r="F480" s="1"/>
      <c r="G480" s="1"/>
    </row>
    <row r="481" spans="2:7" ht="15.75" customHeight="1">
      <c r="B481" s="1"/>
      <c r="D481" s="1"/>
      <c r="E481" s="1"/>
      <c r="F481" s="1"/>
      <c r="G481" s="1"/>
    </row>
    <row r="482" spans="2:7" ht="15.75" customHeight="1">
      <c r="B482" s="1"/>
      <c r="D482" s="1"/>
      <c r="E482" s="1"/>
      <c r="F482" s="1"/>
      <c r="G482" s="1"/>
    </row>
    <row r="483" spans="2:7" ht="15.75" customHeight="1">
      <c r="B483" s="1"/>
      <c r="D483" s="1"/>
      <c r="E483" s="1"/>
      <c r="F483" s="1"/>
      <c r="G483" s="1"/>
    </row>
    <row r="484" spans="2:7" ht="15.75" customHeight="1">
      <c r="B484" s="1"/>
      <c r="D484" s="1"/>
      <c r="E484" s="1"/>
      <c r="F484" s="1"/>
      <c r="G484" s="1"/>
    </row>
    <row r="485" spans="2:7" ht="15.75" customHeight="1">
      <c r="B485" s="1"/>
      <c r="D485" s="1"/>
      <c r="E485" s="1"/>
      <c r="F485" s="1"/>
      <c r="G485" s="1"/>
    </row>
    <row r="486" spans="2:7" ht="15.75" customHeight="1">
      <c r="B486" s="1"/>
      <c r="D486" s="1"/>
      <c r="E486" s="1"/>
      <c r="F486" s="1"/>
      <c r="G486" s="1"/>
    </row>
    <row r="487" spans="2:7" ht="15.75" customHeight="1">
      <c r="B487" s="1"/>
      <c r="D487" s="1"/>
      <c r="E487" s="1"/>
      <c r="F487" s="1"/>
      <c r="G487" s="1"/>
    </row>
    <row r="488" spans="2:7" ht="15.75" customHeight="1">
      <c r="B488" s="1"/>
      <c r="D488" s="1"/>
      <c r="E488" s="1"/>
      <c r="F488" s="1"/>
      <c r="G488" s="1"/>
    </row>
    <row r="489" spans="2:7" ht="15.75" customHeight="1">
      <c r="B489" s="1"/>
      <c r="D489" s="1"/>
      <c r="E489" s="1"/>
      <c r="F489" s="1"/>
      <c r="G489" s="1"/>
    </row>
    <row r="490" spans="2:7" ht="15.75" customHeight="1">
      <c r="B490" s="1"/>
      <c r="D490" s="1"/>
      <c r="E490" s="1"/>
      <c r="F490" s="1"/>
      <c r="G490" s="1"/>
    </row>
    <row r="491" spans="2:7" ht="15.75" customHeight="1">
      <c r="B491" s="1"/>
      <c r="D491" s="1"/>
      <c r="E491" s="1"/>
      <c r="F491" s="1"/>
      <c r="G491" s="1"/>
    </row>
    <row r="492" spans="2:7" ht="15.75" customHeight="1">
      <c r="B492" s="1"/>
      <c r="D492" s="1"/>
      <c r="E492" s="1"/>
      <c r="F492" s="1"/>
      <c r="G492" s="1"/>
    </row>
    <row r="493" spans="2:7" ht="15.75" customHeight="1">
      <c r="B493" s="1"/>
      <c r="D493" s="1"/>
      <c r="E493" s="1"/>
      <c r="F493" s="1"/>
      <c r="G493" s="1"/>
    </row>
    <row r="494" spans="2:7" ht="15.75" customHeight="1">
      <c r="B494" s="1"/>
      <c r="D494" s="1"/>
      <c r="E494" s="1"/>
      <c r="F494" s="1"/>
      <c r="G494" s="1"/>
    </row>
    <row r="495" spans="2:7" ht="15.75" customHeight="1">
      <c r="B495" s="1"/>
      <c r="D495" s="1"/>
      <c r="E495" s="1"/>
      <c r="F495" s="1"/>
      <c r="G495" s="1"/>
    </row>
    <row r="496" spans="2:7" ht="15.75" customHeight="1">
      <c r="B496" s="1"/>
      <c r="D496" s="1"/>
      <c r="E496" s="1"/>
      <c r="F496" s="1"/>
      <c r="G496" s="1"/>
    </row>
    <row r="497" spans="2:7" ht="15.75" customHeight="1">
      <c r="B497" s="1"/>
      <c r="D497" s="1"/>
      <c r="E497" s="1"/>
      <c r="F497" s="1"/>
      <c r="G497" s="1"/>
    </row>
    <row r="498" spans="2:7" ht="15.75" customHeight="1">
      <c r="B498" s="1"/>
      <c r="D498" s="1"/>
      <c r="E498" s="1"/>
      <c r="F498" s="1"/>
      <c r="G498" s="1"/>
    </row>
    <row r="499" spans="2:7" ht="15.75" customHeight="1">
      <c r="B499" s="1"/>
      <c r="D499" s="1"/>
      <c r="E499" s="1"/>
      <c r="F499" s="1"/>
      <c r="G499" s="1"/>
    </row>
    <row r="500" spans="2:7" ht="15.75" customHeight="1">
      <c r="B500" s="1"/>
      <c r="D500" s="1"/>
      <c r="E500" s="1"/>
      <c r="F500" s="1"/>
      <c r="G500" s="1"/>
    </row>
    <row r="501" spans="2:7" ht="15.75" customHeight="1">
      <c r="B501" s="1"/>
      <c r="D501" s="1"/>
      <c r="E501" s="1"/>
      <c r="F501" s="1"/>
      <c r="G501" s="1"/>
    </row>
    <row r="502" spans="2:7" ht="15.75" customHeight="1">
      <c r="B502" s="1"/>
      <c r="D502" s="1"/>
      <c r="E502" s="1"/>
      <c r="F502" s="1"/>
      <c r="G502" s="1"/>
    </row>
    <row r="503" spans="2:7" ht="15.75" customHeight="1">
      <c r="B503" s="1"/>
      <c r="D503" s="1"/>
      <c r="E503" s="1"/>
      <c r="F503" s="1"/>
      <c r="G503" s="1"/>
    </row>
    <row r="504" spans="2:7" ht="15.75" customHeight="1">
      <c r="B504" s="1"/>
      <c r="D504" s="1"/>
      <c r="E504" s="1"/>
      <c r="F504" s="1"/>
      <c r="G504" s="1"/>
    </row>
    <row r="505" spans="2:7" ht="15.75" customHeight="1">
      <c r="B505" s="1"/>
      <c r="D505" s="1"/>
      <c r="E505" s="1"/>
      <c r="F505" s="1"/>
      <c r="G505" s="1"/>
    </row>
    <row r="506" spans="2:7" ht="15.75" customHeight="1">
      <c r="B506" s="1"/>
      <c r="D506" s="1"/>
      <c r="E506" s="1"/>
      <c r="F506" s="1"/>
      <c r="G506" s="1"/>
    </row>
    <row r="507" spans="2:7" ht="15.75" customHeight="1">
      <c r="B507" s="1"/>
      <c r="D507" s="1"/>
      <c r="E507" s="1"/>
      <c r="F507" s="1"/>
      <c r="G507" s="1"/>
    </row>
    <row r="508" spans="2:7" ht="15.75" customHeight="1">
      <c r="B508" s="1"/>
      <c r="D508" s="1"/>
      <c r="E508" s="1"/>
      <c r="F508" s="1"/>
      <c r="G508" s="1"/>
    </row>
    <row r="509" spans="2:7" ht="15.75" customHeight="1">
      <c r="B509" s="1"/>
      <c r="D509" s="1"/>
      <c r="E509" s="1"/>
      <c r="F509" s="1"/>
      <c r="G509" s="1"/>
    </row>
    <row r="510" spans="2:7" ht="15.75" customHeight="1">
      <c r="B510" s="1"/>
      <c r="D510" s="1"/>
      <c r="E510" s="1"/>
      <c r="F510" s="1"/>
      <c r="G510" s="1"/>
    </row>
    <row r="511" spans="2:7" ht="15.75" customHeight="1">
      <c r="B511" s="1"/>
      <c r="D511" s="1"/>
      <c r="E511" s="1"/>
      <c r="F511" s="1"/>
      <c r="G511" s="1"/>
    </row>
    <row r="512" spans="2:7" ht="15.75" customHeight="1">
      <c r="B512" s="1"/>
      <c r="D512" s="1"/>
      <c r="E512" s="1"/>
      <c r="F512" s="1"/>
      <c r="G512" s="1"/>
    </row>
    <row r="513" spans="2:7" ht="15.75" customHeight="1">
      <c r="B513" s="1"/>
      <c r="D513" s="1"/>
      <c r="E513" s="1"/>
      <c r="F513" s="1"/>
      <c r="G513" s="1"/>
    </row>
    <row r="514" spans="2:7" ht="15.75" customHeight="1">
      <c r="B514" s="1"/>
      <c r="D514" s="1"/>
      <c r="E514" s="1"/>
      <c r="F514" s="1"/>
      <c r="G514" s="1"/>
    </row>
    <row r="515" spans="2:7" ht="15.75" customHeight="1">
      <c r="B515" s="1"/>
      <c r="D515" s="1"/>
      <c r="E515" s="1"/>
      <c r="F515" s="1"/>
      <c r="G515" s="1"/>
    </row>
    <row r="516" spans="2:7" ht="15.75" customHeight="1">
      <c r="B516" s="1"/>
      <c r="D516" s="1"/>
      <c r="E516" s="1"/>
      <c r="F516" s="1"/>
      <c r="G516" s="1"/>
    </row>
    <row r="517" spans="2:7" ht="15.75" customHeight="1">
      <c r="B517" s="1"/>
      <c r="D517" s="1"/>
      <c r="E517" s="1"/>
      <c r="F517" s="1"/>
      <c r="G517" s="1"/>
    </row>
    <row r="518" spans="2:7" ht="15.75" customHeight="1">
      <c r="B518" s="1"/>
      <c r="D518" s="1"/>
      <c r="E518" s="1"/>
      <c r="F518" s="1"/>
      <c r="G518" s="1"/>
    </row>
    <row r="519" spans="2:7" ht="15.75" customHeight="1">
      <c r="B519" s="1"/>
      <c r="D519" s="1"/>
      <c r="E519" s="1"/>
      <c r="F519" s="1"/>
      <c r="G519" s="1"/>
    </row>
    <row r="520" spans="2:7" ht="15.75" customHeight="1">
      <c r="B520" s="1"/>
      <c r="D520" s="1"/>
      <c r="E520" s="1"/>
      <c r="F520" s="1"/>
      <c r="G520" s="1"/>
    </row>
    <row r="521" spans="2:7" ht="15.75" customHeight="1">
      <c r="B521" s="1"/>
      <c r="D521" s="1"/>
      <c r="E521" s="1"/>
      <c r="F521" s="1"/>
      <c r="G521" s="1"/>
    </row>
    <row r="522" spans="2:7" ht="15.75" customHeight="1">
      <c r="B522" s="1"/>
      <c r="D522" s="1"/>
      <c r="E522" s="1"/>
      <c r="F522" s="1"/>
      <c r="G522" s="1"/>
    </row>
    <row r="523" spans="2:7" ht="15.75" customHeight="1">
      <c r="B523" s="1"/>
      <c r="D523" s="1"/>
      <c r="E523" s="1"/>
      <c r="F523" s="1"/>
      <c r="G523" s="1"/>
    </row>
    <row r="524" spans="2:7" ht="15.75" customHeight="1">
      <c r="B524" s="1"/>
      <c r="D524" s="1"/>
      <c r="E524" s="1"/>
      <c r="F524" s="1"/>
      <c r="G524" s="1"/>
    </row>
    <row r="525" spans="2:7" ht="15.75" customHeight="1">
      <c r="B525" s="1"/>
      <c r="D525" s="1"/>
      <c r="E525" s="1"/>
      <c r="F525" s="1"/>
      <c r="G525" s="1"/>
    </row>
    <row r="526" spans="2:7" ht="15.75" customHeight="1">
      <c r="B526" s="1"/>
      <c r="D526" s="1"/>
      <c r="E526" s="1"/>
      <c r="F526" s="1"/>
      <c r="G526" s="1"/>
    </row>
    <row r="527" spans="2:7" ht="15.75" customHeight="1">
      <c r="B527" s="1"/>
      <c r="D527" s="1"/>
      <c r="E527" s="1"/>
      <c r="F527" s="1"/>
      <c r="G527" s="1"/>
    </row>
    <row r="528" spans="2:7" ht="15.75" customHeight="1">
      <c r="B528" s="1"/>
      <c r="D528" s="1"/>
      <c r="E528" s="1"/>
      <c r="F528" s="1"/>
      <c r="G528" s="1"/>
    </row>
    <row r="529" spans="2:7" ht="15.75" customHeight="1">
      <c r="B529" s="1"/>
      <c r="D529" s="1"/>
      <c r="E529" s="1"/>
      <c r="F529" s="1"/>
      <c r="G529" s="1"/>
    </row>
    <row r="530" spans="2:7" ht="15.75" customHeight="1">
      <c r="B530" s="1"/>
      <c r="D530" s="1"/>
      <c r="E530" s="1"/>
      <c r="F530" s="1"/>
      <c r="G530" s="1"/>
    </row>
    <row r="531" spans="2:7" ht="15.75" customHeight="1">
      <c r="B531" s="1"/>
      <c r="D531" s="1"/>
      <c r="E531" s="1"/>
      <c r="F531" s="1"/>
      <c r="G531" s="1"/>
    </row>
    <row r="532" spans="2:7" ht="15.75" customHeight="1">
      <c r="B532" s="1"/>
      <c r="D532" s="1"/>
      <c r="E532" s="1"/>
      <c r="F532" s="1"/>
      <c r="G532" s="1"/>
    </row>
    <row r="533" spans="2:7" ht="15.75" customHeight="1">
      <c r="B533" s="1"/>
      <c r="D533" s="1"/>
      <c r="E533" s="1"/>
      <c r="F533" s="1"/>
      <c r="G533" s="1"/>
    </row>
    <row r="534" spans="2:7" ht="15.75" customHeight="1">
      <c r="B534" s="1"/>
      <c r="D534" s="1"/>
      <c r="E534" s="1"/>
      <c r="F534" s="1"/>
      <c r="G534" s="1"/>
    </row>
    <row r="535" spans="2:7" ht="15.75" customHeight="1">
      <c r="B535" s="1"/>
      <c r="D535" s="1"/>
      <c r="E535" s="1"/>
      <c r="F535" s="1"/>
      <c r="G535" s="1"/>
    </row>
    <row r="536" spans="2:7" ht="15.75" customHeight="1">
      <c r="B536" s="1"/>
      <c r="D536" s="1"/>
      <c r="E536" s="1"/>
      <c r="F536" s="1"/>
      <c r="G536" s="1"/>
    </row>
    <row r="537" spans="2:7" ht="15.75" customHeight="1">
      <c r="B537" s="1"/>
      <c r="D537" s="1"/>
      <c r="E537" s="1"/>
      <c r="F537" s="1"/>
      <c r="G537" s="1"/>
    </row>
    <row r="538" spans="2:7" ht="15.75" customHeight="1">
      <c r="B538" s="1"/>
      <c r="D538" s="1"/>
      <c r="E538" s="1"/>
      <c r="F538" s="1"/>
      <c r="G538" s="1"/>
    </row>
    <row r="539" spans="2:7" ht="15.75" customHeight="1">
      <c r="B539" s="1"/>
      <c r="D539" s="1"/>
      <c r="E539" s="1"/>
      <c r="F539" s="1"/>
      <c r="G539" s="1"/>
    </row>
    <row r="540" spans="2:7" ht="15.75" customHeight="1">
      <c r="B540" s="1"/>
      <c r="D540" s="1"/>
      <c r="E540" s="1"/>
      <c r="F540" s="1"/>
      <c r="G540" s="1"/>
    </row>
    <row r="541" spans="2:7" ht="15.75" customHeight="1">
      <c r="B541" s="1"/>
      <c r="D541" s="1"/>
      <c r="E541" s="1"/>
      <c r="F541" s="1"/>
      <c r="G541" s="1"/>
    </row>
    <row r="542" spans="2:7" ht="15.75" customHeight="1">
      <c r="B542" s="1"/>
      <c r="D542" s="1"/>
      <c r="E542" s="1"/>
      <c r="F542" s="1"/>
      <c r="G542" s="1"/>
    </row>
    <row r="543" spans="2:7" ht="15.75" customHeight="1">
      <c r="B543" s="1"/>
      <c r="D543" s="1"/>
      <c r="E543" s="1"/>
      <c r="F543" s="1"/>
      <c r="G543" s="1"/>
    </row>
    <row r="544" spans="2:7" ht="15.75" customHeight="1">
      <c r="B544" s="1"/>
      <c r="D544" s="1"/>
      <c r="E544" s="1"/>
      <c r="F544" s="1"/>
      <c r="G544" s="1"/>
    </row>
    <row r="545" spans="2:7" ht="15.75" customHeight="1">
      <c r="B545" s="1"/>
      <c r="D545" s="1"/>
      <c r="E545" s="1"/>
      <c r="F545" s="1"/>
      <c r="G545" s="1"/>
    </row>
    <row r="546" spans="2:7" ht="15.75" customHeight="1">
      <c r="B546" s="1"/>
      <c r="D546" s="1"/>
      <c r="E546" s="1"/>
      <c r="F546" s="1"/>
      <c r="G546" s="1"/>
    </row>
    <row r="547" spans="2:7" ht="15.75" customHeight="1">
      <c r="B547" s="1"/>
      <c r="D547" s="1"/>
      <c r="E547" s="1"/>
      <c r="F547" s="1"/>
      <c r="G547" s="1"/>
    </row>
    <row r="548" spans="2:7" ht="15.75" customHeight="1">
      <c r="B548" s="1"/>
      <c r="D548" s="1"/>
      <c r="E548" s="1"/>
      <c r="F548" s="1"/>
      <c r="G548" s="1"/>
    </row>
    <row r="549" spans="2:7" ht="15.75" customHeight="1">
      <c r="B549" s="1"/>
      <c r="D549" s="1"/>
      <c r="E549" s="1"/>
      <c r="F549" s="1"/>
      <c r="G549" s="1"/>
    </row>
    <row r="550" spans="2:7" ht="15.75" customHeight="1">
      <c r="B550" s="1"/>
      <c r="D550" s="1"/>
      <c r="E550" s="1"/>
      <c r="F550" s="1"/>
      <c r="G550" s="1"/>
    </row>
    <row r="551" spans="2:7" ht="15.75" customHeight="1">
      <c r="B551" s="1"/>
      <c r="D551" s="1"/>
      <c r="E551" s="1"/>
      <c r="F551" s="1"/>
      <c r="G551" s="1"/>
    </row>
    <row r="552" spans="2:7" ht="15.75" customHeight="1">
      <c r="B552" s="1"/>
      <c r="D552" s="1"/>
      <c r="E552" s="1"/>
      <c r="F552" s="1"/>
      <c r="G552" s="1"/>
    </row>
    <row r="553" spans="2:7" ht="15.75" customHeight="1">
      <c r="B553" s="1"/>
      <c r="D553" s="1"/>
      <c r="E553" s="1"/>
      <c r="F553" s="1"/>
      <c r="G553" s="1"/>
    </row>
    <row r="554" spans="2:7" ht="15.75" customHeight="1">
      <c r="B554" s="1"/>
      <c r="D554" s="1"/>
      <c r="E554" s="1"/>
      <c r="F554" s="1"/>
      <c r="G554" s="1"/>
    </row>
    <row r="555" spans="2:7" ht="15.75" customHeight="1">
      <c r="B555" s="1"/>
      <c r="D555" s="1"/>
      <c r="E555" s="1"/>
      <c r="F555" s="1"/>
      <c r="G555" s="1"/>
    </row>
    <row r="556" spans="2:7" ht="15.75" customHeight="1">
      <c r="B556" s="1"/>
      <c r="D556" s="1"/>
      <c r="E556" s="1"/>
      <c r="F556" s="1"/>
      <c r="G556" s="1"/>
    </row>
    <row r="557" spans="2:7" ht="15.75" customHeight="1">
      <c r="B557" s="1"/>
      <c r="D557" s="1"/>
      <c r="E557" s="1"/>
      <c r="F557" s="1"/>
      <c r="G557" s="1"/>
    </row>
    <row r="558" spans="2:7" ht="15.75" customHeight="1">
      <c r="B558" s="1"/>
      <c r="D558" s="1"/>
      <c r="E558" s="1"/>
      <c r="F558" s="1"/>
      <c r="G558" s="1"/>
    </row>
    <row r="559" spans="2:7" ht="15.75" customHeight="1">
      <c r="B559" s="1"/>
      <c r="D559" s="1"/>
      <c r="E559" s="1"/>
      <c r="F559" s="1"/>
      <c r="G559" s="1"/>
    </row>
    <row r="560" spans="2:7" ht="15.75" customHeight="1">
      <c r="B560" s="1"/>
      <c r="D560" s="1"/>
      <c r="E560" s="1"/>
      <c r="F560" s="1"/>
      <c r="G560" s="1"/>
    </row>
    <row r="561" spans="2:7" ht="15.75" customHeight="1">
      <c r="B561" s="1"/>
      <c r="D561" s="1"/>
      <c r="E561" s="1"/>
      <c r="F561" s="1"/>
      <c r="G561" s="1"/>
    </row>
    <row r="562" spans="2:7" ht="15.75" customHeight="1">
      <c r="B562" s="1"/>
      <c r="D562" s="1"/>
      <c r="E562" s="1"/>
      <c r="F562" s="1"/>
      <c r="G562" s="1"/>
    </row>
    <row r="563" spans="2:7" ht="15.75" customHeight="1">
      <c r="B563" s="1"/>
      <c r="D563" s="1"/>
      <c r="E563" s="1"/>
      <c r="F563" s="1"/>
      <c r="G563" s="1"/>
    </row>
    <row r="564" spans="2:7" ht="15.75" customHeight="1">
      <c r="B564" s="1"/>
      <c r="D564" s="1"/>
      <c r="E564" s="1"/>
      <c r="F564" s="1"/>
      <c r="G564" s="1"/>
    </row>
    <row r="565" spans="2:7" ht="15.75" customHeight="1">
      <c r="B565" s="1"/>
      <c r="D565" s="1"/>
      <c r="E565" s="1"/>
      <c r="F565" s="1"/>
      <c r="G565" s="1"/>
    </row>
    <row r="566" spans="2:7" ht="15.75" customHeight="1">
      <c r="B566" s="1"/>
      <c r="D566" s="1"/>
      <c r="E566" s="1"/>
      <c r="F566" s="1"/>
      <c r="G566" s="1"/>
    </row>
    <row r="567" spans="2:7" ht="15.75" customHeight="1">
      <c r="B567" s="1"/>
      <c r="D567" s="1"/>
      <c r="E567" s="1"/>
      <c r="F567" s="1"/>
      <c r="G567" s="1"/>
    </row>
    <row r="568" spans="2:7" ht="15.75" customHeight="1">
      <c r="B568" s="1"/>
      <c r="D568" s="1"/>
      <c r="E568" s="1"/>
      <c r="F568" s="1"/>
      <c r="G568" s="1"/>
    </row>
    <row r="569" spans="2:7" ht="15.75" customHeight="1">
      <c r="B569" s="1"/>
      <c r="D569" s="1"/>
      <c r="E569" s="1"/>
      <c r="F569" s="1"/>
      <c r="G569" s="1"/>
    </row>
    <row r="570" spans="2:7" ht="15.75" customHeight="1">
      <c r="B570" s="1"/>
      <c r="D570" s="1"/>
      <c r="E570" s="1"/>
      <c r="F570" s="1"/>
      <c r="G570" s="1"/>
    </row>
    <row r="571" spans="2:7" ht="15.75" customHeight="1">
      <c r="B571" s="1"/>
      <c r="D571" s="1"/>
      <c r="E571" s="1"/>
      <c r="F571" s="1"/>
      <c r="G571" s="1"/>
    </row>
    <row r="572" spans="2:7" ht="15.75" customHeight="1">
      <c r="B572" s="1"/>
      <c r="D572" s="1"/>
      <c r="E572" s="1"/>
      <c r="F572" s="1"/>
      <c r="G572" s="1"/>
    </row>
    <row r="573" spans="2:7" ht="15.75" customHeight="1">
      <c r="B573" s="1"/>
      <c r="D573" s="1"/>
      <c r="E573" s="1"/>
      <c r="F573" s="1"/>
      <c r="G573" s="1"/>
    </row>
    <row r="574" spans="2:7" ht="15.75" customHeight="1">
      <c r="B574" s="1"/>
      <c r="D574" s="1"/>
      <c r="E574" s="1"/>
      <c r="F574" s="1"/>
      <c r="G574" s="1"/>
    </row>
    <row r="575" spans="2:7" ht="15.75" customHeight="1">
      <c r="B575" s="1"/>
      <c r="D575" s="1"/>
      <c r="E575" s="1"/>
      <c r="F575" s="1"/>
      <c r="G575" s="1"/>
    </row>
    <row r="576" spans="2:7" ht="15.75" customHeight="1">
      <c r="B576" s="1"/>
      <c r="D576" s="1"/>
      <c r="E576" s="1"/>
      <c r="F576" s="1"/>
      <c r="G576" s="1"/>
    </row>
    <row r="577" spans="2:7" ht="15.75" customHeight="1">
      <c r="B577" s="1"/>
      <c r="D577" s="1"/>
      <c r="E577" s="1"/>
      <c r="F577" s="1"/>
      <c r="G577" s="1"/>
    </row>
    <row r="578" spans="2:7" ht="15.75" customHeight="1">
      <c r="B578" s="1"/>
      <c r="D578" s="1"/>
      <c r="E578" s="1"/>
      <c r="F578" s="1"/>
      <c r="G578" s="1"/>
    </row>
    <row r="579" spans="2:7" ht="15.75" customHeight="1">
      <c r="B579" s="1"/>
      <c r="D579" s="1"/>
      <c r="E579" s="1"/>
      <c r="F579" s="1"/>
      <c r="G579" s="1"/>
    </row>
    <row r="580" spans="2:7" ht="15.75" customHeight="1">
      <c r="B580" s="1"/>
      <c r="D580" s="1"/>
      <c r="E580" s="1"/>
      <c r="F580" s="1"/>
      <c r="G580" s="1"/>
    </row>
    <row r="581" spans="2:7" ht="15.75" customHeight="1">
      <c r="B581" s="1"/>
      <c r="D581" s="1"/>
      <c r="E581" s="1"/>
      <c r="F581" s="1"/>
      <c r="G581" s="1"/>
    </row>
    <row r="582" spans="2:7" ht="15.75" customHeight="1">
      <c r="B582" s="1"/>
      <c r="D582" s="1"/>
      <c r="E582" s="1"/>
      <c r="F582" s="1"/>
      <c r="G582" s="1"/>
    </row>
    <row r="583" spans="2:7" ht="15.75" customHeight="1">
      <c r="B583" s="1"/>
      <c r="D583" s="1"/>
      <c r="E583" s="1"/>
      <c r="F583" s="1"/>
      <c r="G583" s="1"/>
    </row>
    <row r="584" spans="2:7" ht="15.75" customHeight="1">
      <c r="B584" s="1"/>
      <c r="D584" s="1"/>
      <c r="E584" s="1"/>
      <c r="F584" s="1"/>
      <c r="G584" s="1"/>
    </row>
    <row r="585" spans="2:7" ht="15.75" customHeight="1">
      <c r="B585" s="1"/>
      <c r="D585" s="1"/>
      <c r="E585" s="1"/>
      <c r="F585" s="1"/>
      <c r="G585" s="1"/>
    </row>
    <row r="586" spans="2:7" ht="15.75" customHeight="1">
      <c r="B586" s="1"/>
      <c r="D586" s="1"/>
      <c r="E586" s="1"/>
      <c r="F586" s="1"/>
      <c r="G586" s="1"/>
    </row>
    <row r="587" spans="2:7" ht="15.75" customHeight="1">
      <c r="B587" s="1"/>
      <c r="D587" s="1"/>
      <c r="E587" s="1"/>
      <c r="F587" s="1"/>
      <c r="G587" s="1"/>
    </row>
    <row r="588" spans="2:7" ht="15.75" customHeight="1">
      <c r="B588" s="1"/>
      <c r="D588" s="1"/>
      <c r="E588" s="1"/>
      <c r="F588" s="1"/>
      <c r="G588" s="1"/>
    </row>
    <row r="589" spans="2:7" ht="15.75" customHeight="1">
      <c r="B589" s="1"/>
      <c r="D589" s="1"/>
      <c r="E589" s="1"/>
      <c r="F589" s="1"/>
      <c r="G589" s="1"/>
    </row>
    <row r="590" spans="2:7" ht="15.75" customHeight="1">
      <c r="B590" s="1"/>
      <c r="D590" s="1"/>
      <c r="E590" s="1"/>
      <c r="F590" s="1"/>
      <c r="G590" s="1"/>
    </row>
    <row r="591" spans="2:7" ht="15.75" customHeight="1">
      <c r="B591" s="1"/>
      <c r="D591" s="1"/>
      <c r="E591" s="1"/>
      <c r="F591" s="1"/>
      <c r="G591" s="1"/>
    </row>
    <row r="592" spans="2:7" ht="15.75" customHeight="1">
      <c r="B592" s="1"/>
      <c r="D592" s="1"/>
      <c r="E592" s="1"/>
      <c r="F592" s="1"/>
      <c r="G592" s="1"/>
    </row>
    <row r="593" spans="2:7" ht="15.75" customHeight="1">
      <c r="B593" s="1"/>
      <c r="D593" s="1"/>
      <c r="E593" s="1"/>
      <c r="F593" s="1"/>
      <c r="G593" s="1"/>
    </row>
    <row r="594" spans="2:7" ht="15.75" customHeight="1">
      <c r="B594" s="1"/>
      <c r="D594" s="1"/>
      <c r="E594" s="1"/>
      <c r="F594" s="1"/>
      <c r="G594" s="1"/>
    </row>
    <row r="595" spans="2:7" ht="15.75" customHeight="1">
      <c r="B595" s="1"/>
      <c r="D595" s="1"/>
      <c r="E595" s="1"/>
      <c r="F595" s="1"/>
      <c r="G595" s="1"/>
    </row>
    <row r="596" spans="2:7" ht="15.75" customHeight="1">
      <c r="B596" s="1"/>
      <c r="D596" s="1"/>
      <c r="E596" s="1"/>
      <c r="F596" s="1"/>
      <c r="G596" s="1"/>
    </row>
    <row r="597" spans="2:7" ht="15.75" customHeight="1">
      <c r="B597" s="1"/>
      <c r="D597" s="1"/>
      <c r="E597" s="1"/>
      <c r="F597" s="1"/>
      <c r="G597" s="1"/>
    </row>
    <row r="598" spans="2:7" ht="15.75" customHeight="1">
      <c r="B598" s="1"/>
      <c r="D598" s="1"/>
      <c r="E598" s="1"/>
      <c r="F598" s="1"/>
      <c r="G598" s="1"/>
    </row>
    <row r="599" spans="2:7" ht="15.75" customHeight="1">
      <c r="B599" s="1"/>
      <c r="D599" s="1"/>
      <c r="E599" s="1"/>
      <c r="F599" s="1"/>
      <c r="G599" s="1"/>
    </row>
    <row r="600" spans="2:7" ht="15.75" customHeight="1">
      <c r="B600" s="1"/>
      <c r="D600" s="1"/>
      <c r="E600" s="1"/>
      <c r="F600" s="1"/>
      <c r="G600" s="1"/>
    </row>
    <row r="601" spans="2:7" ht="15.75" customHeight="1">
      <c r="B601" s="1"/>
      <c r="D601" s="1"/>
      <c r="E601" s="1"/>
      <c r="F601" s="1"/>
      <c r="G601" s="1"/>
    </row>
    <row r="602" spans="2:7" ht="15.75" customHeight="1">
      <c r="B602" s="1"/>
      <c r="D602" s="1"/>
      <c r="E602" s="1"/>
      <c r="F602" s="1"/>
      <c r="G602" s="1"/>
    </row>
    <row r="603" spans="2:7" ht="15.75" customHeight="1">
      <c r="B603" s="1"/>
      <c r="D603" s="1"/>
      <c r="E603" s="1"/>
      <c r="F603" s="1"/>
      <c r="G603" s="1"/>
    </row>
    <row r="604" spans="2:7" ht="15.75" customHeight="1">
      <c r="B604" s="1"/>
      <c r="D604" s="1"/>
      <c r="E604" s="1"/>
      <c r="F604" s="1"/>
      <c r="G604" s="1"/>
    </row>
    <row r="605" spans="2:7" ht="15.75" customHeight="1">
      <c r="B605" s="1"/>
      <c r="D605" s="1"/>
      <c r="E605" s="1"/>
      <c r="F605" s="1"/>
      <c r="G605" s="1"/>
    </row>
    <row r="606" spans="2:7" ht="15.75" customHeight="1">
      <c r="B606" s="1"/>
      <c r="D606" s="1"/>
      <c r="E606" s="1"/>
      <c r="F606" s="1"/>
      <c r="G606" s="1"/>
    </row>
    <row r="607" spans="2:7" ht="15.75" customHeight="1">
      <c r="B607" s="1"/>
      <c r="D607" s="1"/>
      <c r="E607" s="1"/>
      <c r="F607" s="1"/>
      <c r="G607" s="1"/>
    </row>
    <row r="608" spans="2:7" ht="15.75" customHeight="1">
      <c r="B608" s="1"/>
      <c r="D608" s="1"/>
      <c r="E608" s="1"/>
      <c r="F608" s="1"/>
      <c r="G608" s="1"/>
    </row>
    <row r="609" spans="2:7" ht="15.75" customHeight="1">
      <c r="B609" s="1"/>
      <c r="D609" s="1"/>
      <c r="E609" s="1"/>
      <c r="F609" s="1"/>
      <c r="G609" s="1"/>
    </row>
    <row r="610" spans="2:7" ht="15.75" customHeight="1">
      <c r="B610" s="1"/>
      <c r="D610" s="1"/>
      <c r="E610" s="1"/>
      <c r="F610" s="1"/>
      <c r="G610" s="1"/>
    </row>
    <row r="611" spans="2:7" ht="15.75" customHeight="1">
      <c r="B611" s="1"/>
      <c r="D611" s="1"/>
      <c r="E611" s="1"/>
      <c r="F611" s="1"/>
      <c r="G611" s="1"/>
    </row>
    <row r="612" spans="2:7" ht="15.75" customHeight="1">
      <c r="B612" s="1"/>
      <c r="D612" s="1"/>
      <c r="E612" s="1"/>
      <c r="F612" s="1"/>
      <c r="G612" s="1"/>
    </row>
    <row r="613" spans="2:7" ht="15.75" customHeight="1">
      <c r="B613" s="1"/>
      <c r="D613" s="1"/>
      <c r="E613" s="1"/>
      <c r="F613" s="1"/>
      <c r="G613" s="1"/>
    </row>
    <row r="614" spans="2:7" ht="15.75" customHeight="1">
      <c r="B614" s="1"/>
      <c r="D614" s="1"/>
      <c r="E614" s="1"/>
      <c r="F614" s="1"/>
      <c r="G614" s="1"/>
    </row>
    <row r="615" spans="2:7" ht="15.75" customHeight="1">
      <c r="B615" s="1"/>
      <c r="D615" s="1"/>
      <c r="E615" s="1"/>
      <c r="F615" s="1"/>
      <c r="G615" s="1"/>
    </row>
    <row r="616" spans="2:7" ht="15.75" customHeight="1">
      <c r="B616" s="1"/>
      <c r="D616" s="1"/>
      <c r="E616" s="1"/>
      <c r="F616" s="1"/>
      <c r="G616" s="1"/>
    </row>
    <row r="617" spans="2:7" ht="15.75" customHeight="1">
      <c r="B617" s="1"/>
      <c r="D617" s="1"/>
      <c r="E617" s="1"/>
      <c r="F617" s="1"/>
      <c r="G617" s="1"/>
    </row>
    <row r="618" spans="2:7" ht="15.75" customHeight="1">
      <c r="B618" s="1"/>
      <c r="D618" s="1"/>
      <c r="E618" s="1"/>
      <c r="F618" s="1"/>
      <c r="G618" s="1"/>
    </row>
    <row r="619" spans="2:7" ht="15.75" customHeight="1">
      <c r="B619" s="1"/>
      <c r="D619" s="1"/>
      <c r="E619" s="1"/>
      <c r="F619" s="1"/>
      <c r="G619" s="1"/>
    </row>
    <row r="620" spans="2:7" ht="15.75" customHeight="1">
      <c r="B620" s="1"/>
      <c r="D620" s="1"/>
      <c r="E620" s="1"/>
      <c r="F620" s="1"/>
      <c r="G620" s="1"/>
    </row>
    <row r="621" spans="2:7" ht="15.75" customHeight="1">
      <c r="B621" s="1"/>
      <c r="D621" s="1"/>
      <c r="E621" s="1"/>
      <c r="F621" s="1"/>
      <c r="G621" s="1"/>
    </row>
    <row r="622" spans="2:7" ht="15.75" customHeight="1">
      <c r="B622" s="1"/>
      <c r="D622" s="1"/>
      <c r="E622" s="1"/>
      <c r="F622" s="1"/>
      <c r="G622" s="1"/>
    </row>
    <row r="623" spans="2:7" ht="15.75" customHeight="1">
      <c r="B623" s="1"/>
      <c r="D623" s="1"/>
      <c r="E623" s="1"/>
      <c r="F623" s="1"/>
      <c r="G623" s="1"/>
    </row>
    <row r="624" spans="2:7" ht="15.75" customHeight="1">
      <c r="B624" s="1"/>
      <c r="D624" s="1"/>
      <c r="E624" s="1"/>
      <c r="F624" s="1"/>
      <c r="G624" s="1"/>
    </row>
    <row r="625" spans="2:7" ht="15.75" customHeight="1">
      <c r="B625" s="1"/>
      <c r="D625" s="1"/>
      <c r="E625" s="1"/>
      <c r="F625" s="1"/>
      <c r="G625" s="1"/>
    </row>
    <row r="626" spans="2:7" ht="15.75" customHeight="1">
      <c r="B626" s="1"/>
      <c r="D626" s="1"/>
      <c r="E626" s="1"/>
      <c r="F626" s="1"/>
      <c r="G626" s="1"/>
    </row>
    <row r="627" spans="2:7" ht="15.75" customHeight="1">
      <c r="B627" s="1"/>
      <c r="D627" s="1"/>
      <c r="E627" s="1"/>
      <c r="F627" s="1"/>
      <c r="G627" s="1"/>
    </row>
    <row r="628" spans="2:7" ht="15.75" customHeight="1">
      <c r="B628" s="1"/>
      <c r="D628" s="1"/>
      <c r="E628" s="1"/>
      <c r="F628" s="1"/>
      <c r="G628" s="1"/>
    </row>
    <row r="629" spans="2:7" ht="15.75" customHeight="1">
      <c r="B629" s="1"/>
      <c r="D629" s="1"/>
      <c r="E629" s="1"/>
      <c r="F629" s="1"/>
      <c r="G629" s="1"/>
    </row>
    <row r="630" spans="2:7" ht="15.75" customHeight="1">
      <c r="B630" s="1"/>
      <c r="D630" s="1"/>
      <c r="E630" s="1"/>
      <c r="F630" s="1"/>
      <c r="G630" s="1"/>
    </row>
    <row r="631" spans="2:7" ht="15.75" customHeight="1">
      <c r="B631" s="1"/>
      <c r="D631" s="1"/>
      <c r="E631" s="1"/>
      <c r="F631" s="1"/>
      <c r="G631" s="1"/>
    </row>
    <row r="632" spans="2:7" ht="15.75" customHeight="1">
      <c r="B632" s="1"/>
      <c r="D632" s="1"/>
      <c r="E632" s="1"/>
      <c r="F632" s="1"/>
      <c r="G632" s="1"/>
    </row>
    <row r="633" spans="2:7" ht="15.75" customHeight="1">
      <c r="B633" s="1"/>
      <c r="D633" s="1"/>
      <c r="E633" s="1"/>
      <c r="F633" s="1"/>
      <c r="G633" s="1"/>
    </row>
    <row r="634" spans="2:7" ht="15.75" customHeight="1">
      <c r="B634" s="1"/>
      <c r="D634" s="1"/>
      <c r="E634" s="1"/>
      <c r="F634" s="1"/>
      <c r="G634" s="1"/>
    </row>
    <row r="635" spans="2:7" ht="15.75" customHeight="1">
      <c r="B635" s="1"/>
      <c r="D635" s="1"/>
      <c r="E635" s="1"/>
      <c r="F635" s="1"/>
      <c r="G635" s="1"/>
    </row>
    <row r="636" spans="2:7" ht="15.75" customHeight="1">
      <c r="B636" s="1"/>
      <c r="D636" s="1"/>
      <c r="E636" s="1"/>
      <c r="F636" s="1"/>
      <c r="G636" s="1"/>
    </row>
    <row r="637" spans="2:7" ht="15.75" customHeight="1">
      <c r="B637" s="1"/>
      <c r="D637" s="1"/>
      <c r="E637" s="1"/>
      <c r="F637" s="1"/>
      <c r="G637" s="1"/>
    </row>
    <row r="638" spans="2:7" ht="15.75" customHeight="1">
      <c r="B638" s="1"/>
      <c r="D638" s="1"/>
      <c r="E638" s="1"/>
      <c r="F638" s="1"/>
      <c r="G638" s="1"/>
    </row>
    <row r="639" spans="2:7" ht="15.75" customHeight="1">
      <c r="B639" s="1"/>
      <c r="D639" s="1"/>
      <c r="E639" s="1"/>
      <c r="F639" s="1"/>
      <c r="G639" s="1"/>
    </row>
    <row r="640" spans="2:7" ht="15.75" customHeight="1">
      <c r="B640" s="1"/>
      <c r="D640" s="1"/>
      <c r="E640" s="1"/>
      <c r="F640" s="1"/>
      <c r="G640" s="1"/>
    </row>
    <row r="641" spans="2:7" ht="15.75" customHeight="1">
      <c r="B641" s="1"/>
      <c r="D641" s="1"/>
      <c r="E641" s="1"/>
      <c r="F641" s="1"/>
      <c r="G641" s="1"/>
    </row>
    <row r="642" spans="2:7" ht="15.75" customHeight="1">
      <c r="B642" s="1"/>
      <c r="D642" s="1"/>
      <c r="E642" s="1"/>
      <c r="F642" s="1"/>
      <c r="G642" s="1"/>
    </row>
    <row r="643" spans="2:7" ht="15.75" customHeight="1">
      <c r="B643" s="1"/>
      <c r="D643" s="1"/>
      <c r="E643" s="1"/>
      <c r="F643" s="1"/>
      <c r="G643" s="1"/>
    </row>
    <row r="644" spans="2:7" ht="15.75" customHeight="1">
      <c r="B644" s="1"/>
      <c r="D644" s="1"/>
      <c r="E644" s="1"/>
      <c r="F644" s="1"/>
      <c r="G644" s="1"/>
    </row>
    <row r="645" spans="2:7" ht="15.75" customHeight="1">
      <c r="B645" s="1"/>
      <c r="D645" s="1"/>
      <c r="E645" s="1"/>
      <c r="F645" s="1"/>
      <c r="G645" s="1"/>
    </row>
    <row r="646" spans="2:7" ht="15.75" customHeight="1">
      <c r="B646" s="1"/>
      <c r="D646" s="1"/>
      <c r="E646" s="1"/>
      <c r="F646" s="1"/>
      <c r="G646" s="1"/>
    </row>
    <row r="647" spans="2:7" ht="15.75" customHeight="1">
      <c r="B647" s="1"/>
      <c r="D647" s="1"/>
      <c r="E647" s="1"/>
      <c r="F647" s="1"/>
      <c r="G647" s="1"/>
    </row>
    <row r="648" spans="2:7" ht="15.75" customHeight="1">
      <c r="B648" s="1"/>
      <c r="D648" s="1"/>
      <c r="E648" s="1"/>
      <c r="F648" s="1"/>
      <c r="G648" s="1"/>
    </row>
    <row r="649" spans="2:7" ht="15.75" customHeight="1">
      <c r="B649" s="1"/>
      <c r="D649" s="1"/>
      <c r="E649" s="1"/>
      <c r="F649" s="1"/>
      <c r="G649" s="1"/>
    </row>
    <row r="650" spans="2:7" ht="15.75" customHeight="1">
      <c r="B650" s="1"/>
      <c r="D650" s="1"/>
      <c r="E650" s="1"/>
      <c r="F650" s="1"/>
      <c r="G650" s="1"/>
    </row>
    <row r="651" spans="2:7" ht="15.75" customHeight="1">
      <c r="B651" s="1"/>
      <c r="D651" s="1"/>
      <c r="E651" s="1"/>
      <c r="F651" s="1"/>
      <c r="G651" s="1"/>
    </row>
    <row r="652" spans="2:7" ht="15.75" customHeight="1">
      <c r="B652" s="1"/>
      <c r="D652" s="1"/>
      <c r="E652" s="1"/>
      <c r="F652" s="1"/>
      <c r="G652" s="1"/>
    </row>
    <row r="653" spans="2:7" ht="15.75" customHeight="1">
      <c r="B653" s="1"/>
      <c r="D653" s="1"/>
      <c r="E653" s="1"/>
      <c r="F653" s="1"/>
      <c r="G653" s="1"/>
    </row>
    <row r="654" spans="2:7" ht="15.75" customHeight="1">
      <c r="B654" s="1"/>
      <c r="D654" s="1"/>
      <c r="E654" s="1"/>
      <c r="F654" s="1"/>
      <c r="G654" s="1"/>
    </row>
    <row r="655" spans="2:7" ht="15.75" customHeight="1">
      <c r="B655" s="1"/>
      <c r="D655" s="1"/>
      <c r="E655" s="1"/>
      <c r="F655" s="1"/>
      <c r="G655" s="1"/>
    </row>
    <row r="656" spans="2:7" ht="15.75" customHeight="1">
      <c r="B656" s="1"/>
      <c r="D656" s="1"/>
      <c r="E656" s="1"/>
      <c r="F656" s="1"/>
      <c r="G656" s="1"/>
    </row>
    <row r="657" spans="2:7" ht="15.75" customHeight="1">
      <c r="B657" s="1"/>
      <c r="D657" s="1"/>
      <c r="E657" s="1"/>
      <c r="F657" s="1"/>
      <c r="G657" s="1"/>
    </row>
    <row r="658" spans="2:7" ht="15.75" customHeight="1">
      <c r="B658" s="1"/>
      <c r="D658" s="1"/>
      <c r="E658" s="1"/>
      <c r="F658" s="1"/>
      <c r="G658" s="1"/>
    </row>
    <row r="659" spans="2:7" ht="15.75" customHeight="1">
      <c r="B659" s="1"/>
      <c r="D659" s="1"/>
      <c r="E659" s="1"/>
      <c r="F659" s="1"/>
      <c r="G659" s="1"/>
    </row>
    <row r="660" spans="2:7" ht="15.75" customHeight="1">
      <c r="B660" s="1"/>
      <c r="D660" s="1"/>
      <c r="E660" s="1"/>
      <c r="F660" s="1"/>
      <c r="G660" s="1"/>
    </row>
    <row r="661" spans="2:7" ht="15.75" customHeight="1">
      <c r="B661" s="1"/>
      <c r="D661" s="1"/>
      <c r="E661" s="1"/>
      <c r="F661" s="1"/>
      <c r="G661" s="1"/>
    </row>
    <row r="662" spans="2:7" ht="15.75" customHeight="1">
      <c r="B662" s="1"/>
      <c r="D662" s="1"/>
      <c r="E662" s="1"/>
      <c r="F662" s="1"/>
      <c r="G662" s="1"/>
    </row>
    <row r="663" spans="2:7" ht="15.75" customHeight="1">
      <c r="B663" s="1"/>
      <c r="D663" s="1"/>
      <c r="E663" s="1"/>
      <c r="F663" s="1"/>
      <c r="G663" s="1"/>
    </row>
    <row r="664" spans="2:7" ht="15.75" customHeight="1">
      <c r="B664" s="1"/>
      <c r="D664" s="1"/>
      <c r="E664" s="1"/>
      <c r="F664" s="1"/>
      <c r="G664" s="1"/>
    </row>
    <row r="665" spans="2:7" ht="15.75" customHeight="1">
      <c r="B665" s="1"/>
      <c r="D665" s="1"/>
      <c r="E665" s="1"/>
      <c r="F665" s="1"/>
      <c r="G665" s="1"/>
    </row>
    <row r="666" spans="2:7" ht="15.75" customHeight="1">
      <c r="B666" s="1"/>
      <c r="D666" s="1"/>
      <c r="E666" s="1"/>
      <c r="F666" s="1"/>
      <c r="G666" s="1"/>
    </row>
    <row r="667" spans="2:7" ht="15.75" customHeight="1">
      <c r="B667" s="1"/>
      <c r="D667" s="1"/>
      <c r="E667" s="1"/>
      <c r="F667" s="1"/>
      <c r="G667" s="1"/>
    </row>
    <row r="668" spans="2:7" ht="15.75" customHeight="1">
      <c r="B668" s="1"/>
      <c r="D668" s="1"/>
      <c r="E668" s="1"/>
      <c r="F668" s="1"/>
      <c r="G668" s="1"/>
    </row>
    <row r="669" spans="2:7" ht="15.75" customHeight="1">
      <c r="B669" s="1"/>
      <c r="D669" s="1"/>
      <c r="E669" s="1"/>
      <c r="F669" s="1"/>
      <c r="G669" s="1"/>
    </row>
    <row r="670" spans="2:7" ht="15.75" customHeight="1">
      <c r="B670" s="1"/>
      <c r="D670" s="1"/>
      <c r="E670" s="1"/>
      <c r="F670" s="1"/>
      <c r="G670" s="1"/>
    </row>
    <row r="671" spans="2:7" ht="15.75" customHeight="1">
      <c r="B671" s="1"/>
      <c r="D671" s="1"/>
      <c r="E671" s="1"/>
      <c r="F671" s="1"/>
      <c r="G671" s="1"/>
    </row>
    <row r="672" spans="2:7" ht="15.75" customHeight="1">
      <c r="B672" s="1"/>
      <c r="D672" s="1"/>
      <c r="E672" s="1"/>
      <c r="F672" s="1"/>
      <c r="G672" s="1"/>
    </row>
    <row r="673" spans="2:7" ht="15.75" customHeight="1">
      <c r="B673" s="1"/>
      <c r="D673" s="1"/>
      <c r="E673" s="1"/>
      <c r="F673" s="1"/>
      <c r="G673" s="1"/>
    </row>
    <row r="674" spans="2:7" ht="15.75" customHeight="1">
      <c r="B674" s="1"/>
      <c r="D674" s="1"/>
      <c r="E674" s="1"/>
      <c r="F674" s="1"/>
      <c r="G674" s="1"/>
    </row>
    <row r="675" spans="2:7" ht="15.75" customHeight="1">
      <c r="B675" s="1"/>
      <c r="D675" s="1"/>
      <c r="E675" s="1"/>
      <c r="F675" s="1"/>
      <c r="G675" s="1"/>
    </row>
    <row r="676" spans="2:7" ht="15.75" customHeight="1">
      <c r="B676" s="1"/>
      <c r="D676" s="1"/>
      <c r="E676" s="1"/>
      <c r="F676" s="1"/>
      <c r="G676" s="1"/>
    </row>
    <row r="677" spans="2:7" ht="15.75" customHeight="1">
      <c r="B677" s="1"/>
      <c r="D677" s="1"/>
      <c r="E677" s="1"/>
      <c r="F677" s="1"/>
      <c r="G677" s="1"/>
    </row>
    <row r="678" spans="2:7" ht="15.75" customHeight="1">
      <c r="B678" s="1"/>
      <c r="D678" s="1"/>
      <c r="E678" s="1"/>
      <c r="F678" s="1"/>
      <c r="G678" s="1"/>
    </row>
    <row r="679" spans="2:7" ht="15.75" customHeight="1">
      <c r="B679" s="1"/>
      <c r="D679" s="1"/>
      <c r="E679" s="1"/>
      <c r="F679" s="1"/>
      <c r="G679" s="1"/>
    </row>
    <row r="680" spans="2:7" ht="15.75" customHeight="1">
      <c r="B680" s="1"/>
      <c r="D680" s="1"/>
      <c r="E680" s="1"/>
      <c r="F680" s="1"/>
      <c r="G680" s="1"/>
    </row>
    <row r="681" spans="2:7" ht="15.75" customHeight="1">
      <c r="B681" s="1"/>
      <c r="D681" s="1"/>
      <c r="E681" s="1"/>
      <c r="F681" s="1"/>
      <c r="G681" s="1"/>
    </row>
    <row r="682" spans="2:7" ht="15.75" customHeight="1">
      <c r="B682" s="1"/>
      <c r="D682" s="1"/>
      <c r="E682" s="1"/>
      <c r="F682" s="1"/>
      <c r="G682" s="1"/>
    </row>
    <row r="683" spans="2:7" ht="15.75" customHeight="1">
      <c r="B683" s="1"/>
      <c r="D683" s="1"/>
      <c r="E683" s="1"/>
      <c r="F683" s="1"/>
      <c r="G683" s="1"/>
    </row>
    <row r="684" spans="2:7" ht="15.75" customHeight="1">
      <c r="B684" s="1"/>
      <c r="D684" s="1"/>
      <c r="E684" s="1"/>
      <c r="F684" s="1"/>
      <c r="G684" s="1"/>
    </row>
    <row r="685" spans="2:7" ht="15.75" customHeight="1">
      <c r="B685" s="1"/>
      <c r="D685" s="1"/>
      <c r="E685" s="1"/>
      <c r="F685" s="1"/>
      <c r="G685" s="1"/>
    </row>
    <row r="686" spans="2:7" ht="15.75" customHeight="1">
      <c r="B686" s="1"/>
      <c r="D686" s="1"/>
      <c r="E686" s="1"/>
      <c r="F686" s="1"/>
      <c r="G686" s="1"/>
    </row>
    <row r="687" spans="2:7" ht="15.75" customHeight="1">
      <c r="B687" s="1"/>
      <c r="D687" s="1"/>
      <c r="E687" s="1"/>
      <c r="F687" s="1"/>
      <c r="G687" s="1"/>
    </row>
    <row r="688" spans="2:7" ht="15.75" customHeight="1">
      <c r="B688" s="1"/>
      <c r="D688" s="1"/>
      <c r="E688" s="1"/>
      <c r="F688" s="1"/>
      <c r="G688" s="1"/>
    </row>
    <row r="689" spans="2:7" ht="15.75" customHeight="1">
      <c r="B689" s="1"/>
      <c r="D689" s="1"/>
      <c r="E689" s="1"/>
      <c r="F689" s="1"/>
      <c r="G689" s="1"/>
    </row>
    <row r="690" spans="2:7" ht="15.75" customHeight="1">
      <c r="B690" s="1"/>
      <c r="D690" s="1"/>
      <c r="E690" s="1"/>
      <c r="F690" s="1"/>
      <c r="G690" s="1"/>
    </row>
    <row r="691" spans="2:7" ht="15.75" customHeight="1">
      <c r="B691" s="1"/>
      <c r="D691" s="1"/>
      <c r="E691" s="1"/>
      <c r="F691" s="1"/>
      <c r="G691" s="1"/>
    </row>
    <row r="692" spans="2:7" ht="15.75" customHeight="1">
      <c r="B692" s="1"/>
      <c r="D692" s="1"/>
      <c r="E692" s="1"/>
      <c r="F692" s="1"/>
      <c r="G692" s="1"/>
    </row>
    <row r="693" spans="2:7" ht="15.75" customHeight="1">
      <c r="B693" s="1"/>
      <c r="D693" s="1"/>
      <c r="E693" s="1"/>
      <c r="F693" s="1"/>
      <c r="G693" s="1"/>
    </row>
    <row r="694" spans="2:7" ht="15.75" customHeight="1">
      <c r="B694" s="1"/>
      <c r="D694" s="1"/>
      <c r="E694" s="1"/>
      <c r="F694" s="1"/>
      <c r="G694" s="1"/>
    </row>
    <row r="695" spans="2:7" ht="15.75" customHeight="1">
      <c r="B695" s="1"/>
      <c r="D695" s="1"/>
      <c r="E695" s="1"/>
      <c r="F695" s="1"/>
      <c r="G695" s="1"/>
    </row>
    <row r="696" spans="2:7" ht="15.75" customHeight="1">
      <c r="B696" s="1"/>
      <c r="D696" s="1"/>
      <c r="E696" s="1"/>
      <c r="F696" s="1"/>
      <c r="G696" s="1"/>
    </row>
    <row r="697" spans="2:7" ht="15.75" customHeight="1">
      <c r="B697" s="1"/>
      <c r="D697" s="1"/>
      <c r="E697" s="1"/>
      <c r="F697" s="1"/>
      <c r="G697" s="1"/>
    </row>
    <row r="698" spans="2:7" ht="15.75" customHeight="1">
      <c r="B698" s="1"/>
      <c r="D698" s="1"/>
      <c r="E698" s="1"/>
      <c r="F698" s="1"/>
      <c r="G698" s="1"/>
    </row>
    <row r="699" spans="2:7" ht="15.75" customHeight="1">
      <c r="B699" s="1"/>
      <c r="D699" s="1"/>
      <c r="E699" s="1"/>
      <c r="F699" s="1"/>
      <c r="G699" s="1"/>
    </row>
    <row r="700" spans="2:7" ht="15.75" customHeight="1">
      <c r="B700" s="1"/>
      <c r="D700" s="1"/>
      <c r="E700" s="1"/>
      <c r="F700" s="1"/>
      <c r="G700" s="1"/>
    </row>
    <row r="701" spans="2:7" ht="15.75" customHeight="1">
      <c r="B701" s="1"/>
      <c r="D701" s="1"/>
      <c r="E701" s="1"/>
      <c r="F701" s="1"/>
      <c r="G701" s="1"/>
    </row>
    <row r="702" spans="2:7" ht="15.75" customHeight="1">
      <c r="B702" s="1"/>
      <c r="D702" s="1"/>
      <c r="E702" s="1"/>
      <c r="F702" s="1"/>
      <c r="G702" s="1"/>
    </row>
    <row r="703" spans="2:7" ht="15.75" customHeight="1">
      <c r="B703" s="1"/>
      <c r="D703" s="1"/>
      <c r="E703" s="1"/>
      <c r="F703" s="1"/>
      <c r="G703" s="1"/>
    </row>
    <row r="704" spans="2:7" ht="15.75" customHeight="1">
      <c r="B704" s="1"/>
      <c r="D704" s="1"/>
      <c r="E704" s="1"/>
      <c r="F704" s="1"/>
      <c r="G704" s="1"/>
    </row>
    <row r="705" spans="2:7" ht="15.75" customHeight="1">
      <c r="B705" s="1"/>
      <c r="D705" s="1"/>
      <c r="E705" s="1"/>
      <c r="F705" s="1"/>
      <c r="G705" s="1"/>
    </row>
    <row r="706" spans="2:7" ht="15.75" customHeight="1">
      <c r="B706" s="1"/>
      <c r="D706" s="1"/>
      <c r="E706" s="1"/>
      <c r="F706" s="1"/>
      <c r="G706" s="1"/>
    </row>
    <row r="707" spans="2:7" ht="15.75" customHeight="1">
      <c r="B707" s="1"/>
      <c r="D707" s="1"/>
      <c r="E707" s="1"/>
      <c r="F707" s="1"/>
      <c r="G707" s="1"/>
    </row>
    <row r="708" spans="2:7" ht="15.75" customHeight="1">
      <c r="B708" s="1"/>
      <c r="D708" s="1"/>
      <c r="E708" s="1"/>
      <c r="F708" s="1"/>
      <c r="G708" s="1"/>
    </row>
    <row r="709" spans="2:7" ht="15.75" customHeight="1">
      <c r="B709" s="1"/>
      <c r="D709" s="1"/>
      <c r="E709" s="1"/>
      <c r="F709" s="1"/>
      <c r="G709" s="1"/>
    </row>
    <row r="710" spans="2:7" ht="15.75" customHeight="1">
      <c r="B710" s="1"/>
      <c r="D710" s="1"/>
      <c r="E710" s="1"/>
      <c r="F710" s="1"/>
      <c r="G710" s="1"/>
    </row>
    <row r="711" spans="2:7" ht="15.75" customHeight="1">
      <c r="B711" s="1"/>
      <c r="D711" s="1"/>
      <c r="E711" s="1"/>
      <c r="F711" s="1"/>
      <c r="G711" s="1"/>
    </row>
    <row r="712" spans="2:7" ht="15.75" customHeight="1">
      <c r="B712" s="1"/>
      <c r="D712" s="1"/>
      <c r="E712" s="1"/>
      <c r="F712" s="1"/>
      <c r="G712" s="1"/>
    </row>
    <row r="713" spans="2:7" ht="15.75" customHeight="1">
      <c r="B713" s="1"/>
      <c r="D713" s="1"/>
      <c r="E713" s="1"/>
      <c r="F713" s="1"/>
      <c r="G713" s="1"/>
    </row>
    <row r="714" spans="2:7" ht="15.75" customHeight="1">
      <c r="B714" s="1"/>
      <c r="D714" s="1"/>
      <c r="E714" s="1"/>
      <c r="F714" s="1"/>
      <c r="G714" s="1"/>
    </row>
    <row r="715" spans="2:7" ht="15.75" customHeight="1">
      <c r="B715" s="1"/>
      <c r="D715" s="1"/>
      <c r="E715" s="1"/>
      <c r="F715" s="1"/>
      <c r="G715" s="1"/>
    </row>
    <row r="716" spans="2:7" ht="15.75" customHeight="1">
      <c r="B716" s="1"/>
      <c r="D716" s="1"/>
      <c r="E716" s="1"/>
      <c r="F716" s="1"/>
      <c r="G716" s="1"/>
    </row>
    <row r="717" spans="2:7" ht="15.75" customHeight="1">
      <c r="B717" s="1"/>
      <c r="D717" s="1"/>
      <c r="E717" s="1"/>
      <c r="F717" s="1"/>
      <c r="G717" s="1"/>
    </row>
    <row r="718" spans="2:7" ht="15.75" customHeight="1">
      <c r="B718" s="1"/>
      <c r="D718" s="1"/>
      <c r="E718" s="1"/>
      <c r="F718" s="1"/>
      <c r="G718" s="1"/>
    </row>
    <row r="719" spans="2:7" ht="15.75" customHeight="1">
      <c r="B719" s="1"/>
      <c r="D719" s="1"/>
      <c r="E719" s="1"/>
      <c r="F719" s="1"/>
      <c r="G719" s="1"/>
    </row>
    <row r="720" spans="2:7" ht="15.75" customHeight="1">
      <c r="B720" s="1"/>
      <c r="D720" s="1"/>
      <c r="E720" s="1"/>
      <c r="F720" s="1"/>
      <c r="G720" s="1"/>
    </row>
    <row r="721" spans="2:7" ht="15.75" customHeight="1">
      <c r="B721" s="1"/>
      <c r="D721" s="1"/>
      <c r="E721" s="1"/>
      <c r="F721" s="1"/>
      <c r="G721" s="1"/>
    </row>
    <row r="722" spans="2:7" ht="15.75" customHeight="1">
      <c r="B722" s="1"/>
      <c r="D722" s="1"/>
      <c r="E722" s="1"/>
      <c r="F722" s="1"/>
      <c r="G722" s="1"/>
    </row>
    <row r="723" spans="2:7" ht="15.75" customHeight="1">
      <c r="B723" s="1"/>
      <c r="D723" s="1"/>
      <c r="E723" s="1"/>
      <c r="F723" s="1"/>
      <c r="G723" s="1"/>
    </row>
    <row r="724" spans="2:7" ht="15.75" customHeight="1">
      <c r="B724" s="1"/>
      <c r="D724" s="1"/>
      <c r="E724" s="1"/>
      <c r="F724" s="1"/>
      <c r="G724" s="1"/>
    </row>
    <row r="725" spans="2:7" ht="15.75" customHeight="1">
      <c r="B725" s="1"/>
      <c r="D725" s="1"/>
      <c r="E725" s="1"/>
      <c r="F725" s="1"/>
      <c r="G725" s="1"/>
    </row>
    <row r="726" spans="2:7" ht="15.75" customHeight="1">
      <c r="B726" s="1"/>
      <c r="D726" s="1"/>
      <c r="E726" s="1"/>
      <c r="F726" s="1"/>
      <c r="G726" s="1"/>
    </row>
    <row r="727" spans="2:7" ht="15.75" customHeight="1">
      <c r="B727" s="1"/>
      <c r="D727" s="1"/>
      <c r="E727" s="1"/>
      <c r="F727" s="1"/>
      <c r="G727" s="1"/>
    </row>
    <row r="728" spans="2:7" ht="15.75" customHeight="1">
      <c r="B728" s="1"/>
      <c r="D728" s="1"/>
      <c r="E728" s="1"/>
      <c r="F728" s="1"/>
      <c r="G728" s="1"/>
    </row>
    <row r="729" spans="2:7" ht="15.75" customHeight="1">
      <c r="B729" s="1"/>
      <c r="D729" s="1"/>
      <c r="E729" s="1"/>
      <c r="F729" s="1"/>
      <c r="G729" s="1"/>
    </row>
    <row r="730" spans="2:7" ht="15.75" customHeight="1">
      <c r="B730" s="1"/>
      <c r="D730" s="1"/>
      <c r="E730" s="1"/>
      <c r="F730" s="1"/>
      <c r="G730" s="1"/>
    </row>
    <row r="731" spans="2:7" ht="15.75" customHeight="1">
      <c r="B731" s="1"/>
      <c r="D731" s="1"/>
      <c r="E731" s="1"/>
      <c r="F731" s="1"/>
      <c r="G731" s="1"/>
    </row>
    <row r="732" spans="2:7" ht="15.75" customHeight="1">
      <c r="B732" s="1"/>
      <c r="D732" s="1"/>
      <c r="E732" s="1"/>
      <c r="F732" s="1"/>
      <c r="G732" s="1"/>
    </row>
    <row r="733" spans="2:7" ht="15.75" customHeight="1">
      <c r="B733" s="1"/>
      <c r="D733" s="1"/>
      <c r="E733" s="1"/>
      <c r="F733" s="1"/>
      <c r="G733" s="1"/>
    </row>
    <row r="734" spans="2:7" ht="15.75" customHeight="1">
      <c r="B734" s="1"/>
      <c r="D734" s="1"/>
      <c r="E734" s="1"/>
      <c r="F734" s="1"/>
      <c r="G734" s="1"/>
    </row>
    <row r="735" spans="2:7" ht="15.75" customHeight="1">
      <c r="B735" s="1"/>
      <c r="D735" s="1"/>
      <c r="E735" s="1"/>
      <c r="F735" s="1"/>
      <c r="G735" s="1"/>
    </row>
    <row r="736" spans="2:7" ht="15.75" customHeight="1">
      <c r="B736" s="1"/>
      <c r="D736" s="1"/>
      <c r="E736" s="1"/>
      <c r="F736" s="1"/>
      <c r="G736" s="1"/>
    </row>
    <row r="737" spans="2:7" ht="15.75" customHeight="1">
      <c r="B737" s="1"/>
      <c r="D737" s="1"/>
      <c r="E737" s="1"/>
      <c r="F737" s="1"/>
      <c r="G737" s="1"/>
    </row>
    <row r="738" spans="2:7" ht="15.75" customHeight="1">
      <c r="B738" s="1"/>
      <c r="D738" s="1"/>
      <c r="E738" s="1"/>
      <c r="F738" s="1"/>
      <c r="G738" s="1"/>
    </row>
    <row r="739" spans="2:7" ht="15.75" customHeight="1">
      <c r="B739" s="1"/>
      <c r="D739" s="1"/>
      <c r="E739" s="1"/>
      <c r="F739" s="1"/>
      <c r="G739" s="1"/>
    </row>
    <row r="740" spans="2:7" ht="15.75" customHeight="1">
      <c r="B740" s="1"/>
      <c r="D740" s="1"/>
      <c r="E740" s="1"/>
      <c r="F740" s="1"/>
      <c r="G740" s="1"/>
    </row>
    <row r="741" spans="2:7" ht="15.75" customHeight="1">
      <c r="B741" s="1"/>
      <c r="D741" s="1"/>
      <c r="E741" s="1"/>
      <c r="F741" s="1"/>
      <c r="G741" s="1"/>
    </row>
    <row r="742" spans="2:7" ht="15.75" customHeight="1">
      <c r="B742" s="1"/>
      <c r="D742" s="1"/>
      <c r="E742" s="1"/>
      <c r="F742" s="1"/>
      <c r="G742" s="1"/>
    </row>
    <row r="743" spans="2:7" ht="15.75" customHeight="1">
      <c r="B743" s="1"/>
      <c r="D743" s="1"/>
      <c r="E743" s="1"/>
      <c r="F743" s="1"/>
      <c r="G743" s="1"/>
    </row>
    <row r="744" spans="2:7" ht="15.75" customHeight="1">
      <c r="B744" s="1"/>
      <c r="D744" s="1"/>
      <c r="E744" s="1"/>
      <c r="F744" s="1"/>
      <c r="G744" s="1"/>
    </row>
    <row r="745" spans="2:7" ht="15.75" customHeight="1">
      <c r="B745" s="1"/>
      <c r="D745" s="1"/>
      <c r="E745" s="1"/>
      <c r="F745" s="1"/>
      <c r="G745" s="1"/>
    </row>
    <row r="746" spans="2:7" ht="15.75" customHeight="1">
      <c r="B746" s="1"/>
      <c r="D746" s="1"/>
      <c r="E746" s="1"/>
      <c r="F746" s="1"/>
      <c r="G746" s="1"/>
    </row>
    <row r="747" spans="2:7" ht="15.75" customHeight="1">
      <c r="B747" s="1"/>
      <c r="D747" s="1"/>
      <c r="E747" s="1"/>
      <c r="F747" s="1"/>
      <c r="G747" s="1"/>
    </row>
    <row r="748" spans="2:7" ht="15.75" customHeight="1">
      <c r="B748" s="1"/>
      <c r="D748" s="1"/>
      <c r="E748" s="1"/>
      <c r="F748" s="1"/>
      <c r="G748" s="1"/>
    </row>
    <row r="749" spans="2:7" ht="15.75" customHeight="1">
      <c r="B749" s="1"/>
      <c r="D749" s="1"/>
      <c r="E749" s="1"/>
      <c r="F749" s="1"/>
      <c r="G749" s="1"/>
    </row>
    <row r="750" spans="2:7" ht="15.75" customHeight="1">
      <c r="B750" s="1"/>
      <c r="D750" s="1"/>
      <c r="E750" s="1"/>
      <c r="F750" s="1"/>
      <c r="G750" s="1"/>
    </row>
    <row r="751" spans="2:7" ht="15.75" customHeight="1">
      <c r="B751" s="1"/>
      <c r="D751" s="1"/>
      <c r="E751" s="1"/>
      <c r="F751" s="1"/>
      <c r="G751" s="1"/>
    </row>
    <row r="752" spans="2:7" ht="15.75" customHeight="1">
      <c r="B752" s="1"/>
      <c r="D752" s="1"/>
      <c r="E752" s="1"/>
      <c r="F752" s="1"/>
      <c r="G752" s="1"/>
    </row>
    <row r="753" spans="2:7" ht="15.75" customHeight="1">
      <c r="B753" s="1"/>
      <c r="D753" s="1"/>
      <c r="E753" s="1"/>
      <c r="F753" s="1"/>
      <c r="G753" s="1"/>
    </row>
    <row r="754" spans="2:7" ht="15.75" customHeight="1">
      <c r="B754" s="1"/>
      <c r="D754" s="1"/>
      <c r="E754" s="1"/>
      <c r="F754" s="1"/>
      <c r="G754" s="1"/>
    </row>
    <row r="755" spans="2:7" ht="15.75" customHeight="1">
      <c r="B755" s="1"/>
      <c r="D755" s="1"/>
      <c r="E755" s="1"/>
      <c r="F755" s="1"/>
      <c r="G755" s="1"/>
    </row>
    <row r="756" spans="2:7" ht="15.75" customHeight="1">
      <c r="B756" s="1"/>
      <c r="D756" s="1"/>
      <c r="E756" s="1"/>
      <c r="F756" s="1"/>
      <c r="G756" s="1"/>
    </row>
    <row r="757" spans="2:7" ht="15.75" customHeight="1">
      <c r="B757" s="1"/>
      <c r="D757" s="1"/>
      <c r="E757" s="1"/>
      <c r="F757" s="1"/>
      <c r="G757" s="1"/>
    </row>
    <row r="758" spans="2:7" ht="15.75" customHeight="1">
      <c r="B758" s="1"/>
      <c r="D758" s="1"/>
      <c r="E758" s="1"/>
      <c r="F758" s="1"/>
      <c r="G758" s="1"/>
    </row>
    <row r="759" spans="2:7" ht="15.75" customHeight="1">
      <c r="B759" s="1"/>
      <c r="D759" s="1"/>
      <c r="E759" s="1"/>
      <c r="F759" s="1"/>
      <c r="G759" s="1"/>
    </row>
    <row r="760" spans="2:7" ht="15.75" customHeight="1">
      <c r="B760" s="1"/>
      <c r="D760" s="1"/>
      <c r="E760" s="1"/>
      <c r="F760" s="1"/>
      <c r="G760" s="1"/>
    </row>
    <row r="761" spans="2:7" ht="15.75" customHeight="1">
      <c r="B761" s="1"/>
      <c r="D761" s="1"/>
      <c r="E761" s="1"/>
      <c r="F761" s="1"/>
      <c r="G761" s="1"/>
    </row>
    <row r="762" spans="2:7" ht="15.75" customHeight="1">
      <c r="B762" s="1"/>
      <c r="D762" s="1"/>
      <c r="E762" s="1"/>
      <c r="F762" s="1"/>
      <c r="G762" s="1"/>
    </row>
    <row r="763" spans="2:7" ht="15.75" customHeight="1">
      <c r="B763" s="1"/>
      <c r="D763" s="1"/>
      <c r="E763" s="1"/>
      <c r="F763" s="1"/>
      <c r="G763" s="1"/>
    </row>
    <row r="764" spans="2:7" ht="15.75" customHeight="1">
      <c r="B764" s="1"/>
      <c r="D764" s="1"/>
      <c r="E764" s="1"/>
      <c r="F764" s="1"/>
      <c r="G764" s="1"/>
    </row>
    <row r="765" spans="2:7" ht="15.75" customHeight="1">
      <c r="B765" s="1"/>
      <c r="D765" s="1"/>
      <c r="E765" s="1"/>
      <c r="F765" s="1"/>
      <c r="G765" s="1"/>
    </row>
    <row r="766" spans="2:7" ht="15.75" customHeight="1">
      <c r="B766" s="1"/>
      <c r="D766" s="1"/>
      <c r="E766" s="1"/>
      <c r="F766" s="1"/>
      <c r="G766" s="1"/>
    </row>
    <row r="767" spans="2:7" ht="15.75" customHeight="1">
      <c r="B767" s="1"/>
      <c r="D767" s="1"/>
      <c r="E767" s="1"/>
      <c r="F767" s="1"/>
      <c r="G767" s="1"/>
    </row>
    <row r="768" spans="2:7" ht="15.75" customHeight="1">
      <c r="B768" s="1"/>
      <c r="D768" s="1"/>
      <c r="E768" s="1"/>
      <c r="F768" s="1"/>
      <c r="G768" s="1"/>
    </row>
    <row r="769" spans="2:7" ht="15.75" customHeight="1">
      <c r="B769" s="1"/>
      <c r="D769" s="1"/>
      <c r="E769" s="1"/>
      <c r="F769" s="1"/>
      <c r="G769" s="1"/>
    </row>
    <row r="770" spans="2:7" ht="15.75" customHeight="1">
      <c r="B770" s="1"/>
      <c r="D770" s="1"/>
      <c r="E770" s="1"/>
      <c r="F770" s="1"/>
      <c r="G770" s="1"/>
    </row>
    <row r="771" spans="2:7" ht="15.75" customHeight="1">
      <c r="B771" s="1"/>
      <c r="D771" s="1"/>
      <c r="E771" s="1"/>
      <c r="F771" s="1"/>
      <c r="G771" s="1"/>
    </row>
    <row r="772" spans="2:7" ht="15.75" customHeight="1">
      <c r="B772" s="1"/>
      <c r="D772" s="1"/>
      <c r="E772" s="1"/>
      <c r="F772" s="1"/>
      <c r="G772" s="1"/>
    </row>
    <row r="773" spans="2:7" ht="15.75" customHeight="1">
      <c r="B773" s="1"/>
      <c r="D773" s="1"/>
      <c r="E773" s="1"/>
      <c r="F773" s="1"/>
      <c r="G773" s="1"/>
    </row>
    <row r="774" spans="2:7" ht="15.75" customHeight="1">
      <c r="B774" s="1"/>
      <c r="D774" s="1"/>
      <c r="E774" s="1"/>
      <c r="F774" s="1"/>
      <c r="G774" s="1"/>
    </row>
    <row r="775" spans="2:7" ht="15.75" customHeight="1">
      <c r="B775" s="1"/>
      <c r="D775" s="1"/>
      <c r="E775" s="1"/>
      <c r="F775" s="1"/>
      <c r="G775" s="1"/>
    </row>
    <row r="776" spans="2:7" ht="15.75" customHeight="1">
      <c r="B776" s="1"/>
      <c r="D776" s="1"/>
      <c r="E776" s="1"/>
      <c r="F776" s="1"/>
      <c r="G776" s="1"/>
    </row>
    <row r="777" spans="2:7" ht="15.75" customHeight="1">
      <c r="B777" s="1"/>
      <c r="D777" s="1"/>
      <c r="E777" s="1"/>
      <c r="F777" s="1"/>
      <c r="G777" s="1"/>
    </row>
    <row r="778" spans="2:7" ht="15.75" customHeight="1">
      <c r="B778" s="1"/>
      <c r="D778" s="1"/>
      <c r="E778" s="1"/>
      <c r="F778" s="1"/>
      <c r="G778" s="1"/>
    </row>
    <row r="779" spans="2:7" ht="15.75" customHeight="1">
      <c r="B779" s="1"/>
      <c r="D779" s="1"/>
      <c r="E779" s="1"/>
      <c r="F779" s="1"/>
      <c r="G779" s="1"/>
    </row>
    <row r="780" spans="2:7" ht="15.75" customHeight="1">
      <c r="B780" s="1"/>
      <c r="D780" s="1"/>
      <c r="E780" s="1"/>
      <c r="F780" s="1"/>
      <c r="G780" s="1"/>
    </row>
    <row r="781" spans="2:7" ht="15.75" customHeight="1">
      <c r="B781" s="1"/>
      <c r="D781" s="1"/>
      <c r="E781" s="1"/>
      <c r="F781" s="1"/>
      <c r="G781" s="1"/>
    </row>
    <row r="782" spans="2:7" ht="15.75" customHeight="1">
      <c r="B782" s="1"/>
      <c r="D782" s="1"/>
      <c r="E782" s="1"/>
      <c r="F782" s="1"/>
      <c r="G782" s="1"/>
    </row>
    <row r="783" spans="2:7" ht="15.75" customHeight="1">
      <c r="B783" s="1"/>
      <c r="D783" s="1"/>
      <c r="E783" s="1"/>
      <c r="F783" s="1"/>
      <c r="G783" s="1"/>
    </row>
    <row r="784" spans="2:7" ht="15.75" customHeight="1">
      <c r="B784" s="1"/>
      <c r="D784" s="1"/>
      <c r="E784" s="1"/>
      <c r="F784" s="1"/>
      <c r="G784" s="1"/>
    </row>
    <row r="785" spans="2:7" ht="15.75" customHeight="1">
      <c r="B785" s="1"/>
      <c r="D785" s="1"/>
      <c r="E785" s="1"/>
      <c r="F785" s="1"/>
      <c r="G785" s="1"/>
    </row>
    <row r="786" spans="2:7" ht="15.75" customHeight="1">
      <c r="B786" s="1"/>
      <c r="D786" s="1"/>
      <c r="E786" s="1"/>
      <c r="F786" s="1"/>
      <c r="G786" s="1"/>
    </row>
    <row r="787" spans="2:7" ht="15.75" customHeight="1">
      <c r="B787" s="1"/>
      <c r="D787" s="1"/>
      <c r="E787" s="1"/>
      <c r="F787" s="1"/>
      <c r="G787" s="1"/>
    </row>
    <row r="788" spans="2:7" ht="15.75" customHeight="1">
      <c r="B788" s="1"/>
      <c r="D788" s="1"/>
      <c r="E788" s="1"/>
      <c r="F788" s="1"/>
      <c r="G788" s="1"/>
    </row>
    <row r="789" spans="2:7" ht="15.75" customHeight="1">
      <c r="B789" s="1"/>
      <c r="D789" s="1"/>
      <c r="E789" s="1"/>
      <c r="F789" s="1"/>
      <c r="G789" s="1"/>
    </row>
    <row r="790" spans="2:7" ht="15.75" customHeight="1">
      <c r="B790" s="1"/>
      <c r="D790" s="1"/>
      <c r="E790" s="1"/>
      <c r="F790" s="1"/>
      <c r="G790" s="1"/>
    </row>
    <row r="791" spans="2:7" ht="15.75" customHeight="1">
      <c r="B791" s="1"/>
      <c r="D791" s="1"/>
      <c r="E791" s="1"/>
      <c r="F791" s="1"/>
      <c r="G791" s="1"/>
    </row>
    <row r="792" spans="2:7" ht="15.75" customHeight="1">
      <c r="B792" s="1"/>
      <c r="D792" s="1"/>
      <c r="E792" s="1"/>
      <c r="F792" s="1"/>
      <c r="G792" s="1"/>
    </row>
    <row r="793" spans="2:7" ht="15.75" customHeight="1">
      <c r="B793" s="1"/>
      <c r="D793" s="1"/>
      <c r="E793" s="1"/>
      <c r="F793" s="1"/>
      <c r="G793" s="1"/>
    </row>
    <row r="794" spans="2:7" ht="15.75" customHeight="1">
      <c r="B794" s="1"/>
      <c r="D794" s="1"/>
      <c r="E794" s="1"/>
      <c r="F794" s="1"/>
      <c r="G794" s="1"/>
    </row>
    <row r="795" spans="2:7" ht="15.75" customHeight="1">
      <c r="B795" s="1"/>
      <c r="D795" s="1"/>
      <c r="E795" s="1"/>
      <c r="F795" s="1"/>
      <c r="G795" s="1"/>
    </row>
    <row r="796" spans="2:7" ht="15.75" customHeight="1">
      <c r="B796" s="1"/>
      <c r="D796" s="1"/>
      <c r="E796" s="1"/>
      <c r="F796" s="1"/>
      <c r="G796" s="1"/>
    </row>
    <row r="797" spans="2:7" ht="15.75" customHeight="1">
      <c r="B797" s="1"/>
      <c r="D797" s="1"/>
      <c r="E797" s="1"/>
      <c r="F797" s="1"/>
      <c r="G797" s="1"/>
    </row>
    <row r="798" spans="2:7" ht="15.75" customHeight="1">
      <c r="B798" s="1"/>
      <c r="D798" s="1"/>
      <c r="E798" s="1"/>
      <c r="F798" s="1"/>
      <c r="G798" s="1"/>
    </row>
    <row r="799" spans="2:7" ht="15.75" customHeight="1">
      <c r="B799" s="1"/>
      <c r="D799" s="1"/>
      <c r="E799" s="1"/>
      <c r="F799" s="1"/>
      <c r="G799" s="1"/>
    </row>
    <row r="800" spans="2:7" ht="15.75" customHeight="1">
      <c r="B800" s="1"/>
      <c r="D800" s="1"/>
      <c r="E800" s="1"/>
      <c r="F800" s="1"/>
      <c r="G800" s="1"/>
    </row>
    <row r="801" spans="2:7" ht="15.75" customHeight="1">
      <c r="B801" s="1"/>
      <c r="D801" s="1"/>
      <c r="E801" s="1"/>
      <c r="F801" s="1"/>
      <c r="G801" s="1"/>
    </row>
    <row r="802" spans="2:7" ht="15.75" customHeight="1">
      <c r="B802" s="1"/>
      <c r="D802" s="1"/>
      <c r="E802" s="1"/>
      <c r="F802" s="1"/>
      <c r="G802" s="1"/>
    </row>
    <row r="803" spans="2:7" ht="15.75" customHeight="1">
      <c r="B803" s="1"/>
      <c r="D803" s="1"/>
      <c r="E803" s="1"/>
      <c r="F803" s="1"/>
      <c r="G803" s="1"/>
    </row>
    <row r="804" spans="2:7" ht="15.75" customHeight="1">
      <c r="B804" s="1"/>
      <c r="D804" s="1"/>
      <c r="E804" s="1"/>
      <c r="F804" s="1"/>
      <c r="G804" s="1"/>
    </row>
    <row r="805" spans="2:7" ht="15.75" customHeight="1">
      <c r="B805" s="1"/>
      <c r="D805" s="1"/>
      <c r="E805" s="1"/>
      <c r="F805" s="1"/>
      <c r="G805" s="1"/>
    </row>
    <row r="806" spans="2:7" ht="15.75" customHeight="1">
      <c r="B806" s="1"/>
      <c r="D806" s="1"/>
      <c r="E806" s="1"/>
      <c r="F806" s="1"/>
      <c r="G806" s="1"/>
    </row>
    <row r="807" spans="2:7" ht="15.75" customHeight="1">
      <c r="B807" s="1"/>
      <c r="D807" s="1"/>
      <c r="E807" s="1"/>
      <c r="F807" s="1"/>
      <c r="G807" s="1"/>
    </row>
    <row r="808" spans="2:7" ht="15.75" customHeight="1">
      <c r="B808" s="1"/>
      <c r="D808" s="1"/>
      <c r="E808" s="1"/>
      <c r="F808" s="1"/>
      <c r="G808" s="1"/>
    </row>
    <row r="809" spans="2:7" ht="15.75" customHeight="1">
      <c r="B809" s="1"/>
      <c r="D809" s="1"/>
      <c r="E809" s="1"/>
      <c r="F809" s="1"/>
      <c r="G809" s="1"/>
    </row>
    <row r="810" spans="2:7" ht="15.75" customHeight="1">
      <c r="B810" s="1"/>
      <c r="D810" s="1"/>
      <c r="E810" s="1"/>
      <c r="F810" s="1"/>
      <c r="G810" s="1"/>
    </row>
    <row r="811" spans="2:7" ht="15.75" customHeight="1">
      <c r="B811" s="1"/>
      <c r="D811" s="1"/>
      <c r="E811" s="1"/>
      <c r="F811" s="1"/>
      <c r="G811" s="1"/>
    </row>
    <row r="812" spans="2:7" ht="15.75" customHeight="1">
      <c r="B812" s="1"/>
      <c r="D812" s="1"/>
      <c r="E812" s="1"/>
      <c r="F812" s="1"/>
      <c r="G812" s="1"/>
    </row>
    <row r="813" spans="2:7" ht="15.75" customHeight="1">
      <c r="B813" s="1"/>
      <c r="D813" s="1"/>
      <c r="E813" s="1"/>
      <c r="F813" s="1"/>
      <c r="G813" s="1"/>
    </row>
    <row r="814" spans="2:7" ht="15.75" customHeight="1">
      <c r="B814" s="1"/>
      <c r="D814" s="1"/>
      <c r="E814" s="1"/>
      <c r="F814" s="1"/>
      <c r="G814" s="1"/>
    </row>
    <row r="815" spans="2:7" ht="15.75" customHeight="1">
      <c r="B815" s="1"/>
      <c r="D815" s="1"/>
      <c r="E815" s="1"/>
      <c r="F815" s="1"/>
      <c r="G815" s="1"/>
    </row>
    <row r="816" spans="2:7" ht="15.75" customHeight="1">
      <c r="B816" s="1"/>
      <c r="D816" s="1"/>
      <c r="E816" s="1"/>
      <c r="F816" s="1"/>
      <c r="G816" s="1"/>
    </row>
    <row r="817" spans="2:7" ht="15.75" customHeight="1">
      <c r="B817" s="1"/>
      <c r="D817" s="1"/>
      <c r="E817" s="1"/>
      <c r="F817" s="1"/>
      <c r="G817" s="1"/>
    </row>
    <row r="818" spans="2:7" ht="15.75" customHeight="1">
      <c r="B818" s="1"/>
      <c r="D818" s="1"/>
      <c r="E818" s="1"/>
      <c r="F818" s="1"/>
      <c r="G818" s="1"/>
    </row>
    <row r="819" spans="2:7" ht="15.75" customHeight="1">
      <c r="B819" s="1"/>
      <c r="D819" s="1"/>
      <c r="E819" s="1"/>
      <c r="F819" s="1"/>
      <c r="G819" s="1"/>
    </row>
    <row r="820" spans="2:7" ht="15.75" customHeight="1">
      <c r="B820" s="1"/>
      <c r="D820" s="1"/>
      <c r="E820" s="1"/>
      <c r="F820" s="1"/>
      <c r="G820" s="1"/>
    </row>
    <row r="821" spans="2:7" ht="15.75" customHeight="1">
      <c r="B821" s="1"/>
      <c r="D821" s="1"/>
      <c r="E821" s="1"/>
      <c r="F821" s="1"/>
      <c r="G821" s="1"/>
    </row>
    <row r="822" spans="2:7" ht="15.75" customHeight="1">
      <c r="B822" s="1"/>
      <c r="D822" s="1"/>
      <c r="E822" s="1"/>
      <c r="F822" s="1"/>
      <c r="G822" s="1"/>
    </row>
    <row r="823" spans="2:7" ht="15.75" customHeight="1">
      <c r="B823" s="1"/>
      <c r="D823" s="1"/>
      <c r="E823" s="1"/>
      <c r="F823" s="1"/>
      <c r="G823" s="1"/>
    </row>
    <row r="824" spans="2:7" ht="15.75" customHeight="1">
      <c r="B824" s="1"/>
      <c r="D824" s="1"/>
      <c r="E824" s="1"/>
      <c r="F824" s="1"/>
      <c r="G824" s="1"/>
    </row>
    <row r="825" spans="2:7" ht="15.75" customHeight="1">
      <c r="B825" s="1"/>
      <c r="D825" s="1"/>
      <c r="E825" s="1"/>
      <c r="F825" s="1"/>
      <c r="G825" s="1"/>
    </row>
    <row r="826" spans="2:7" ht="15.75" customHeight="1">
      <c r="B826" s="1"/>
      <c r="D826" s="1"/>
      <c r="E826" s="1"/>
      <c r="F826" s="1"/>
      <c r="G826" s="1"/>
    </row>
    <row r="827" spans="2:7" ht="15.75" customHeight="1">
      <c r="B827" s="1"/>
      <c r="D827" s="1"/>
      <c r="E827" s="1"/>
      <c r="F827" s="1"/>
      <c r="G827" s="1"/>
    </row>
    <row r="828" spans="2:7" ht="15.75" customHeight="1">
      <c r="B828" s="1"/>
      <c r="D828" s="1"/>
      <c r="E828" s="1"/>
      <c r="F828" s="1"/>
      <c r="G828" s="1"/>
    </row>
    <row r="829" spans="2:7" ht="15.75" customHeight="1">
      <c r="B829" s="1"/>
      <c r="D829" s="1"/>
      <c r="E829" s="1"/>
      <c r="F829" s="1"/>
      <c r="G829" s="1"/>
    </row>
    <row r="830" spans="2:7" ht="15.75" customHeight="1">
      <c r="B830" s="1"/>
      <c r="D830" s="1"/>
      <c r="E830" s="1"/>
      <c r="F830" s="1"/>
      <c r="G830" s="1"/>
    </row>
    <row r="831" spans="2:7" ht="15.75" customHeight="1">
      <c r="B831" s="1"/>
      <c r="D831" s="1"/>
      <c r="E831" s="1"/>
      <c r="F831" s="1"/>
      <c r="G831" s="1"/>
    </row>
    <row r="832" spans="2:7" ht="15.75" customHeight="1">
      <c r="B832" s="1"/>
      <c r="D832" s="1"/>
      <c r="E832" s="1"/>
      <c r="F832" s="1"/>
      <c r="G832" s="1"/>
    </row>
    <row r="833" spans="2:7" ht="15.75" customHeight="1">
      <c r="B833" s="1"/>
      <c r="D833" s="1"/>
      <c r="E833" s="1"/>
      <c r="F833" s="1"/>
      <c r="G833" s="1"/>
    </row>
    <row r="834" spans="2:7" ht="15.75" customHeight="1">
      <c r="B834" s="1"/>
      <c r="D834" s="1"/>
      <c r="E834" s="1"/>
      <c r="F834" s="1"/>
      <c r="G834" s="1"/>
    </row>
    <row r="835" spans="2:7" ht="15.75" customHeight="1">
      <c r="B835" s="1"/>
      <c r="D835" s="1"/>
      <c r="E835" s="1"/>
      <c r="F835" s="1"/>
      <c r="G835" s="1"/>
    </row>
    <row r="836" spans="2:7" ht="15.75" customHeight="1">
      <c r="B836" s="1"/>
      <c r="D836" s="1"/>
      <c r="E836" s="1"/>
      <c r="F836" s="1"/>
      <c r="G836" s="1"/>
    </row>
    <row r="837" spans="2:7" ht="15.75" customHeight="1">
      <c r="B837" s="1"/>
      <c r="D837" s="1"/>
      <c r="E837" s="1"/>
      <c r="F837" s="1"/>
      <c r="G837" s="1"/>
    </row>
    <row r="838" spans="2:7" ht="15.75" customHeight="1">
      <c r="B838" s="1"/>
      <c r="D838" s="1"/>
      <c r="E838" s="1"/>
      <c r="F838" s="1"/>
      <c r="G838" s="1"/>
    </row>
    <row r="839" spans="2:7" ht="15.75" customHeight="1">
      <c r="B839" s="1"/>
      <c r="D839" s="1"/>
      <c r="E839" s="1"/>
      <c r="F839" s="1"/>
      <c r="G839" s="1"/>
    </row>
    <row r="840" spans="2:7" ht="15.75" customHeight="1">
      <c r="B840" s="1"/>
      <c r="D840" s="1"/>
      <c r="E840" s="1"/>
      <c r="F840" s="1"/>
      <c r="G840" s="1"/>
    </row>
    <row r="841" spans="2:7" ht="15.75" customHeight="1">
      <c r="B841" s="1"/>
      <c r="D841" s="1"/>
      <c r="E841" s="1"/>
      <c r="F841" s="1"/>
      <c r="G841" s="1"/>
    </row>
    <row r="842" spans="2:7" ht="15.75" customHeight="1">
      <c r="B842" s="1"/>
      <c r="D842" s="1"/>
      <c r="E842" s="1"/>
      <c r="F842" s="1"/>
      <c r="G842" s="1"/>
    </row>
    <row r="843" spans="2:7" ht="15.75" customHeight="1">
      <c r="B843" s="1"/>
      <c r="D843" s="1"/>
      <c r="E843" s="1"/>
      <c r="F843" s="1"/>
      <c r="G843" s="1"/>
    </row>
    <row r="844" spans="2:7" ht="15.75" customHeight="1">
      <c r="B844" s="1"/>
      <c r="D844" s="1"/>
      <c r="E844" s="1"/>
      <c r="F844" s="1"/>
      <c r="G844" s="1"/>
    </row>
    <row r="845" spans="2:7" ht="15.75" customHeight="1">
      <c r="B845" s="1"/>
      <c r="D845" s="1"/>
      <c r="E845" s="1"/>
      <c r="F845" s="1"/>
      <c r="G845" s="1"/>
    </row>
    <row r="846" spans="2:7" ht="15.75" customHeight="1">
      <c r="B846" s="1"/>
      <c r="D846" s="1"/>
      <c r="E846" s="1"/>
      <c r="F846" s="1"/>
      <c r="G846" s="1"/>
    </row>
    <row r="847" spans="2:7" ht="15.75" customHeight="1">
      <c r="B847" s="1"/>
      <c r="D847" s="1"/>
      <c r="E847" s="1"/>
      <c r="F847" s="1"/>
      <c r="G847" s="1"/>
    </row>
    <row r="848" spans="2:7" ht="15.75" customHeight="1">
      <c r="B848" s="1"/>
      <c r="D848" s="1"/>
      <c r="E848" s="1"/>
      <c r="F848" s="1"/>
      <c r="G848" s="1"/>
    </row>
    <row r="849" spans="2:7" ht="15.75" customHeight="1">
      <c r="B849" s="1"/>
      <c r="D849" s="1"/>
      <c r="E849" s="1"/>
      <c r="F849" s="1"/>
      <c r="G849" s="1"/>
    </row>
    <row r="850" spans="2:7" ht="15.75" customHeight="1">
      <c r="B850" s="1"/>
      <c r="D850" s="1"/>
      <c r="E850" s="1"/>
      <c r="F850" s="1"/>
      <c r="G850" s="1"/>
    </row>
    <row r="851" spans="2:7" ht="15.75" customHeight="1">
      <c r="B851" s="1"/>
      <c r="D851" s="1"/>
      <c r="E851" s="1"/>
      <c r="F851" s="1"/>
      <c r="G851" s="1"/>
    </row>
    <row r="852" spans="2:7" ht="15.75" customHeight="1">
      <c r="B852" s="1"/>
      <c r="D852" s="1"/>
      <c r="E852" s="1"/>
      <c r="F852" s="1"/>
      <c r="G852" s="1"/>
    </row>
    <row r="853" spans="2:7" ht="15.75" customHeight="1">
      <c r="B853" s="1"/>
      <c r="D853" s="1"/>
      <c r="E853" s="1"/>
      <c r="F853" s="1"/>
      <c r="G853" s="1"/>
    </row>
    <row r="854" spans="2:7" ht="15.75" customHeight="1">
      <c r="B854" s="1"/>
      <c r="D854" s="1"/>
      <c r="E854" s="1"/>
      <c r="F854" s="1"/>
      <c r="G854" s="1"/>
    </row>
    <row r="855" spans="2:7" ht="15.75" customHeight="1">
      <c r="B855" s="1"/>
      <c r="D855" s="1"/>
      <c r="E855" s="1"/>
      <c r="F855" s="1"/>
      <c r="G855" s="1"/>
    </row>
    <row r="856" spans="2:7" ht="15.75" customHeight="1">
      <c r="B856" s="1"/>
      <c r="D856" s="1"/>
      <c r="E856" s="1"/>
      <c r="F856" s="1"/>
      <c r="G856" s="1"/>
    </row>
    <row r="857" spans="2:7" ht="15.75" customHeight="1">
      <c r="B857" s="1"/>
      <c r="D857" s="1"/>
      <c r="E857" s="1"/>
      <c r="F857" s="1"/>
      <c r="G857" s="1"/>
    </row>
    <row r="858" spans="2:7" ht="15.75" customHeight="1">
      <c r="B858" s="1"/>
      <c r="D858" s="1"/>
      <c r="E858" s="1"/>
      <c r="F858" s="1"/>
      <c r="G858" s="1"/>
    </row>
    <row r="859" spans="2:7" ht="15.75" customHeight="1">
      <c r="B859" s="1"/>
      <c r="D859" s="1"/>
      <c r="E859" s="1"/>
      <c r="F859" s="1"/>
      <c r="G859" s="1"/>
    </row>
    <row r="860" spans="2:7" ht="15.75" customHeight="1">
      <c r="B860" s="1"/>
      <c r="D860" s="1"/>
      <c r="E860" s="1"/>
      <c r="F860" s="1"/>
      <c r="G860" s="1"/>
    </row>
    <row r="861" spans="2:7" ht="15.75" customHeight="1">
      <c r="B861" s="1"/>
      <c r="D861" s="1"/>
      <c r="E861" s="1"/>
      <c r="F861" s="1"/>
      <c r="G861" s="1"/>
    </row>
    <row r="862" spans="2:7" ht="15.75" customHeight="1">
      <c r="B862" s="1"/>
      <c r="D862" s="1"/>
      <c r="E862" s="1"/>
      <c r="F862" s="1"/>
      <c r="G862" s="1"/>
    </row>
    <row r="863" spans="2:7" ht="15.75" customHeight="1">
      <c r="B863" s="1"/>
      <c r="D863" s="1"/>
      <c r="E863" s="1"/>
      <c r="F863" s="1"/>
      <c r="G863" s="1"/>
    </row>
    <row r="864" spans="2:7" ht="15.75" customHeight="1">
      <c r="B864" s="1"/>
      <c r="D864" s="1"/>
      <c r="E864" s="1"/>
      <c r="F864" s="1"/>
      <c r="G864" s="1"/>
    </row>
    <row r="865" spans="2:7" ht="15.75" customHeight="1">
      <c r="B865" s="1"/>
      <c r="D865" s="1"/>
      <c r="E865" s="1"/>
      <c r="F865" s="1"/>
      <c r="G865" s="1"/>
    </row>
    <row r="866" spans="2:7" ht="15.75" customHeight="1">
      <c r="B866" s="1"/>
      <c r="D866" s="1"/>
      <c r="E866" s="1"/>
      <c r="F866" s="1"/>
      <c r="G866" s="1"/>
    </row>
    <row r="867" spans="2:7" ht="15.75" customHeight="1">
      <c r="B867" s="1"/>
      <c r="D867" s="1"/>
      <c r="E867" s="1"/>
      <c r="F867" s="1"/>
      <c r="G867" s="1"/>
    </row>
    <row r="868" spans="2:7" ht="15.75" customHeight="1">
      <c r="B868" s="1"/>
      <c r="D868" s="1"/>
      <c r="E868" s="1"/>
      <c r="F868" s="1"/>
      <c r="G868" s="1"/>
    </row>
    <row r="869" spans="2:7" ht="15.75" customHeight="1">
      <c r="B869" s="1"/>
      <c r="D869" s="1"/>
      <c r="E869" s="1"/>
      <c r="F869" s="1"/>
      <c r="G869" s="1"/>
    </row>
    <row r="870" spans="2:7" ht="15.75" customHeight="1">
      <c r="B870" s="1"/>
      <c r="D870" s="1"/>
      <c r="E870" s="1"/>
      <c r="F870" s="1"/>
      <c r="G870" s="1"/>
    </row>
    <row r="871" spans="2:7" ht="15.75" customHeight="1">
      <c r="B871" s="1"/>
      <c r="D871" s="1"/>
      <c r="E871" s="1"/>
      <c r="F871" s="1"/>
      <c r="G871" s="1"/>
    </row>
    <row r="872" spans="2:7" ht="15.75" customHeight="1">
      <c r="B872" s="1"/>
      <c r="D872" s="1"/>
      <c r="E872" s="1"/>
      <c r="F872" s="1"/>
      <c r="G872" s="1"/>
    </row>
    <row r="873" spans="2:7" ht="15.75" customHeight="1">
      <c r="B873" s="1"/>
      <c r="D873" s="1"/>
      <c r="E873" s="1"/>
      <c r="F873" s="1"/>
      <c r="G873" s="1"/>
    </row>
    <row r="874" spans="2:7" ht="15.75" customHeight="1">
      <c r="B874" s="1"/>
      <c r="D874" s="1"/>
      <c r="E874" s="1"/>
      <c r="F874" s="1"/>
      <c r="G874" s="1"/>
    </row>
    <row r="875" spans="2:7" ht="15.75" customHeight="1">
      <c r="B875" s="1"/>
      <c r="D875" s="1"/>
      <c r="E875" s="1"/>
      <c r="F875" s="1"/>
      <c r="G875" s="1"/>
    </row>
    <row r="876" spans="2:7" ht="15.75" customHeight="1">
      <c r="B876" s="1"/>
      <c r="D876" s="1"/>
      <c r="E876" s="1"/>
      <c r="F876" s="1"/>
      <c r="G876" s="1"/>
    </row>
    <row r="877" spans="2:7" ht="15.75" customHeight="1">
      <c r="B877" s="1"/>
      <c r="D877" s="1"/>
      <c r="E877" s="1"/>
      <c r="F877" s="1"/>
      <c r="G877" s="1"/>
    </row>
    <row r="878" spans="2:7" ht="15.75" customHeight="1">
      <c r="B878" s="1"/>
      <c r="D878" s="1"/>
      <c r="E878" s="1"/>
      <c r="F878" s="1"/>
      <c r="G878" s="1"/>
    </row>
    <row r="879" spans="2:7" ht="15.75" customHeight="1">
      <c r="B879" s="1"/>
      <c r="D879" s="1"/>
      <c r="E879" s="1"/>
      <c r="F879" s="1"/>
      <c r="G879" s="1"/>
    </row>
    <row r="880" spans="2:7" ht="15.75" customHeight="1">
      <c r="B880" s="1"/>
      <c r="D880" s="1"/>
      <c r="E880" s="1"/>
      <c r="F880" s="1"/>
      <c r="G880" s="1"/>
    </row>
    <row r="881" spans="2:7" ht="15.75" customHeight="1">
      <c r="B881" s="1"/>
      <c r="D881" s="1"/>
      <c r="E881" s="1"/>
      <c r="F881" s="1"/>
      <c r="G881" s="1"/>
    </row>
    <row r="882" spans="2:7" ht="15.75" customHeight="1">
      <c r="B882" s="1"/>
      <c r="D882" s="1"/>
      <c r="E882" s="1"/>
      <c r="F882" s="1"/>
      <c r="G882" s="1"/>
    </row>
    <row r="883" spans="2:7" ht="15.75" customHeight="1">
      <c r="B883" s="1"/>
      <c r="D883" s="1"/>
      <c r="E883" s="1"/>
      <c r="F883" s="1"/>
      <c r="G883" s="1"/>
    </row>
    <row r="884" spans="2:7" ht="15.75" customHeight="1">
      <c r="B884" s="1"/>
      <c r="D884" s="1"/>
      <c r="E884" s="1"/>
      <c r="F884" s="1"/>
      <c r="G884" s="1"/>
    </row>
    <row r="885" spans="2:7" ht="15.75" customHeight="1">
      <c r="B885" s="1"/>
      <c r="D885" s="1"/>
      <c r="E885" s="1"/>
      <c r="F885" s="1"/>
      <c r="G885" s="1"/>
    </row>
    <row r="886" spans="2:7" ht="15.75" customHeight="1">
      <c r="B886" s="1"/>
      <c r="D886" s="1"/>
      <c r="E886" s="1"/>
      <c r="F886" s="1"/>
      <c r="G886" s="1"/>
    </row>
    <row r="887" spans="2:7" ht="15.75" customHeight="1">
      <c r="B887" s="1"/>
      <c r="D887" s="1"/>
      <c r="E887" s="1"/>
      <c r="F887" s="1"/>
      <c r="G887" s="1"/>
    </row>
    <row r="888" spans="2:7" ht="15.75" customHeight="1">
      <c r="B888" s="1"/>
      <c r="D888" s="1"/>
      <c r="E888" s="1"/>
      <c r="F888" s="1"/>
      <c r="G888" s="1"/>
    </row>
    <row r="889" spans="2:7" ht="15.75" customHeight="1">
      <c r="B889" s="1"/>
      <c r="D889" s="1"/>
      <c r="E889" s="1"/>
      <c r="F889" s="1"/>
      <c r="G889" s="1"/>
    </row>
    <row r="890" spans="2:7" ht="15.75" customHeight="1">
      <c r="B890" s="1"/>
      <c r="D890" s="1"/>
      <c r="E890" s="1"/>
      <c r="F890" s="1"/>
      <c r="G890" s="1"/>
    </row>
    <row r="891" spans="2:7" ht="15.75" customHeight="1">
      <c r="B891" s="1"/>
      <c r="D891" s="1"/>
      <c r="E891" s="1"/>
      <c r="F891" s="1"/>
      <c r="G891" s="1"/>
    </row>
    <row r="892" spans="2:7" ht="15.75" customHeight="1">
      <c r="B892" s="1"/>
      <c r="D892" s="1"/>
      <c r="E892" s="1"/>
      <c r="F892" s="1"/>
      <c r="G892" s="1"/>
    </row>
    <row r="893" spans="2:7" ht="15.75" customHeight="1">
      <c r="B893" s="1"/>
      <c r="D893" s="1"/>
      <c r="E893" s="1"/>
      <c r="F893" s="1"/>
      <c r="G893" s="1"/>
    </row>
    <row r="894" spans="2:7" ht="15.75" customHeight="1">
      <c r="B894" s="1"/>
      <c r="D894" s="1"/>
      <c r="E894" s="1"/>
      <c r="F894" s="1"/>
      <c r="G894" s="1"/>
    </row>
    <row r="895" spans="2:7" ht="15.75" customHeight="1">
      <c r="B895" s="1"/>
      <c r="D895" s="1"/>
      <c r="E895" s="1"/>
      <c r="F895" s="1"/>
      <c r="G895" s="1"/>
    </row>
    <row r="896" spans="2:7" ht="15.75" customHeight="1">
      <c r="B896" s="1"/>
      <c r="D896" s="1"/>
      <c r="E896" s="1"/>
      <c r="F896" s="1"/>
      <c r="G896" s="1"/>
    </row>
    <row r="897" spans="2:7" ht="15.75" customHeight="1">
      <c r="B897" s="1"/>
      <c r="D897" s="1"/>
      <c r="E897" s="1"/>
      <c r="F897" s="1"/>
      <c r="G897" s="1"/>
    </row>
    <row r="898" spans="2:7" ht="15.75" customHeight="1">
      <c r="B898" s="1"/>
      <c r="D898" s="1"/>
      <c r="E898" s="1"/>
      <c r="F898" s="1"/>
      <c r="G898" s="1"/>
    </row>
    <row r="899" spans="2:7" ht="15.75" customHeight="1">
      <c r="B899" s="1"/>
      <c r="D899" s="1"/>
      <c r="E899" s="1"/>
      <c r="F899" s="1"/>
      <c r="G899" s="1"/>
    </row>
    <row r="900" spans="2:7" ht="15.75" customHeight="1">
      <c r="B900" s="1"/>
      <c r="D900" s="1"/>
      <c r="E900" s="1"/>
      <c r="F900" s="1"/>
      <c r="G900" s="1"/>
    </row>
    <row r="901" spans="2:7" ht="15.75" customHeight="1">
      <c r="B901" s="1"/>
      <c r="D901" s="1"/>
      <c r="E901" s="1"/>
      <c r="F901" s="1"/>
      <c r="G901" s="1"/>
    </row>
    <row r="902" spans="2:7" ht="15.75" customHeight="1">
      <c r="B902" s="1"/>
      <c r="D902" s="1"/>
      <c r="E902" s="1"/>
      <c r="F902" s="1"/>
      <c r="G902" s="1"/>
    </row>
    <row r="903" spans="2:7" ht="15.75" customHeight="1">
      <c r="B903" s="1"/>
      <c r="D903" s="1"/>
      <c r="E903" s="1"/>
      <c r="F903" s="1"/>
      <c r="G903" s="1"/>
    </row>
    <row r="904" spans="2:7" ht="15.75" customHeight="1">
      <c r="B904" s="1"/>
      <c r="D904" s="1"/>
      <c r="E904" s="1"/>
      <c r="F904" s="1"/>
      <c r="G904" s="1"/>
    </row>
    <row r="905" spans="2:7" ht="15.75" customHeight="1">
      <c r="B905" s="1"/>
      <c r="D905" s="1"/>
      <c r="E905" s="1"/>
      <c r="F905" s="1"/>
      <c r="G905" s="1"/>
    </row>
    <row r="906" spans="2:7" ht="15.75" customHeight="1">
      <c r="B906" s="1"/>
      <c r="D906" s="1"/>
      <c r="E906" s="1"/>
      <c r="F906" s="1"/>
      <c r="G906" s="1"/>
    </row>
    <row r="907" spans="2:7" ht="15.75" customHeight="1">
      <c r="B907" s="1"/>
      <c r="D907" s="1"/>
      <c r="E907" s="1"/>
      <c r="F907" s="1"/>
      <c r="G907" s="1"/>
    </row>
    <row r="908" spans="2:7" ht="15.75" customHeight="1">
      <c r="B908" s="1"/>
      <c r="D908" s="1"/>
      <c r="E908" s="1"/>
      <c r="F908" s="1"/>
      <c r="G908" s="1"/>
    </row>
    <row r="909" spans="2:7" ht="15.75" customHeight="1">
      <c r="B909" s="1"/>
      <c r="D909" s="1"/>
      <c r="E909" s="1"/>
      <c r="F909" s="1"/>
      <c r="G909" s="1"/>
    </row>
    <row r="910" spans="2:7" ht="15.75" customHeight="1">
      <c r="B910" s="1"/>
      <c r="D910" s="1"/>
      <c r="E910" s="1"/>
      <c r="F910" s="1"/>
      <c r="G910" s="1"/>
    </row>
    <row r="911" spans="2:7" ht="15.75" customHeight="1">
      <c r="B911" s="1"/>
      <c r="D911" s="1"/>
      <c r="E911" s="1"/>
      <c r="F911" s="1"/>
      <c r="G911" s="1"/>
    </row>
    <row r="912" spans="2:7" ht="15.75" customHeight="1">
      <c r="B912" s="1"/>
      <c r="D912" s="1"/>
      <c r="E912" s="1"/>
      <c r="F912" s="1"/>
      <c r="G912" s="1"/>
    </row>
    <row r="913" spans="2:7" ht="15.75" customHeight="1">
      <c r="B913" s="1"/>
      <c r="D913" s="1"/>
      <c r="E913" s="1"/>
      <c r="F913" s="1"/>
      <c r="G913" s="1"/>
    </row>
    <row r="914" spans="2:7" ht="15.75" customHeight="1">
      <c r="B914" s="1"/>
      <c r="D914" s="1"/>
      <c r="E914" s="1"/>
      <c r="F914" s="1"/>
      <c r="G914" s="1"/>
    </row>
    <row r="915" spans="2:7" ht="15.75" customHeight="1">
      <c r="B915" s="1"/>
      <c r="D915" s="1"/>
      <c r="E915" s="1"/>
      <c r="F915" s="1"/>
      <c r="G915" s="1"/>
    </row>
    <row r="916" spans="2:7" ht="15.75" customHeight="1">
      <c r="B916" s="1"/>
      <c r="D916" s="1"/>
      <c r="E916" s="1"/>
      <c r="F916" s="1"/>
      <c r="G916" s="1"/>
    </row>
    <row r="917" spans="2:7" ht="15.75" customHeight="1">
      <c r="B917" s="1"/>
      <c r="D917" s="1"/>
      <c r="E917" s="1"/>
      <c r="F917" s="1"/>
      <c r="G917" s="1"/>
    </row>
    <row r="918" spans="2:7" ht="15.75" customHeight="1">
      <c r="B918" s="1"/>
      <c r="D918" s="1"/>
      <c r="E918" s="1"/>
      <c r="F918" s="1"/>
      <c r="G918" s="1"/>
    </row>
    <row r="919" spans="2:7" ht="15.75" customHeight="1">
      <c r="B919" s="1"/>
      <c r="D919" s="1"/>
      <c r="E919" s="1"/>
      <c r="F919" s="1"/>
      <c r="G919" s="1"/>
    </row>
    <row r="920" spans="2:7" ht="15.75" customHeight="1">
      <c r="B920" s="1"/>
      <c r="D920" s="1"/>
      <c r="E920" s="1"/>
      <c r="F920" s="1"/>
      <c r="G920" s="1"/>
    </row>
    <row r="921" spans="2:7" ht="15.75" customHeight="1">
      <c r="B921" s="1"/>
      <c r="D921" s="1"/>
      <c r="E921" s="1"/>
      <c r="F921" s="1"/>
      <c r="G921" s="1"/>
    </row>
    <row r="922" spans="2:7" ht="15.75" customHeight="1">
      <c r="B922" s="1"/>
      <c r="D922" s="1"/>
      <c r="E922" s="1"/>
      <c r="F922" s="1"/>
      <c r="G922" s="1"/>
    </row>
    <row r="923" spans="2:7" ht="15.75" customHeight="1">
      <c r="B923" s="1"/>
      <c r="D923" s="1"/>
      <c r="E923" s="1"/>
      <c r="F923" s="1"/>
      <c r="G923" s="1"/>
    </row>
    <row r="924" spans="2:7" ht="15.75" customHeight="1">
      <c r="B924" s="1"/>
      <c r="D924" s="1"/>
      <c r="E924" s="1"/>
      <c r="F924" s="1"/>
      <c r="G924" s="1"/>
    </row>
    <row r="925" spans="2:7" ht="15.75" customHeight="1">
      <c r="B925" s="1"/>
      <c r="D925" s="1"/>
      <c r="E925" s="1"/>
      <c r="F925" s="1"/>
      <c r="G925" s="1"/>
    </row>
    <row r="926" spans="2:7" ht="15.75" customHeight="1">
      <c r="B926" s="1"/>
      <c r="D926" s="1"/>
      <c r="E926" s="1"/>
      <c r="F926" s="1"/>
      <c r="G926" s="1"/>
    </row>
    <row r="927" spans="2:7" ht="15.75" customHeight="1">
      <c r="B927" s="1"/>
      <c r="D927" s="1"/>
      <c r="E927" s="1"/>
      <c r="F927" s="1"/>
      <c r="G927" s="1"/>
    </row>
    <row r="928" spans="2:7" ht="15.75" customHeight="1">
      <c r="B928" s="1"/>
      <c r="D928" s="1"/>
      <c r="E928" s="1"/>
      <c r="F928" s="1"/>
      <c r="G928" s="1"/>
    </row>
    <row r="929" spans="2:7" ht="15.75" customHeight="1">
      <c r="B929" s="1"/>
      <c r="D929" s="1"/>
      <c r="E929" s="1"/>
      <c r="F929" s="1"/>
      <c r="G929" s="1"/>
    </row>
    <row r="930" spans="2:7" ht="15.75" customHeight="1">
      <c r="B930" s="1"/>
      <c r="D930" s="1"/>
      <c r="E930" s="1"/>
      <c r="F930" s="1"/>
      <c r="G930" s="1"/>
    </row>
    <row r="931" spans="2:7" ht="15.75" customHeight="1">
      <c r="B931" s="1"/>
      <c r="D931" s="1"/>
      <c r="E931" s="1"/>
      <c r="F931" s="1"/>
      <c r="G931" s="1"/>
    </row>
    <row r="932" spans="2:7" ht="15.75" customHeight="1">
      <c r="B932" s="1"/>
      <c r="D932" s="1"/>
      <c r="E932" s="1"/>
      <c r="F932" s="1"/>
      <c r="G932" s="1"/>
    </row>
    <row r="933" spans="2:7" ht="15.75" customHeight="1">
      <c r="B933" s="1"/>
      <c r="D933" s="1"/>
      <c r="E933" s="1"/>
      <c r="F933" s="1"/>
      <c r="G933" s="1"/>
    </row>
    <row r="934" spans="2:7" ht="15.75" customHeight="1">
      <c r="B934" s="1"/>
      <c r="D934" s="1"/>
      <c r="E934" s="1"/>
      <c r="F934" s="1"/>
      <c r="G934" s="1"/>
    </row>
    <row r="935" spans="2:7" ht="15.75" customHeight="1">
      <c r="B935" s="1"/>
      <c r="D935" s="1"/>
      <c r="E935" s="1"/>
      <c r="F935" s="1"/>
      <c r="G935" s="1"/>
    </row>
    <row r="936" spans="2:7" ht="15.75" customHeight="1">
      <c r="B936" s="1"/>
      <c r="D936" s="1"/>
      <c r="E936" s="1"/>
      <c r="F936" s="1"/>
      <c r="G936" s="1"/>
    </row>
    <row r="937" spans="2:7" ht="15.75" customHeight="1">
      <c r="B937" s="1"/>
      <c r="D937" s="1"/>
      <c r="E937" s="1"/>
      <c r="F937" s="1"/>
      <c r="G937" s="1"/>
    </row>
    <row r="938" spans="2:7" ht="15.75" customHeight="1">
      <c r="B938" s="1"/>
      <c r="D938" s="1"/>
      <c r="E938" s="1"/>
      <c r="F938" s="1"/>
      <c r="G938" s="1"/>
    </row>
    <row r="939" spans="2:7" ht="15.75" customHeight="1">
      <c r="B939" s="1"/>
      <c r="D939" s="1"/>
      <c r="E939" s="1"/>
      <c r="F939" s="1"/>
      <c r="G939" s="1"/>
    </row>
    <row r="940" spans="2:7" ht="15.75" customHeight="1">
      <c r="B940" s="1"/>
      <c r="D940" s="1"/>
      <c r="E940" s="1"/>
      <c r="F940" s="1"/>
      <c r="G940" s="1"/>
    </row>
    <row r="941" spans="2:7" ht="15.75" customHeight="1">
      <c r="B941" s="1"/>
      <c r="D941" s="1"/>
      <c r="E941" s="1"/>
      <c r="F941" s="1"/>
      <c r="G941" s="1"/>
    </row>
    <row r="942" spans="2:7" ht="15.75" customHeight="1">
      <c r="B942" s="1"/>
      <c r="D942" s="1"/>
      <c r="E942" s="1"/>
      <c r="F942" s="1"/>
      <c r="G942" s="1"/>
    </row>
    <row r="943" spans="2:7" ht="15.75" customHeight="1">
      <c r="B943" s="1"/>
      <c r="D943" s="1"/>
      <c r="E943" s="1"/>
      <c r="F943" s="1"/>
      <c r="G943" s="1"/>
    </row>
    <row r="944" spans="2:7" ht="15.75" customHeight="1">
      <c r="B944" s="1"/>
      <c r="D944" s="1"/>
      <c r="E944" s="1"/>
      <c r="F944" s="1"/>
      <c r="G944" s="1"/>
    </row>
    <row r="945" spans="2:7" ht="15.75" customHeight="1">
      <c r="B945" s="1"/>
      <c r="D945" s="1"/>
      <c r="E945" s="1"/>
      <c r="F945" s="1"/>
      <c r="G945" s="1"/>
    </row>
    <row r="946" spans="2:7" ht="15.75" customHeight="1">
      <c r="B946" s="1"/>
      <c r="D946" s="1"/>
      <c r="E946" s="1"/>
      <c r="F946" s="1"/>
      <c r="G946" s="1"/>
    </row>
    <row r="947" spans="2:7" ht="15.75" customHeight="1">
      <c r="B947" s="1"/>
      <c r="D947" s="1"/>
      <c r="E947" s="1"/>
      <c r="F947" s="1"/>
      <c r="G947" s="1"/>
    </row>
    <row r="948" spans="2:7" ht="15.75" customHeight="1">
      <c r="B948" s="1"/>
      <c r="D948" s="1"/>
      <c r="E948" s="1"/>
      <c r="F948" s="1"/>
      <c r="G948" s="1"/>
    </row>
    <row r="949" spans="2:7" ht="15.75" customHeight="1">
      <c r="B949" s="1"/>
      <c r="D949" s="1"/>
      <c r="E949" s="1"/>
      <c r="F949" s="1"/>
      <c r="G949" s="1"/>
    </row>
    <row r="950" spans="2:7" ht="15.75" customHeight="1">
      <c r="B950" s="1"/>
      <c r="D950" s="1"/>
      <c r="E950" s="1"/>
      <c r="F950" s="1"/>
      <c r="G950" s="1"/>
    </row>
    <row r="951" spans="2:7" ht="15.75" customHeight="1">
      <c r="B951" s="1"/>
      <c r="D951" s="1"/>
      <c r="E951" s="1"/>
      <c r="F951" s="1"/>
      <c r="G951" s="1"/>
    </row>
    <row r="952" spans="2:7" ht="15.75" customHeight="1">
      <c r="B952" s="1"/>
      <c r="D952" s="1"/>
      <c r="E952" s="1"/>
      <c r="F952" s="1"/>
      <c r="G952" s="1"/>
    </row>
    <row r="953" spans="2:7" ht="15.75" customHeight="1">
      <c r="B953" s="1"/>
      <c r="D953" s="1"/>
      <c r="E953" s="1"/>
      <c r="F953" s="1"/>
      <c r="G953" s="1"/>
    </row>
    <row r="954" spans="2:7" ht="15.75" customHeight="1">
      <c r="B954" s="1"/>
      <c r="D954" s="1"/>
      <c r="E954" s="1"/>
      <c r="F954" s="1"/>
      <c r="G954" s="1"/>
    </row>
    <row r="955" spans="2:7" ht="15.75" customHeight="1">
      <c r="B955" s="1"/>
      <c r="D955" s="1"/>
      <c r="E955" s="1"/>
      <c r="F955" s="1"/>
      <c r="G955" s="1"/>
    </row>
    <row r="956" spans="2:7" ht="15.75" customHeight="1">
      <c r="B956" s="1"/>
      <c r="D956" s="1"/>
      <c r="E956" s="1"/>
      <c r="F956" s="1"/>
      <c r="G956" s="1"/>
    </row>
    <row r="957" spans="2:7" ht="15.75" customHeight="1">
      <c r="B957" s="1"/>
      <c r="D957" s="1"/>
      <c r="E957" s="1"/>
      <c r="F957" s="1"/>
      <c r="G957" s="1"/>
    </row>
    <row r="958" spans="2:7" ht="15.75" customHeight="1">
      <c r="B958" s="1"/>
      <c r="D958" s="1"/>
      <c r="E958" s="1"/>
      <c r="F958" s="1"/>
      <c r="G958" s="1"/>
    </row>
    <row r="959" spans="2:7" ht="15.75" customHeight="1">
      <c r="B959" s="1"/>
      <c r="D959" s="1"/>
      <c r="E959" s="1"/>
      <c r="F959" s="1"/>
      <c r="G959" s="1"/>
    </row>
    <row r="960" spans="2:7" ht="15.75" customHeight="1">
      <c r="B960" s="1"/>
      <c r="D960" s="1"/>
      <c r="E960" s="1"/>
      <c r="F960" s="1"/>
      <c r="G960" s="1"/>
    </row>
    <row r="961" spans="2:7" ht="15.75" customHeight="1">
      <c r="B961" s="1"/>
      <c r="D961" s="1"/>
      <c r="E961" s="1"/>
      <c r="F961" s="1"/>
      <c r="G961" s="1"/>
    </row>
    <row r="962" spans="2:7" ht="15.75" customHeight="1">
      <c r="B962" s="1"/>
      <c r="D962" s="1"/>
      <c r="E962" s="1"/>
      <c r="F962" s="1"/>
      <c r="G962" s="1"/>
    </row>
    <row r="963" spans="2:7" ht="15.75" customHeight="1">
      <c r="B963" s="1"/>
      <c r="D963" s="1"/>
      <c r="E963" s="1"/>
      <c r="F963" s="1"/>
      <c r="G963" s="1"/>
    </row>
    <row r="964" spans="2:7" ht="15.75" customHeight="1">
      <c r="B964" s="1"/>
      <c r="D964" s="1"/>
      <c r="E964" s="1"/>
      <c r="F964" s="1"/>
      <c r="G964" s="1"/>
    </row>
    <row r="965" spans="2:7" ht="15.75" customHeight="1">
      <c r="B965" s="1"/>
      <c r="D965" s="1"/>
      <c r="E965" s="1"/>
      <c r="F965" s="1"/>
      <c r="G965" s="1"/>
    </row>
    <row r="966" spans="2:7" ht="15.75" customHeight="1">
      <c r="B966" s="1"/>
      <c r="D966" s="1"/>
      <c r="E966" s="1"/>
      <c r="F966" s="1"/>
      <c r="G966" s="1"/>
    </row>
    <row r="967" spans="2:7" ht="15.75" customHeight="1">
      <c r="B967" s="1"/>
      <c r="D967" s="1"/>
      <c r="E967" s="1"/>
      <c r="F967" s="1"/>
      <c r="G967" s="1"/>
    </row>
    <row r="968" spans="2:7" ht="15.75" customHeight="1">
      <c r="B968" s="1"/>
      <c r="D968" s="1"/>
      <c r="E968" s="1"/>
      <c r="F968" s="1"/>
      <c r="G968" s="1"/>
    </row>
    <row r="969" spans="2:7" ht="15.75" customHeight="1">
      <c r="B969" s="1"/>
      <c r="D969" s="1"/>
      <c r="E969" s="1"/>
      <c r="F969" s="1"/>
      <c r="G969" s="1"/>
    </row>
    <row r="970" spans="2:7" ht="15.75" customHeight="1">
      <c r="B970" s="1"/>
      <c r="D970" s="1"/>
      <c r="E970" s="1"/>
      <c r="F970" s="1"/>
      <c r="G970" s="1"/>
    </row>
    <row r="971" spans="2:7" ht="15.75" customHeight="1">
      <c r="B971" s="1"/>
      <c r="D971" s="1"/>
      <c r="E971" s="1"/>
      <c r="F971" s="1"/>
      <c r="G971" s="1"/>
    </row>
    <row r="972" spans="2:7" ht="15.75" customHeight="1">
      <c r="B972" s="1"/>
      <c r="D972" s="1"/>
      <c r="E972" s="1"/>
      <c r="F972" s="1"/>
      <c r="G972" s="1"/>
    </row>
    <row r="973" spans="2:7" ht="15.75" customHeight="1">
      <c r="B973" s="1"/>
      <c r="D973" s="1"/>
      <c r="E973" s="1"/>
      <c r="F973" s="1"/>
      <c r="G973" s="1"/>
    </row>
    <row r="974" spans="2:7" ht="15.75" customHeight="1">
      <c r="B974" s="1"/>
      <c r="D974" s="1"/>
      <c r="E974" s="1"/>
      <c r="F974" s="1"/>
      <c r="G974" s="1"/>
    </row>
    <row r="975" spans="2:7" ht="15.75" customHeight="1">
      <c r="B975" s="1"/>
      <c r="D975" s="1"/>
      <c r="E975" s="1"/>
      <c r="F975" s="1"/>
      <c r="G975" s="1"/>
    </row>
    <row r="976" spans="2:7" ht="15.75" customHeight="1">
      <c r="B976" s="1"/>
      <c r="D976" s="1"/>
      <c r="E976" s="1"/>
      <c r="F976" s="1"/>
      <c r="G976" s="1"/>
    </row>
    <row r="977" spans="2:7" ht="15.75" customHeight="1">
      <c r="B977" s="1"/>
      <c r="D977" s="1"/>
      <c r="E977" s="1"/>
      <c r="F977" s="1"/>
      <c r="G977" s="1"/>
    </row>
    <row r="978" spans="2:7" ht="15.75" customHeight="1">
      <c r="B978" s="1"/>
      <c r="D978" s="1"/>
      <c r="E978" s="1"/>
      <c r="F978" s="1"/>
      <c r="G978" s="1"/>
    </row>
    <row r="979" spans="2:7" ht="15.75" customHeight="1">
      <c r="B979" s="1"/>
      <c r="D979" s="1"/>
      <c r="E979" s="1"/>
      <c r="F979" s="1"/>
      <c r="G979" s="1"/>
    </row>
    <row r="980" spans="2:7" ht="15.75" customHeight="1">
      <c r="B980" s="1"/>
      <c r="D980" s="1"/>
      <c r="E980" s="1"/>
      <c r="F980" s="1"/>
      <c r="G980" s="1"/>
    </row>
    <row r="981" spans="2:7" ht="15.75" customHeight="1">
      <c r="B981" s="1"/>
      <c r="D981" s="1"/>
      <c r="E981" s="1"/>
      <c r="F981" s="1"/>
      <c r="G981" s="1"/>
    </row>
    <row r="982" spans="2:7" ht="15.75" customHeight="1">
      <c r="B982" s="1"/>
      <c r="D982" s="1"/>
      <c r="E982" s="1"/>
      <c r="F982" s="1"/>
      <c r="G982" s="1"/>
    </row>
    <row r="983" spans="2:7" ht="15.75" customHeight="1">
      <c r="B983" s="1"/>
      <c r="D983" s="1"/>
      <c r="E983" s="1"/>
      <c r="F983" s="1"/>
      <c r="G983" s="1"/>
    </row>
    <row r="984" spans="2:7" ht="15.75" customHeight="1">
      <c r="B984" s="1"/>
      <c r="D984" s="1"/>
      <c r="E984" s="1"/>
      <c r="F984" s="1"/>
      <c r="G984" s="1"/>
    </row>
    <row r="985" spans="2:7" ht="15.75" customHeight="1">
      <c r="B985" s="1"/>
      <c r="D985" s="1"/>
      <c r="E985" s="1"/>
      <c r="F985" s="1"/>
      <c r="G985" s="1"/>
    </row>
    <row r="986" spans="2:7" ht="15.75" customHeight="1">
      <c r="B986" s="1"/>
      <c r="D986" s="1"/>
      <c r="E986" s="1"/>
      <c r="F986" s="1"/>
      <c r="G986" s="1"/>
    </row>
    <row r="987" spans="2:7" ht="15.75" customHeight="1">
      <c r="B987" s="1"/>
      <c r="D987" s="1"/>
      <c r="E987" s="1"/>
      <c r="F987" s="1"/>
      <c r="G987" s="1"/>
    </row>
    <row r="988" spans="2:7" ht="15.75" customHeight="1">
      <c r="B988" s="1"/>
      <c r="D988" s="1"/>
      <c r="E988" s="1"/>
      <c r="F988" s="1"/>
      <c r="G988" s="1"/>
    </row>
    <row r="989" spans="2:7" ht="15.75" customHeight="1">
      <c r="B989" s="1"/>
      <c r="D989" s="1"/>
      <c r="E989" s="1"/>
      <c r="F989" s="1"/>
      <c r="G989" s="1"/>
    </row>
    <row r="990" spans="2:7" ht="15.75" customHeight="1">
      <c r="B990" s="1"/>
      <c r="D990" s="1"/>
      <c r="E990" s="1"/>
      <c r="F990" s="1"/>
      <c r="G990" s="1"/>
    </row>
    <row r="991" spans="2:7" ht="15.75" customHeight="1">
      <c r="B991" s="1"/>
      <c r="D991" s="1"/>
      <c r="E991" s="1"/>
      <c r="F991" s="1"/>
      <c r="G991" s="1"/>
    </row>
    <row r="992" spans="2:7" ht="15.75" customHeight="1">
      <c r="B992" s="1"/>
      <c r="D992" s="1"/>
      <c r="E992" s="1"/>
      <c r="F992" s="1"/>
      <c r="G992" s="1"/>
    </row>
    <row r="993" spans="2:7" ht="15.75" customHeight="1">
      <c r="B993" s="1"/>
      <c r="D993" s="1"/>
      <c r="E993" s="1"/>
      <c r="F993" s="1"/>
      <c r="G993" s="1"/>
    </row>
    <row r="994" spans="2:7" ht="15.75" customHeight="1">
      <c r="B994" s="1"/>
      <c r="D994" s="1"/>
      <c r="E994" s="1"/>
      <c r="F994" s="1"/>
      <c r="G994" s="1"/>
    </row>
    <row r="995" spans="2:7" ht="15.75" customHeight="1">
      <c r="B995" s="1"/>
      <c r="D995" s="1"/>
      <c r="E995" s="1"/>
      <c r="F995" s="1"/>
      <c r="G995" s="1"/>
    </row>
    <row r="996" spans="2:7" ht="15.75" customHeight="1">
      <c r="B996" s="1"/>
      <c r="D996" s="1"/>
      <c r="E996" s="1"/>
      <c r="F996" s="1"/>
      <c r="G996" s="1"/>
    </row>
    <row r="997" spans="2:7" ht="15.75" customHeight="1">
      <c r="B997" s="1"/>
      <c r="D997" s="1"/>
      <c r="E997" s="1"/>
      <c r="F997" s="1"/>
      <c r="G997" s="1"/>
    </row>
    <row r="998" spans="2:7" ht="15.75" customHeight="1">
      <c r="B998" s="1"/>
      <c r="D998" s="1"/>
      <c r="E998" s="1"/>
      <c r="F998" s="1"/>
      <c r="G998" s="1"/>
    </row>
    <row r="999" spans="2:7" ht="15.75" customHeight="1">
      <c r="B999" s="1"/>
      <c r="D999" s="1"/>
      <c r="E999" s="1"/>
      <c r="F999" s="1"/>
      <c r="G999" s="1"/>
    </row>
    <row r="1000" spans="2:7" ht="15.75" customHeight="1">
      <c r="B1000" s="1"/>
      <c r="D1000" s="1"/>
      <c r="E1000" s="1"/>
      <c r="F1000" s="1"/>
      <c r="G1000" s="1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000"/>
  <sheetViews>
    <sheetView workbookViewId="0"/>
  </sheetViews>
  <sheetFormatPr baseColWidth="10" defaultColWidth="11.1640625" defaultRowHeight="15" customHeight="1"/>
  <cols>
    <col min="1" max="1" width="6.83203125" customWidth="1"/>
    <col min="2" max="2" width="34.1640625" customWidth="1"/>
    <col min="3" max="3" width="6.83203125" customWidth="1"/>
    <col min="4" max="7" width="10.1640625" hidden="1" customWidth="1"/>
    <col min="8" max="14" width="6.83203125" customWidth="1"/>
    <col min="15" max="15" width="24.83203125" customWidth="1"/>
    <col min="16" max="26" width="6.83203125" customWidth="1"/>
  </cols>
  <sheetData>
    <row r="1" spans="1:15" ht="15.75" customHeight="1">
      <c r="A1" s="32" t="s">
        <v>174</v>
      </c>
      <c r="B1" s="1"/>
      <c r="D1" s="1"/>
      <c r="E1" s="1"/>
      <c r="F1" s="1"/>
      <c r="G1" s="1"/>
      <c r="O1" s="1"/>
    </row>
    <row r="2" spans="1:15" ht="15.75" customHeight="1">
      <c r="A2" s="32" t="s">
        <v>172</v>
      </c>
      <c r="B2" s="32" t="s">
        <v>175</v>
      </c>
      <c r="C2" s="32" t="s">
        <v>47</v>
      </c>
      <c r="D2" s="32" t="s">
        <v>48</v>
      </c>
      <c r="E2" s="32" t="s">
        <v>37</v>
      </c>
      <c r="F2" s="32" t="s">
        <v>38</v>
      </c>
      <c r="G2" s="32" t="s">
        <v>39</v>
      </c>
      <c r="H2" s="32" t="s">
        <v>40</v>
      </c>
      <c r="I2" s="32" t="s">
        <v>41</v>
      </c>
      <c r="J2" s="32" t="s">
        <v>42</v>
      </c>
      <c r="K2" s="32" t="s">
        <v>43</v>
      </c>
      <c r="L2" s="32" t="s">
        <v>44</v>
      </c>
      <c r="M2" s="32" t="s">
        <v>45</v>
      </c>
      <c r="N2" s="32" t="s">
        <v>46</v>
      </c>
      <c r="O2" s="32" t="s">
        <v>176</v>
      </c>
    </row>
    <row r="3" spans="1:15" ht="15.75" customHeight="1">
      <c r="A3" s="63">
        <v>1033</v>
      </c>
      <c r="B3" s="63" t="s">
        <v>93</v>
      </c>
      <c r="D3" s="1"/>
      <c r="E3" s="1"/>
      <c r="F3" s="1"/>
      <c r="G3" s="1"/>
      <c r="H3" s="64">
        <v>31.99</v>
      </c>
      <c r="O3" s="63" t="s">
        <v>177</v>
      </c>
    </row>
    <row r="4" spans="1:15" ht="15.75" customHeight="1">
      <c r="A4" s="63">
        <v>1048</v>
      </c>
      <c r="B4" s="63" t="s">
        <v>178</v>
      </c>
      <c r="D4" s="1"/>
      <c r="E4" s="1"/>
      <c r="F4" s="1"/>
      <c r="G4" s="1"/>
      <c r="H4" s="64">
        <v>59.99</v>
      </c>
      <c r="O4" s="63" t="s">
        <v>177</v>
      </c>
    </row>
    <row r="5" spans="1:15" ht="15.75" customHeight="1">
      <c r="A5" s="63">
        <v>264</v>
      </c>
      <c r="B5" s="63" t="s">
        <v>179</v>
      </c>
      <c r="D5" s="1"/>
      <c r="E5" s="1"/>
      <c r="F5" s="1"/>
      <c r="G5" s="1"/>
      <c r="H5" s="64">
        <v>412036.53</v>
      </c>
      <c r="O5" s="63" t="s">
        <v>180</v>
      </c>
    </row>
    <row r="6" spans="1:15" ht="15.75" customHeight="1">
      <c r="A6" s="63">
        <v>796</v>
      </c>
      <c r="B6" s="63" t="s">
        <v>181</v>
      </c>
      <c r="D6" s="1"/>
      <c r="E6" s="1"/>
      <c r="F6" s="1"/>
      <c r="G6" s="1"/>
      <c r="H6" s="64">
        <v>66.010000000000005</v>
      </c>
      <c r="O6" s="63" t="s">
        <v>177</v>
      </c>
    </row>
    <row r="7" spans="1:15" ht="15.75" customHeight="1">
      <c r="A7" s="63">
        <v>236</v>
      </c>
      <c r="B7" s="63" t="s">
        <v>182</v>
      </c>
      <c r="D7" s="1"/>
      <c r="E7" s="1"/>
      <c r="F7" s="1"/>
      <c r="G7" s="1"/>
      <c r="H7" s="64">
        <v>97.5</v>
      </c>
      <c r="O7" s="63" t="s">
        <v>177</v>
      </c>
    </row>
    <row r="8" spans="1:15" ht="15.75" customHeight="1">
      <c r="A8" s="63">
        <v>85</v>
      </c>
      <c r="B8" s="63" t="s">
        <v>183</v>
      </c>
      <c r="D8" s="1"/>
      <c r="E8" s="1"/>
      <c r="F8" s="1"/>
      <c r="G8" s="1"/>
      <c r="H8" s="64">
        <v>63440</v>
      </c>
      <c r="O8" s="63" t="s">
        <v>177</v>
      </c>
    </row>
    <row r="9" spans="1:15" ht="15.75" customHeight="1">
      <c r="B9" s="1"/>
      <c r="D9" s="1"/>
      <c r="E9" s="1"/>
      <c r="F9" s="1"/>
      <c r="G9" s="1"/>
      <c r="O9" s="1"/>
    </row>
    <row r="10" spans="1:15" ht="15.75" customHeight="1">
      <c r="B10" s="1"/>
      <c r="D10" s="1"/>
      <c r="E10" s="1"/>
      <c r="F10" s="1"/>
      <c r="G10" s="1"/>
      <c r="O10" s="1"/>
    </row>
    <row r="11" spans="1:15" ht="15.75" customHeight="1">
      <c r="B11" s="1"/>
      <c r="D11" s="1"/>
      <c r="E11" s="1"/>
      <c r="F11" s="1"/>
      <c r="G11" s="1"/>
      <c r="O11" s="1"/>
    </row>
    <row r="12" spans="1:15" ht="15.75" customHeight="1">
      <c r="B12" s="1"/>
      <c r="D12" s="1"/>
      <c r="E12" s="1"/>
      <c r="F12" s="1"/>
      <c r="G12" s="1"/>
      <c r="O12" s="1"/>
    </row>
    <row r="13" spans="1:15" ht="15.75" customHeight="1">
      <c r="B13" s="1"/>
      <c r="D13" s="1"/>
      <c r="E13" s="1"/>
      <c r="F13" s="1"/>
      <c r="G13" s="1"/>
      <c r="O13" s="1"/>
    </row>
    <row r="14" spans="1:15" ht="15.75" customHeight="1">
      <c r="B14" s="1"/>
      <c r="D14" s="1"/>
      <c r="E14" s="1"/>
      <c r="F14" s="1"/>
      <c r="G14" s="1"/>
      <c r="O14" s="1"/>
    </row>
    <row r="15" spans="1:15" ht="15.75" customHeight="1">
      <c r="B15" s="1"/>
      <c r="D15" s="1"/>
      <c r="E15" s="1"/>
      <c r="F15" s="1"/>
      <c r="G15" s="1"/>
      <c r="O15" s="1"/>
    </row>
    <row r="16" spans="1:15" ht="15.75" customHeight="1">
      <c r="B16" s="1"/>
      <c r="D16" s="1"/>
      <c r="E16" s="1"/>
      <c r="F16" s="1"/>
      <c r="G16" s="1"/>
      <c r="O16" s="1"/>
    </row>
    <row r="17" spans="2:15" ht="15.75" customHeight="1">
      <c r="B17" s="1"/>
      <c r="D17" s="1"/>
      <c r="E17" s="1"/>
      <c r="F17" s="1"/>
      <c r="G17" s="1"/>
      <c r="O17" s="1"/>
    </row>
    <row r="18" spans="2:15" ht="15.75" customHeight="1">
      <c r="B18" s="1"/>
      <c r="D18" s="1"/>
      <c r="E18" s="1"/>
      <c r="F18" s="1"/>
      <c r="G18" s="1"/>
      <c r="O18" s="1"/>
    </row>
    <row r="19" spans="2:15" ht="15.75" customHeight="1">
      <c r="B19" s="1"/>
      <c r="D19" s="1"/>
      <c r="E19" s="1"/>
      <c r="F19" s="1"/>
      <c r="G19" s="1"/>
      <c r="O19" s="1"/>
    </row>
    <row r="20" spans="2:15" ht="15.75" customHeight="1">
      <c r="B20" s="1"/>
      <c r="D20" s="1"/>
      <c r="E20" s="1"/>
      <c r="F20" s="1"/>
      <c r="G20" s="1"/>
      <c r="O20" s="1"/>
    </row>
    <row r="21" spans="2:15" ht="15.75" customHeight="1">
      <c r="B21" s="1"/>
      <c r="D21" s="1"/>
      <c r="E21" s="1"/>
      <c r="F21" s="1"/>
      <c r="G21" s="1"/>
      <c r="O21" s="1"/>
    </row>
    <row r="22" spans="2:15" ht="15.75" customHeight="1">
      <c r="B22" s="1"/>
      <c r="D22" s="1"/>
      <c r="E22" s="1"/>
      <c r="F22" s="1"/>
      <c r="G22" s="1"/>
      <c r="O22" s="1"/>
    </row>
    <row r="23" spans="2:15" ht="15.75" customHeight="1">
      <c r="B23" s="1"/>
      <c r="D23" s="1"/>
      <c r="E23" s="1"/>
      <c r="F23" s="1"/>
      <c r="G23" s="1"/>
      <c r="O23" s="1"/>
    </row>
    <row r="24" spans="2:15" ht="15.75" customHeight="1">
      <c r="B24" s="1"/>
      <c r="D24" s="1"/>
      <c r="E24" s="1"/>
      <c r="F24" s="1"/>
      <c r="G24" s="1"/>
      <c r="O24" s="1"/>
    </row>
    <row r="25" spans="2:15" ht="15.75" customHeight="1">
      <c r="B25" s="1"/>
      <c r="D25" s="1"/>
      <c r="E25" s="1"/>
      <c r="F25" s="1"/>
      <c r="G25" s="1"/>
      <c r="O25" s="1"/>
    </row>
    <row r="26" spans="2:15" ht="15.75" customHeight="1">
      <c r="B26" s="1"/>
      <c r="D26" s="1"/>
      <c r="E26" s="1"/>
      <c r="F26" s="1"/>
      <c r="G26" s="1"/>
      <c r="O26" s="1"/>
    </row>
    <row r="27" spans="2:15" ht="15.75" customHeight="1">
      <c r="B27" s="1"/>
      <c r="D27" s="1"/>
      <c r="E27" s="1"/>
      <c r="F27" s="1"/>
      <c r="G27" s="1"/>
      <c r="O27" s="1"/>
    </row>
    <row r="28" spans="2:15" ht="15.75" customHeight="1">
      <c r="B28" s="1"/>
      <c r="D28" s="1"/>
      <c r="E28" s="1"/>
      <c r="F28" s="1"/>
      <c r="G28" s="1"/>
      <c r="O28" s="1"/>
    </row>
    <row r="29" spans="2:15" ht="15.75" customHeight="1">
      <c r="B29" s="1"/>
      <c r="D29" s="1"/>
      <c r="E29" s="1"/>
      <c r="F29" s="1"/>
      <c r="G29" s="1"/>
      <c r="O29" s="1"/>
    </row>
    <row r="30" spans="2:15" ht="15.75" customHeight="1">
      <c r="B30" s="1"/>
      <c r="D30" s="1"/>
      <c r="E30" s="1"/>
      <c r="F30" s="1"/>
      <c r="G30" s="1"/>
      <c r="O30" s="1"/>
    </row>
    <row r="31" spans="2:15" ht="15.75" customHeight="1">
      <c r="B31" s="1"/>
      <c r="D31" s="1"/>
      <c r="E31" s="1"/>
      <c r="F31" s="1"/>
      <c r="G31" s="1"/>
      <c r="O31" s="1"/>
    </row>
    <row r="32" spans="2:15" ht="15.75" customHeight="1">
      <c r="B32" s="1"/>
      <c r="D32" s="1"/>
      <c r="E32" s="1"/>
      <c r="F32" s="1"/>
      <c r="G32" s="1"/>
      <c r="O32" s="1"/>
    </row>
    <row r="33" spans="2:15" ht="15.75" customHeight="1">
      <c r="B33" s="1"/>
      <c r="D33" s="1"/>
      <c r="E33" s="1"/>
      <c r="F33" s="1"/>
      <c r="G33" s="1"/>
      <c r="O33" s="1"/>
    </row>
    <row r="34" spans="2:15" ht="15.75" customHeight="1">
      <c r="B34" s="1"/>
      <c r="D34" s="1"/>
      <c r="E34" s="1"/>
      <c r="F34" s="1"/>
      <c r="G34" s="1"/>
      <c r="O34" s="1"/>
    </row>
    <row r="35" spans="2:15" ht="15.75" customHeight="1">
      <c r="B35" s="1"/>
      <c r="D35" s="1"/>
      <c r="E35" s="1"/>
      <c r="F35" s="1"/>
      <c r="G35" s="1"/>
      <c r="O35" s="1"/>
    </row>
    <row r="36" spans="2:15" ht="15.75" customHeight="1">
      <c r="B36" s="1"/>
      <c r="D36" s="1"/>
      <c r="E36" s="1"/>
      <c r="F36" s="1"/>
      <c r="G36" s="1"/>
      <c r="O36" s="1"/>
    </row>
    <row r="37" spans="2:15" ht="15.75" customHeight="1">
      <c r="B37" s="1"/>
      <c r="D37" s="1"/>
      <c r="E37" s="1"/>
      <c r="F37" s="1"/>
      <c r="G37" s="1"/>
      <c r="O37" s="1"/>
    </row>
    <row r="38" spans="2:15" ht="15.75" customHeight="1">
      <c r="B38" s="1"/>
      <c r="D38" s="1"/>
      <c r="E38" s="1"/>
      <c r="F38" s="1"/>
      <c r="G38" s="1"/>
      <c r="O38" s="1"/>
    </row>
    <row r="39" spans="2:15" ht="15.75" customHeight="1">
      <c r="B39" s="1"/>
      <c r="D39" s="1"/>
      <c r="E39" s="1"/>
      <c r="F39" s="1"/>
      <c r="G39" s="1"/>
      <c r="O39" s="1"/>
    </row>
    <row r="40" spans="2:15" ht="15.75" customHeight="1">
      <c r="B40" s="1"/>
      <c r="D40" s="1"/>
      <c r="E40" s="1"/>
      <c r="F40" s="1"/>
      <c r="G40" s="1"/>
      <c r="O40" s="1"/>
    </row>
    <row r="41" spans="2:15" ht="15.75" customHeight="1">
      <c r="B41" s="1"/>
      <c r="D41" s="1"/>
      <c r="E41" s="1"/>
      <c r="F41" s="1"/>
      <c r="G41" s="1"/>
      <c r="O41" s="1"/>
    </row>
    <row r="42" spans="2:15" ht="15.75" customHeight="1">
      <c r="B42" s="1"/>
      <c r="D42" s="1"/>
      <c r="E42" s="1"/>
      <c r="F42" s="1"/>
      <c r="G42" s="1"/>
      <c r="O42" s="1"/>
    </row>
    <row r="43" spans="2:15" ht="15.75" customHeight="1">
      <c r="B43" s="1"/>
      <c r="D43" s="1"/>
      <c r="E43" s="1"/>
      <c r="F43" s="1"/>
      <c r="G43" s="1"/>
      <c r="O43" s="1"/>
    </row>
    <row r="44" spans="2:15" ht="15.75" customHeight="1">
      <c r="B44" s="1"/>
      <c r="D44" s="1"/>
      <c r="E44" s="1"/>
      <c r="F44" s="1"/>
      <c r="G44" s="1"/>
      <c r="O44" s="1"/>
    </row>
    <row r="45" spans="2:15" ht="15.75" customHeight="1">
      <c r="B45" s="1"/>
      <c r="D45" s="1"/>
      <c r="E45" s="1"/>
      <c r="F45" s="1"/>
      <c r="G45" s="1"/>
      <c r="O45" s="1"/>
    </row>
    <row r="46" spans="2:15" ht="15.75" customHeight="1">
      <c r="B46" s="1"/>
      <c r="D46" s="1"/>
      <c r="E46" s="1"/>
      <c r="F46" s="1"/>
      <c r="G46" s="1"/>
      <c r="O46" s="1"/>
    </row>
    <row r="47" spans="2:15" ht="15.75" customHeight="1">
      <c r="B47" s="1"/>
      <c r="D47" s="1"/>
      <c r="E47" s="1"/>
      <c r="F47" s="1"/>
      <c r="G47" s="1"/>
      <c r="O47" s="1"/>
    </row>
    <row r="48" spans="2:15" ht="15.75" customHeight="1">
      <c r="B48" s="1"/>
      <c r="D48" s="1"/>
      <c r="E48" s="1"/>
      <c r="F48" s="1"/>
      <c r="G48" s="1"/>
      <c r="O48" s="1"/>
    </row>
    <row r="49" spans="2:15" ht="15.75" customHeight="1">
      <c r="B49" s="1"/>
      <c r="D49" s="1"/>
      <c r="E49" s="1"/>
      <c r="F49" s="1"/>
      <c r="G49" s="1"/>
      <c r="O49" s="1"/>
    </row>
    <row r="50" spans="2:15" ht="15.75" customHeight="1">
      <c r="B50" s="1"/>
      <c r="D50" s="1"/>
      <c r="E50" s="1"/>
      <c r="F50" s="1"/>
      <c r="G50" s="1"/>
      <c r="O50" s="1"/>
    </row>
    <row r="51" spans="2:15" ht="15.75" customHeight="1">
      <c r="B51" s="1"/>
      <c r="D51" s="1"/>
      <c r="E51" s="1"/>
      <c r="F51" s="1"/>
      <c r="G51" s="1"/>
      <c r="O51" s="1"/>
    </row>
    <row r="52" spans="2:15" ht="15.75" customHeight="1">
      <c r="B52" s="1"/>
      <c r="D52" s="1"/>
      <c r="E52" s="1"/>
      <c r="F52" s="1"/>
      <c r="G52" s="1"/>
      <c r="O52" s="1"/>
    </row>
    <row r="53" spans="2:15" ht="15.75" customHeight="1">
      <c r="B53" s="1"/>
      <c r="D53" s="1"/>
      <c r="E53" s="1"/>
      <c r="F53" s="1"/>
      <c r="G53" s="1"/>
      <c r="O53" s="1"/>
    </row>
    <row r="54" spans="2:15" ht="15.75" customHeight="1">
      <c r="B54" s="1"/>
      <c r="D54" s="1"/>
      <c r="E54" s="1"/>
      <c r="F54" s="1"/>
      <c r="G54" s="1"/>
      <c r="O54" s="1"/>
    </row>
    <row r="55" spans="2:15" ht="15.75" customHeight="1">
      <c r="B55" s="1"/>
      <c r="D55" s="1"/>
      <c r="E55" s="1"/>
      <c r="F55" s="1"/>
      <c r="G55" s="1"/>
      <c r="O55" s="1"/>
    </row>
    <row r="56" spans="2:15" ht="15.75" customHeight="1">
      <c r="B56" s="1"/>
      <c r="D56" s="1"/>
      <c r="E56" s="1"/>
      <c r="F56" s="1"/>
      <c r="G56" s="1"/>
      <c r="O56" s="1"/>
    </row>
    <row r="57" spans="2:15" ht="15.75" customHeight="1">
      <c r="B57" s="1"/>
      <c r="D57" s="1"/>
      <c r="E57" s="1"/>
      <c r="F57" s="1"/>
      <c r="G57" s="1"/>
      <c r="O57" s="1"/>
    </row>
    <row r="58" spans="2:15" ht="15.75" customHeight="1">
      <c r="B58" s="1"/>
      <c r="D58" s="1"/>
      <c r="E58" s="1"/>
      <c r="F58" s="1"/>
      <c r="G58" s="1"/>
      <c r="O58" s="1"/>
    </row>
    <row r="59" spans="2:15" ht="15.75" customHeight="1">
      <c r="B59" s="1"/>
      <c r="D59" s="1"/>
      <c r="E59" s="1"/>
      <c r="F59" s="1"/>
      <c r="G59" s="1"/>
      <c r="O59" s="1"/>
    </row>
    <row r="60" spans="2:15" ht="15.75" customHeight="1">
      <c r="B60" s="1"/>
      <c r="D60" s="1"/>
      <c r="E60" s="1"/>
      <c r="F60" s="1"/>
      <c r="G60" s="1"/>
      <c r="O60" s="1"/>
    </row>
    <row r="61" spans="2:15" ht="15.75" customHeight="1">
      <c r="B61" s="1"/>
      <c r="D61" s="1"/>
      <c r="E61" s="1"/>
      <c r="F61" s="1"/>
      <c r="G61" s="1"/>
      <c r="O61" s="1"/>
    </row>
    <row r="62" spans="2:15" ht="15.75" customHeight="1">
      <c r="B62" s="1"/>
      <c r="D62" s="1"/>
      <c r="E62" s="1"/>
      <c r="F62" s="1"/>
      <c r="G62" s="1"/>
      <c r="O62" s="1"/>
    </row>
    <row r="63" spans="2:15" ht="15.75" customHeight="1">
      <c r="B63" s="1"/>
      <c r="D63" s="1"/>
      <c r="E63" s="1"/>
      <c r="F63" s="1"/>
      <c r="G63" s="1"/>
      <c r="O63" s="1"/>
    </row>
    <row r="64" spans="2:15" ht="15.75" customHeight="1">
      <c r="B64" s="1"/>
      <c r="D64" s="1"/>
      <c r="E64" s="1"/>
      <c r="F64" s="1"/>
      <c r="G64" s="1"/>
      <c r="O64" s="1"/>
    </row>
    <row r="65" spans="2:15" ht="15.75" customHeight="1">
      <c r="B65" s="1"/>
      <c r="D65" s="1"/>
      <c r="E65" s="1"/>
      <c r="F65" s="1"/>
      <c r="G65" s="1"/>
      <c r="O65" s="1"/>
    </row>
    <row r="66" spans="2:15" ht="15.75" customHeight="1">
      <c r="B66" s="1"/>
      <c r="D66" s="1"/>
      <c r="E66" s="1"/>
      <c r="F66" s="1"/>
      <c r="G66" s="1"/>
      <c r="O66" s="1"/>
    </row>
    <row r="67" spans="2:15" ht="15.75" customHeight="1">
      <c r="B67" s="1"/>
      <c r="D67" s="1"/>
      <c r="E67" s="1"/>
      <c r="F67" s="1"/>
      <c r="G67" s="1"/>
      <c r="O67" s="1"/>
    </row>
    <row r="68" spans="2:15" ht="15.75" customHeight="1">
      <c r="B68" s="1"/>
      <c r="D68" s="1"/>
      <c r="E68" s="1"/>
      <c r="F68" s="1"/>
      <c r="G68" s="1"/>
      <c r="O68" s="1"/>
    </row>
    <row r="69" spans="2:15" ht="15.75" customHeight="1">
      <c r="B69" s="1"/>
      <c r="D69" s="1"/>
      <c r="E69" s="1"/>
      <c r="F69" s="1"/>
      <c r="G69" s="1"/>
      <c r="O69" s="1"/>
    </row>
    <row r="70" spans="2:15" ht="15.75" customHeight="1">
      <c r="B70" s="1"/>
      <c r="D70" s="1"/>
      <c r="E70" s="1"/>
      <c r="F70" s="1"/>
      <c r="G70" s="1"/>
      <c r="O70" s="1"/>
    </row>
    <row r="71" spans="2:15" ht="15.75" customHeight="1">
      <c r="B71" s="1"/>
      <c r="D71" s="1"/>
      <c r="E71" s="1"/>
      <c r="F71" s="1"/>
      <c r="G71" s="1"/>
      <c r="O71" s="1"/>
    </row>
    <row r="72" spans="2:15" ht="15.75" customHeight="1">
      <c r="B72" s="1"/>
      <c r="D72" s="1"/>
      <c r="E72" s="1"/>
      <c r="F72" s="1"/>
      <c r="G72" s="1"/>
      <c r="O72" s="1"/>
    </row>
    <row r="73" spans="2:15" ht="15.75" customHeight="1">
      <c r="B73" s="1"/>
      <c r="D73" s="1"/>
      <c r="E73" s="1"/>
      <c r="F73" s="1"/>
      <c r="G73" s="1"/>
      <c r="O73" s="1"/>
    </row>
    <row r="74" spans="2:15" ht="15.75" customHeight="1">
      <c r="B74" s="1"/>
      <c r="D74" s="1"/>
      <c r="E74" s="1"/>
      <c r="F74" s="1"/>
      <c r="G74" s="1"/>
      <c r="O74" s="1"/>
    </row>
    <row r="75" spans="2:15" ht="15.75" customHeight="1">
      <c r="B75" s="1"/>
      <c r="D75" s="1"/>
      <c r="E75" s="1"/>
      <c r="F75" s="1"/>
      <c r="G75" s="1"/>
      <c r="O75" s="1"/>
    </row>
    <row r="76" spans="2:15" ht="15.75" customHeight="1">
      <c r="B76" s="1"/>
      <c r="D76" s="1"/>
      <c r="E76" s="1"/>
      <c r="F76" s="1"/>
      <c r="G76" s="1"/>
      <c r="O76" s="1"/>
    </row>
    <row r="77" spans="2:15" ht="15.75" customHeight="1">
      <c r="B77" s="1"/>
      <c r="D77" s="1"/>
      <c r="E77" s="1"/>
      <c r="F77" s="1"/>
      <c r="G77" s="1"/>
      <c r="O77" s="1"/>
    </row>
    <row r="78" spans="2:15" ht="15.75" customHeight="1">
      <c r="B78" s="1"/>
      <c r="D78" s="1"/>
      <c r="E78" s="1"/>
      <c r="F78" s="1"/>
      <c r="G78" s="1"/>
      <c r="O78" s="1"/>
    </row>
    <row r="79" spans="2:15" ht="15.75" customHeight="1">
      <c r="B79" s="1"/>
      <c r="D79" s="1"/>
      <c r="E79" s="1"/>
      <c r="F79" s="1"/>
      <c r="G79" s="1"/>
      <c r="O79" s="1"/>
    </row>
    <row r="80" spans="2:15" ht="15.75" customHeight="1">
      <c r="B80" s="1"/>
      <c r="D80" s="1"/>
      <c r="E80" s="1"/>
      <c r="F80" s="1"/>
      <c r="G80" s="1"/>
      <c r="O80" s="1"/>
    </row>
    <row r="81" spans="2:15" ht="15.75" customHeight="1">
      <c r="B81" s="1"/>
      <c r="D81" s="1"/>
      <c r="E81" s="1"/>
      <c r="F81" s="1"/>
      <c r="G81" s="1"/>
      <c r="O81" s="1"/>
    </row>
    <row r="82" spans="2:15" ht="15.75" customHeight="1">
      <c r="B82" s="1"/>
      <c r="D82" s="1"/>
      <c r="E82" s="1"/>
      <c r="F82" s="1"/>
      <c r="G82" s="1"/>
      <c r="O82" s="1"/>
    </row>
    <row r="83" spans="2:15" ht="15.75" customHeight="1">
      <c r="B83" s="1"/>
      <c r="D83" s="1"/>
      <c r="E83" s="1"/>
      <c r="F83" s="1"/>
      <c r="G83" s="1"/>
      <c r="O83" s="1"/>
    </row>
    <row r="84" spans="2:15" ht="15.75" customHeight="1">
      <c r="B84" s="1"/>
      <c r="D84" s="1"/>
      <c r="E84" s="1"/>
      <c r="F84" s="1"/>
      <c r="G84" s="1"/>
      <c r="O84" s="1"/>
    </row>
    <row r="85" spans="2:15" ht="15.75" customHeight="1">
      <c r="B85" s="1"/>
      <c r="D85" s="1"/>
      <c r="E85" s="1"/>
      <c r="F85" s="1"/>
      <c r="G85" s="1"/>
      <c r="O85" s="1"/>
    </row>
    <row r="86" spans="2:15" ht="15.75" customHeight="1">
      <c r="B86" s="1"/>
      <c r="D86" s="1"/>
      <c r="E86" s="1"/>
      <c r="F86" s="1"/>
      <c r="G86" s="1"/>
      <c r="O86" s="1"/>
    </row>
    <row r="87" spans="2:15" ht="15.75" customHeight="1">
      <c r="B87" s="1"/>
      <c r="D87" s="1"/>
      <c r="E87" s="1"/>
      <c r="F87" s="1"/>
      <c r="G87" s="1"/>
      <c r="O87" s="1"/>
    </row>
    <row r="88" spans="2:15" ht="15.75" customHeight="1">
      <c r="B88" s="1"/>
      <c r="D88" s="1"/>
      <c r="E88" s="1"/>
      <c r="F88" s="1"/>
      <c r="G88" s="1"/>
      <c r="O88" s="1"/>
    </row>
    <row r="89" spans="2:15" ht="15.75" customHeight="1">
      <c r="B89" s="1"/>
      <c r="D89" s="1"/>
      <c r="E89" s="1"/>
      <c r="F89" s="1"/>
      <c r="G89" s="1"/>
      <c r="O89" s="1"/>
    </row>
    <row r="90" spans="2:15" ht="15.75" customHeight="1">
      <c r="B90" s="1"/>
      <c r="D90" s="1"/>
      <c r="E90" s="1"/>
      <c r="F90" s="1"/>
      <c r="G90" s="1"/>
      <c r="O90" s="1"/>
    </row>
    <row r="91" spans="2:15" ht="15.75" customHeight="1">
      <c r="B91" s="1"/>
      <c r="D91" s="1"/>
      <c r="E91" s="1"/>
      <c r="F91" s="1"/>
      <c r="G91" s="1"/>
      <c r="O91" s="1"/>
    </row>
    <row r="92" spans="2:15" ht="15.75" customHeight="1">
      <c r="B92" s="1"/>
      <c r="D92" s="1"/>
      <c r="E92" s="1"/>
      <c r="F92" s="1"/>
      <c r="G92" s="1"/>
      <c r="O92" s="1"/>
    </row>
    <row r="93" spans="2:15" ht="15.75" customHeight="1">
      <c r="B93" s="1"/>
      <c r="D93" s="1"/>
      <c r="E93" s="1"/>
      <c r="F93" s="1"/>
      <c r="G93" s="1"/>
      <c r="O93" s="1"/>
    </row>
    <row r="94" spans="2:15" ht="15.75" customHeight="1">
      <c r="B94" s="1"/>
      <c r="D94" s="1"/>
      <c r="E94" s="1"/>
      <c r="F94" s="1"/>
      <c r="G94" s="1"/>
      <c r="O94" s="1"/>
    </row>
    <row r="95" spans="2:15" ht="15.75" customHeight="1">
      <c r="B95" s="1"/>
      <c r="D95" s="1"/>
      <c r="E95" s="1"/>
      <c r="F95" s="1"/>
      <c r="G95" s="1"/>
      <c r="O95" s="1"/>
    </row>
    <row r="96" spans="2:15" ht="15.75" customHeight="1">
      <c r="B96" s="1"/>
      <c r="D96" s="1"/>
      <c r="E96" s="1"/>
      <c r="F96" s="1"/>
      <c r="G96" s="1"/>
      <c r="O96" s="1"/>
    </row>
    <row r="97" spans="2:15" ht="15.75" customHeight="1">
      <c r="B97" s="1"/>
      <c r="D97" s="1"/>
      <c r="E97" s="1"/>
      <c r="F97" s="1"/>
      <c r="G97" s="1"/>
      <c r="O97" s="1"/>
    </row>
    <row r="98" spans="2:15" ht="15.75" customHeight="1">
      <c r="B98" s="1"/>
      <c r="D98" s="1"/>
      <c r="E98" s="1"/>
      <c r="F98" s="1"/>
      <c r="G98" s="1"/>
      <c r="O98" s="1"/>
    </row>
    <row r="99" spans="2:15" ht="15.75" customHeight="1">
      <c r="B99" s="1"/>
      <c r="D99" s="1"/>
      <c r="E99" s="1"/>
      <c r="F99" s="1"/>
      <c r="G99" s="1"/>
      <c r="O99" s="1"/>
    </row>
    <row r="100" spans="2:15" ht="15.75" customHeight="1">
      <c r="B100" s="1"/>
      <c r="D100" s="1"/>
      <c r="E100" s="1"/>
      <c r="F100" s="1"/>
      <c r="G100" s="1"/>
      <c r="O100" s="1"/>
    </row>
    <row r="101" spans="2:15" ht="15.75" customHeight="1">
      <c r="B101" s="1"/>
      <c r="D101" s="1"/>
      <c r="E101" s="1"/>
      <c r="F101" s="1"/>
      <c r="G101" s="1"/>
      <c r="O101" s="1"/>
    </row>
    <row r="102" spans="2:15" ht="15.75" customHeight="1">
      <c r="B102" s="1"/>
      <c r="D102" s="1"/>
      <c r="E102" s="1"/>
      <c r="F102" s="1"/>
      <c r="G102" s="1"/>
      <c r="O102" s="1"/>
    </row>
    <row r="103" spans="2:15" ht="15.75" customHeight="1">
      <c r="B103" s="1"/>
      <c r="D103" s="1"/>
      <c r="E103" s="1"/>
      <c r="F103" s="1"/>
      <c r="G103" s="1"/>
      <c r="O103" s="1"/>
    </row>
    <row r="104" spans="2:15" ht="15.75" customHeight="1">
      <c r="B104" s="1"/>
      <c r="D104" s="1"/>
      <c r="E104" s="1"/>
      <c r="F104" s="1"/>
      <c r="G104" s="1"/>
      <c r="O104" s="1"/>
    </row>
    <row r="105" spans="2:15" ht="15.75" customHeight="1">
      <c r="B105" s="1"/>
      <c r="D105" s="1"/>
      <c r="E105" s="1"/>
      <c r="F105" s="1"/>
      <c r="G105" s="1"/>
      <c r="O105" s="1"/>
    </row>
    <row r="106" spans="2:15" ht="15.75" customHeight="1">
      <c r="B106" s="1"/>
      <c r="D106" s="1"/>
      <c r="E106" s="1"/>
      <c r="F106" s="1"/>
      <c r="G106" s="1"/>
      <c r="O106" s="1"/>
    </row>
    <row r="107" spans="2:15" ht="15.75" customHeight="1">
      <c r="B107" s="1"/>
      <c r="D107" s="1"/>
      <c r="E107" s="1"/>
      <c r="F107" s="1"/>
      <c r="G107" s="1"/>
      <c r="O107" s="1"/>
    </row>
    <row r="108" spans="2:15" ht="15.75" customHeight="1">
      <c r="B108" s="1"/>
      <c r="D108" s="1"/>
      <c r="E108" s="1"/>
      <c r="F108" s="1"/>
      <c r="G108" s="1"/>
      <c r="O108" s="1"/>
    </row>
    <row r="109" spans="2:15" ht="15.75" customHeight="1">
      <c r="B109" s="1"/>
      <c r="D109" s="1"/>
      <c r="E109" s="1"/>
      <c r="F109" s="1"/>
      <c r="G109" s="1"/>
      <c r="O109" s="1"/>
    </row>
    <row r="110" spans="2:15" ht="15.75" customHeight="1">
      <c r="B110" s="1"/>
      <c r="D110" s="1"/>
      <c r="E110" s="1"/>
      <c r="F110" s="1"/>
      <c r="G110" s="1"/>
      <c r="O110" s="1"/>
    </row>
    <row r="111" spans="2:15" ht="15.75" customHeight="1">
      <c r="B111" s="1"/>
      <c r="D111" s="1"/>
      <c r="E111" s="1"/>
      <c r="F111" s="1"/>
      <c r="G111" s="1"/>
      <c r="O111" s="1"/>
    </row>
    <row r="112" spans="2:15" ht="15.75" customHeight="1">
      <c r="B112" s="1"/>
      <c r="D112" s="1"/>
      <c r="E112" s="1"/>
      <c r="F112" s="1"/>
      <c r="G112" s="1"/>
      <c r="O112" s="1"/>
    </row>
    <row r="113" spans="2:15" ht="15.75" customHeight="1">
      <c r="B113" s="1"/>
      <c r="D113" s="1"/>
      <c r="E113" s="1"/>
      <c r="F113" s="1"/>
      <c r="G113" s="1"/>
      <c r="O113" s="1"/>
    </row>
    <row r="114" spans="2:15" ht="15.75" customHeight="1">
      <c r="B114" s="1"/>
      <c r="D114" s="1"/>
      <c r="E114" s="1"/>
      <c r="F114" s="1"/>
      <c r="G114" s="1"/>
      <c r="O114" s="1"/>
    </row>
    <row r="115" spans="2:15" ht="15.75" customHeight="1">
      <c r="B115" s="1"/>
      <c r="D115" s="1"/>
      <c r="E115" s="1"/>
      <c r="F115" s="1"/>
      <c r="G115" s="1"/>
      <c r="O115" s="1"/>
    </row>
    <row r="116" spans="2:15" ht="15.75" customHeight="1">
      <c r="B116" s="1"/>
      <c r="D116" s="1"/>
      <c r="E116" s="1"/>
      <c r="F116" s="1"/>
      <c r="G116" s="1"/>
      <c r="O116" s="1"/>
    </row>
    <row r="117" spans="2:15" ht="15.75" customHeight="1">
      <c r="B117" s="1"/>
      <c r="D117" s="1"/>
      <c r="E117" s="1"/>
      <c r="F117" s="1"/>
      <c r="G117" s="1"/>
      <c r="O117" s="1"/>
    </row>
    <row r="118" spans="2:15" ht="15.75" customHeight="1">
      <c r="B118" s="1"/>
      <c r="D118" s="1"/>
      <c r="E118" s="1"/>
      <c r="F118" s="1"/>
      <c r="G118" s="1"/>
      <c r="O118" s="1"/>
    </row>
    <row r="119" spans="2:15" ht="15.75" customHeight="1">
      <c r="B119" s="1"/>
      <c r="D119" s="1"/>
      <c r="E119" s="1"/>
      <c r="F119" s="1"/>
      <c r="G119" s="1"/>
      <c r="O119" s="1"/>
    </row>
    <row r="120" spans="2:15" ht="15.75" customHeight="1">
      <c r="B120" s="1"/>
      <c r="D120" s="1"/>
      <c r="E120" s="1"/>
      <c r="F120" s="1"/>
      <c r="G120" s="1"/>
      <c r="O120" s="1"/>
    </row>
    <row r="121" spans="2:15" ht="15.75" customHeight="1">
      <c r="B121" s="1"/>
      <c r="D121" s="1"/>
      <c r="E121" s="1"/>
      <c r="F121" s="1"/>
      <c r="G121" s="1"/>
      <c r="O121" s="1"/>
    </row>
    <row r="122" spans="2:15" ht="15.75" customHeight="1">
      <c r="B122" s="1"/>
      <c r="D122" s="1"/>
      <c r="E122" s="1"/>
      <c r="F122" s="1"/>
      <c r="G122" s="1"/>
      <c r="O122" s="1"/>
    </row>
    <row r="123" spans="2:15" ht="15.75" customHeight="1">
      <c r="B123" s="1"/>
      <c r="D123" s="1"/>
      <c r="E123" s="1"/>
      <c r="F123" s="1"/>
      <c r="G123" s="1"/>
      <c r="O123" s="1"/>
    </row>
    <row r="124" spans="2:15" ht="15.75" customHeight="1">
      <c r="B124" s="1"/>
      <c r="D124" s="1"/>
      <c r="E124" s="1"/>
      <c r="F124" s="1"/>
      <c r="G124" s="1"/>
      <c r="O124" s="1"/>
    </row>
    <row r="125" spans="2:15" ht="15.75" customHeight="1">
      <c r="B125" s="1"/>
      <c r="D125" s="1"/>
      <c r="E125" s="1"/>
      <c r="F125" s="1"/>
      <c r="G125" s="1"/>
      <c r="O125" s="1"/>
    </row>
    <row r="126" spans="2:15" ht="15.75" customHeight="1">
      <c r="B126" s="1"/>
      <c r="D126" s="1"/>
      <c r="E126" s="1"/>
      <c r="F126" s="1"/>
      <c r="G126" s="1"/>
      <c r="O126" s="1"/>
    </row>
    <row r="127" spans="2:15" ht="15.75" customHeight="1">
      <c r="B127" s="1"/>
      <c r="D127" s="1"/>
      <c r="E127" s="1"/>
      <c r="F127" s="1"/>
      <c r="G127" s="1"/>
      <c r="O127" s="1"/>
    </row>
    <row r="128" spans="2:15" ht="15.75" customHeight="1">
      <c r="B128" s="1"/>
      <c r="D128" s="1"/>
      <c r="E128" s="1"/>
      <c r="F128" s="1"/>
      <c r="G128" s="1"/>
      <c r="O128" s="1"/>
    </row>
    <row r="129" spans="2:15" ht="15.75" customHeight="1">
      <c r="B129" s="1"/>
      <c r="D129" s="1"/>
      <c r="E129" s="1"/>
      <c r="F129" s="1"/>
      <c r="G129" s="1"/>
      <c r="O129" s="1"/>
    </row>
    <row r="130" spans="2:15" ht="15.75" customHeight="1">
      <c r="B130" s="1"/>
      <c r="D130" s="1"/>
      <c r="E130" s="1"/>
      <c r="F130" s="1"/>
      <c r="G130" s="1"/>
      <c r="O130" s="1"/>
    </row>
    <row r="131" spans="2:15" ht="15.75" customHeight="1">
      <c r="B131" s="1"/>
      <c r="D131" s="1"/>
      <c r="E131" s="1"/>
      <c r="F131" s="1"/>
      <c r="G131" s="1"/>
      <c r="O131" s="1"/>
    </row>
    <row r="132" spans="2:15" ht="15.75" customHeight="1">
      <c r="B132" s="1"/>
      <c r="D132" s="1"/>
      <c r="E132" s="1"/>
      <c r="F132" s="1"/>
      <c r="G132" s="1"/>
      <c r="O132" s="1"/>
    </row>
    <row r="133" spans="2:15" ht="15.75" customHeight="1">
      <c r="B133" s="1"/>
      <c r="D133" s="1"/>
      <c r="E133" s="1"/>
      <c r="F133" s="1"/>
      <c r="G133" s="1"/>
      <c r="O133" s="1"/>
    </row>
    <row r="134" spans="2:15" ht="15.75" customHeight="1">
      <c r="B134" s="1"/>
      <c r="D134" s="1"/>
      <c r="E134" s="1"/>
      <c r="F134" s="1"/>
      <c r="G134" s="1"/>
      <c r="O134" s="1"/>
    </row>
    <row r="135" spans="2:15" ht="15.75" customHeight="1">
      <c r="B135" s="1"/>
      <c r="D135" s="1"/>
      <c r="E135" s="1"/>
      <c r="F135" s="1"/>
      <c r="G135" s="1"/>
      <c r="O135" s="1"/>
    </row>
    <row r="136" spans="2:15" ht="15.75" customHeight="1">
      <c r="B136" s="1"/>
      <c r="D136" s="1"/>
      <c r="E136" s="1"/>
      <c r="F136" s="1"/>
      <c r="G136" s="1"/>
      <c r="O136" s="1"/>
    </row>
    <row r="137" spans="2:15" ht="15.75" customHeight="1">
      <c r="B137" s="1"/>
      <c r="D137" s="1"/>
      <c r="E137" s="1"/>
      <c r="F137" s="1"/>
      <c r="G137" s="1"/>
      <c r="O137" s="1"/>
    </row>
    <row r="138" spans="2:15" ht="15.75" customHeight="1">
      <c r="B138" s="1"/>
      <c r="D138" s="1"/>
      <c r="E138" s="1"/>
      <c r="F138" s="1"/>
      <c r="G138" s="1"/>
      <c r="O138" s="1"/>
    </row>
    <row r="139" spans="2:15" ht="15.75" customHeight="1">
      <c r="B139" s="1"/>
      <c r="D139" s="1"/>
      <c r="E139" s="1"/>
      <c r="F139" s="1"/>
      <c r="G139" s="1"/>
      <c r="O139" s="1"/>
    </row>
    <row r="140" spans="2:15" ht="15.75" customHeight="1">
      <c r="B140" s="1"/>
      <c r="D140" s="1"/>
      <c r="E140" s="1"/>
      <c r="F140" s="1"/>
      <c r="G140" s="1"/>
      <c r="O140" s="1"/>
    </row>
    <row r="141" spans="2:15" ht="15.75" customHeight="1">
      <c r="B141" s="1"/>
      <c r="D141" s="1"/>
      <c r="E141" s="1"/>
      <c r="F141" s="1"/>
      <c r="G141" s="1"/>
      <c r="O141" s="1"/>
    </row>
    <row r="142" spans="2:15" ht="15.75" customHeight="1">
      <c r="B142" s="1"/>
      <c r="D142" s="1"/>
      <c r="E142" s="1"/>
      <c r="F142" s="1"/>
      <c r="G142" s="1"/>
      <c r="O142" s="1"/>
    </row>
    <row r="143" spans="2:15" ht="15.75" customHeight="1">
      <c r="B143" s="1"/>
      <c r="D143" s="1"/>
      <c r="E143" s="1"/>
      <c r="F143" s="1"/>
      <c r="G143" s="1"/>
      <c r="O143" s="1"/>
    </row>
    <row r="144" spans="2:15" ht="15.75" customHeight="1">
      <c r="B144" s="1"/>
      <c r="D144" s="1"/>
      <c r="E144" s="1"/>
      <c r="F144" s="1"/>
      <c r="G144" s="1"/>
      <c r="O144" s="1"/>
    </row>
    <row r="145" spans="2:15" ht="15.75" customHeight="1">
      <c r="B145" s="1"/>
      <c r="D145" s="1"/>
      <c r="E145" s="1"/>
      <c r="F145" s="1"/>
      <c r="G145" s="1"/>
      <c r="O145" s="1"/>
    </row>
    <row r="146" spans="2:15" ht="15.75" customHeight="1">
      <c r="B146" s="1"/>
      <c r="D146" s="1"/>
      <c r="E146" s="1"/>
      <c r="F146" s="1"/>
      <c r="G146" s="1"/>
      <c r="O146" s="1"/>
    </row>
    <row r="147" spans="2:15" ht="15.75" customHeight="1">
      <c r="B147" s="1"/>
      <c r="D147" s="1"/>
      <c r="E147" s="1"/>
      <c r="F147" s="1"/>
      <c r="G147" s="1"/>
      <c r="O147" s="1"/>
    </row>
    <row r="148" spans="2:15" ht="15.75" customHeight="1">
      <c r="B148" s="1"/>
      <c r="D148" s="1"/>
      <c r="E148" s="1"/>
      <c r="F148" s="1"/>
      <c r="G148" s="1"/>
      <c r="O148" s="1"/>
    </row>
    <row r="149" spans="2:15" ht="15.75" customHeight="1">
      <c r="B149" s="1"/>
      <c r="D149" s="1"/>
      <c r="E149" s="1"/>
      <c r="F149" s="1"/>
      <c r="G149" s="1"/>
      <c r="O149" s="1"/>
    </row>
    <row r="150" spans="2:15" ht="15.75" customHeight="1">
      <c r="B150" s="1"/>
      <c r="D150" s="1"/>
      <c r="E150" s="1"/>
      <c r="F150" s="1"/>
      <c r="G150" s="1"/>
      <c r="O150" s="1"/>
    </row>
    <row r="151" spans="2:15" ht="15.75" customHeight="1">
      <c r="B151" s="1"/>
      <c r="D151" s="1"/>
      <c r="E151" s="1"/>
      <c r="F151" s="1"/>
      <c r="G151" s="1"/>
      <c r="O151" s="1"/>
    </row>
    <row r="152" spans="2:15" ht="15.75" customHeight="1">
      <c r="B152" s="1"/>
      <c r="D152" s="1"/>
      <c r="E152" s="1"/>
      <c r="F152" s="1"/>
      <c r="G152" s="1"/>
      <c r="O152" s="1"/>
    </row>
    <row r="153" spans="2:15" ht="15.75" customHeight="1">
      <c r="B153" s="1"/>
      <c r="D153" s="1"/>
      <c r="E153" s="1"/>
      <c r="F153" s="1"/>
      <c r="G153" s="1"/>
      <c r="O153" s="1"/>
    </row>
    <row r="154" spans="2:15" ht="15.75" customHeight="1">
      <c r="B154" s="1"/>
      <c r="D154" s="1"/>
      <c r="E154" s="1"/>
      <c r="F154" s="1"/>
      <c r="G154" s="1"/>
      <c r="O154" s="1"/>
    </row>
    <row r="155" spans="2:15" ht="15.75" customHeight="1">
      <c r="B155" s="1"/>
      <c r="D155" s="1"/>
      <c r="E155" s="1"/>
      <c r="F155" s="1"/>
      <c r="G155" s="1"/>
      <c r="O155" s="1"/>
    </row>
    <row r="156" spans="2:15" ht="15.75" customHeight="1">
      <c r="B156" s="1"/>
      <c r="D156" s="1"/>
      <c r="E156" s="1"/>
      <c r="F156" s="1"/>
      <c r="G156" s="1"/>
      <c r="O156" s="1"/>
    </row>
    <row r="157" spans="2:15" ht="15.75" customHeight="1">
      <c r="B157" s="1"/>
      <c r="D157" s="1"/>
      <c r="E157" s="1"/>
      <c r="F157" s="1"/>
      <c r="G157" s="1"/>
      <c r="O157" s="1"/>
    </row>
    <row r="158" spans="2:15" ht="15.75" customHeight="1">
      <c r="B158" s="1"/>
      <c r="D158" s="1"/>
      <c r="E158" s="1"/>
      <c r="F158" s="1"/>
      <c r="G158" s="1"/>
      <c r="O158" s="1"/>
    </row>
    <row r="159" spans="2:15" ht="15.75" customHeight="1">
      <c r="B159" s="1"/>
      <c r="D159" s="1"/>
      <c r="E159" s="1"/>
      <c r="F159" s="1"/>
      <c r="G159" s="1"/>
      <c r="O159" s="1"/>
    </row>
    <row r="160" spans="2:15" ht="15.75" customHeight="1">
      <c r="B160" s="1"/>
      <c r="D160" s="1"/>
      <c r="E160" s="1"/>
      <c r="F160" s="1"/>
      <c r="G160" s="1"/>
      <c r="O160" s="1"/>
    </row>
    <row r="161" spans="2:15" ht="15.75" customHeight="1">
      <c r="B161" s="1"/>
      <c r="D161" s="1"/>
      <c r="E161" s="1"/>
      <c r="F161" s="1"/>
      <c r="G161" s="1"/>
      <c r="O161" s="1"/>
    </row>
    <row r="162" spans="2:15" ht="15.75" customHeight="1">
      <c r="B162" s="1"/>
      <c r="D162" s="1"/>
      <c r="E162" s="1"/>
      <c r="F162" s="1"/>
      <c r="G162" s="1"/>
      <c r="O162" s="1"/>
    </row>
    <row r="163" spans="2:15" ht="15.75" customHeight="1">
      <c r="B163" s="1"/>
      <c r="D163" s="1"/>
      <c r="E163" s="1"/>
      <c r="F163" s="1"/>
      <c r="G163" s="1"/>
      <c r="O163" s="1"/>
    </row>
    <row r="164" spans="2:15" ht="15.75" customHeight="1">
      <c r="B164" s="1"/>
      <c r="D164" s="1"/>
      <c r="E164" s="1"/>
      <c r="F164" s="1"/>
      <c r="G164" s="1"/>
      <c r="O164" s="1"/>
    </row>
    <row r="165" spans="2:15" ht="15.75" customHeight="1">
      <c r="B165" s="1"/>
      <c r="D165" s="1"/>
      <c r="E165" s="1"/>
      <c r="F165" s="1"/>
      <c r="G165" s="1"/>
      <c r="O165" s="1"/>
    </row>
    <row r="166" spans="2:15" ht="15.75" customHeight="1">
      <c r="B166" s="1"/>
      <c r="D166" s="1"/>
      <c r="E166" s="1"/>
      <c r="F166" s="1"/>
      <c r="G166" s="1"/>
      <c r="O166" s="1"/>
    </row>
    <row r="167" spans="2:15" ht="15.75" customHeight="1">
      <c r="B167" s="1"/>
      <c r="D167" s="1"/>
      <c r="E167" s="1"/>
      <c r="F167" s="1"/>
      <c r="G167" s="1"/>
      <c r="O167" s="1"/>
    </row>
    <row r="168" spans="2:15" ht="15.75" customHeight="1">
      <c r="B168" s="1"/>
      <c r="D168" s="1"/>
      <c r="E168" s="1"/>
      <c r="F168" s="1"/>
      <c r="G168" s="1"/>
      <c r="O168" s="1"/>
    </row>
    <row r="169" spans="2:15" ht="15.75" customHeight="1">
      <c r="B169" s="1"/>
      <c r="D169" s="1"/>
      <c r="E169" s="1"/>
      <c r="F169" s="1"/>
      <c r="G169" s="1"/>
      <c r="O169" s="1"/>
    </row>
    <row r="170" spans="2:15" ht="15.75" customHeight="1">
      <c r="B170" s="1"/>
      <c r="D170" s="1"/>
      <c r="E170" s="1"/>
      <c r="F170" s="1"/>
      <c r="G170" s="1"/>
      <c r="O170" s="1"/>
    </row>
    <row r="171" spans="2:15" ht="15.75" customHeight="1">
      <c r="B171" s="1"/>
      <c r="D171" s="1"/>
      <c r="E171" s="1"/>
      <c r="F171" s="1"/>
      <c r="G171" s="1"/>
      <c r="O171" s="1"/>
    </row>
    <row r="172" spans="2:15" ht="15.75" customHeight="1">
      <c r="B172" s="1"/>
      <c r="D172" s="1"/>
      <c r="E172" s="1"/>
      <c r="F172" s="1"/>
      <c r="G172" s="1"/>
      <c r="O172" s="1"/>
    </row>
    <row r="173" spans="2:15" ht="15.75" customHeight="1">
      <c r="B173" s="1"/>
      <c r="D173" s="1"/>
      <c r="E173" s="1"/>
      <c r="F173" s="1"/>
      <c r="G173" s="1"/>
      <c r="O173" s="1"/>
    </row>
    <row r="174" spans="2:15" ht="15.75" customHeight="1">
      <c r="B174" s="1"/>
      <c r="D174" s="1"/>
      <c r="E174" s="1"/>
      <c r="F174" s="1"/>
      <c r="G174" s="1"/>
      <c r="O174" s="1"/>
    </row>
    <row r="175" spans="2:15" ht="15.75" customHeight="1">
      <c r="B175" s="1"/>
      <c r="D175" s="1"/>
      <c r="E175" s="1"/>
      <c r="F175" s="1"/>
      <c r="G175" s="1"/>
      <c r="O175" s="1"/>
    </row>
    <row r="176" spans="2:15" ht="15.75" customHeight="1">
      <c r="B176" s="1"/>
      <c r="D176" s="1"/>
      <c r="E176" s="1"/>
      <c r="F176" s="1"/>
      <c r="G176" s="1"/>
      <c r="O176" s="1"/>
    </row>
    <row r="177" spans="2:15" ht="15.75" customHeight="1">
      <c r="B177" s="1"/>
      <c r="D177" s="1"/>
      <c r="E177" s="1"/>
      <c r="F177" s="1"/>
      <c r="G177" s="1"/>
      <c r="O177" s="1"/>
    </row>
    <row r="178" spans="2:15" ht="15.75" customHeight="1">
      <c r="B178" s="1"/>
      <c r="D178" s="1"/>
      <c r="E178" s="1"/>
      <c r="F178" s="1"/>
      <c r="G178" s="1"/>
      <c r="O178" s="1"/>
    </row>
    <row r="179" spans="2:15" ht="15.75" customHeight="1">
      <c r="B179" s="1"/>
      <c r="D179" s="1"/>
      <c r="E179" s="1"/>
      <c r="F179" s="1"/>
      <c r="G179" s="1"/>
      <c r="O179" s="1"/>
    </row>
    <row r="180" spans="2:15" ht="15.75" customHeight="1">
      <c r="B180" s="1"/>
      <c r="D180" s="1"/>
      <c r="E180" s="1"/>
      <c r="F180" s="1"/>
      <c r="G180" s="1"/>
      <c r="O180" s="1"/>
    </row>
    <row r="181" spans="2:15" ht="15.75" customHeight="1">
      <c r="B181" s="1"/>
      <c r="D181" s="1"/>
      <c r="E181" s="1"/>
      <c r="F181" s="1"/>
      <c r="G181" s="1"/>
      <c r="O181" s="1"/>
    </row>
    <row r="182" spans="2:15" ht="15.75" customHeight="1">
      <c r="B182" s="1"/>
      <c r="D182" s="1"/>
      <c r="E182" s="1"/>
      <c r="F182" s="1"/>
      <c r="G182" s="1"/>
      <c r="O182" s="1"/>
    </row>
    <row r="183" spans="2:15" ht="15.75" customHeight="1">
      <c r="B183" s="1"/>
      <c r="D183" s="1"/>
      <c r="E183" s="1"/>
      <c r="F183" s="1"/>
      <c r="G183" s="1"/>
      <c r="O183" s="1"/>
    </row>
    <row r="184" spans="2:15" ht="15.75" customHeight="1">
      <c r="B184" s="1"/>
      <c r="D184" s="1"/>
      <c r="E184" s="1"/>
      <c r="F184" s="1"/>
      <c r="G184" s="1"/>
      <c r="O184" s="1"/>
    </row>
    <row r="185" spans="2:15" ht="15.75" customHeight="1">
      <c r="B185" s="1"/>
      <c r="D185" s="1"/>
      <c r="E185" s="1"/>
      <c r="F185" s="1"/>
      <c r="G185" s="1"/>
      <c r="O185" s="1"/>
    </row>
    <row r="186" spans="2:15" ht="15.75" customHeight="1">
      <c r="B186" s="1"/>
      <c r="D186" s="1"/>
      <c r="E186" s="1"/>
      <c r="F186" s="1"/>
      <c r="G186" s="1"/>
      <c r="O186" s="1"/>
    </row>
    <row r="187" spans="2:15" ht="15.75" customHeight="1">
      <c r="B187" s="1"/>
      <c r="D187" s="1"/>
      <c r="E187" s="1"/>
      <c r="F187" s="1"/>
      <c r="G187" s="1"/>
      <c r="O187" s="1"/>
    </row>
    <row r="188" spans="2:15" ht="15.75" customHeight="1">
      <c r="B188" s="1"/>
      <c r="D188" s="1"/>
      <c r="E188" s="1"/>
      <c r="F188" s="1"/>
      <c r="G188" s="1"/>
      <c r="O188" s="1"/>
    </row>
    <row r="189" spans="2:15" ht="15.75" customHeight="1">
      <c r="B189" s="1"/>
      <c r="D189" s="1"/>
      <c r="E189" s="1"/>
      <c r="F189" s="1"/>
      <c r="G189" s="1"/>
      <c r="O189" s="1"/>
    </row>
    <row r="190" spans="2:15" ht="15.75" customHeight="1">
      <c r="B190" s="1"/>
      <c r="D190" s="1"/>
      <c r="E190" s="1"/>
      <c r="F190" s="1"/>
      <c r="G190" s="1"/>
      <c r="O190" s="1"/>
    </row>
    <row r="191" spans="2:15" ht="15.75" customHeight="1">
      <c r="B191" s="1"/>
      <c r="D191" s="1"/>
      <c r="E191" s="1"/>
      <c r="F191" s="1"/>
      <c r="G191" s="1"/>
      <c r="O191" s="1"/>
    </row>
    <row r="192" spans="2:15" ht="15.75" customHeight="1">
      <c r="B192" s="1"/>
      <c r="D192" s="1"/>
      <c r="E192" s="1"/>
      <c r="F192" s="1"/>
      <c r="G192" s="1"/>
      <c r="O192" s="1"/>
    </row>
    <row r="193" spans="2:15" ht="15.75" customHeight="1">
      <c r="B193" s="1"/>
      <c r="D193" s="1"/>
      <c r="E193" s="1"/>
      <c r="F193" s="1"/>
      <c r="G193" s="1"/>
      <c r="O193" s="1"/>
    </row>
    <row r="194" spans="2:15" ht="15.75" customHeight="1">
      <c r="B194" s="1"/>
      <c r="D194" s="1"/>
      <c r="E194" s="1"/>
      <c r="F194" s="1"/>
      <c r="G194" s="1"/>
      <c r="O194" s="1"/>
    </row>
    <row r="195" spans="2:15" ht="15.75" customHeight="1">
      <c r="B195" s="1"/>
      <c r="D195" s="1"/>
      <c r="E195" s="1"/>
      <c r="F195" s="1"/>
      <c r="G195" s="1"/>
      <c r="O195" s="1"/>
    </row>
    <row r="196" spans="2:15" ht="15.75" customHeight="1">
      <c r="B196" s="1"/>
      <c r="D196" s="1"/>
      <c r="E196" s="1"/>
      <c r="F196" s="1"/>
      <c r="G196" s="1"/>
      <c r="O196" s="1"/>
    </row>
    <row r="197" spans="2:15" ht="15.75" customHeight="1">
      <c r="B197" s="1"/>
      <c r="D197" s="1"/>
      <c r="E197" s="1"/>
      <c r="F197" s="1"/>
      <c r="G197" s="1"/>
      <c r="O197" s="1"/>
    </row>
    <row r="198" spans="2:15" ht="15.75" customHeight="1">
      <c r="B198" s="1"/>
      <c r="D198" s="1"/>
      <c r="E198" s="1"/>
      <c r="F198" s="1"/>
      <c r="G198" s="1"/>
      <c r="O198" s="1"/>
    </row>
    <row r="199" spans="2:15" ht="15.75" customHeight="1">
      <c r="B199" s="1"/>
      <c r="D199" s="1"/>
      <c r="E199" s="1"/>
      <c r="F199" s="1"/>
      <c r="G199" s="1"/>
      <c r="O199" s="1"/>
    </row>
    <row r="200" spans="2:15" ht="15.75" customHeight="1">
      <c r="B200" s="1"/>
      <c r="D200" s="1"/>
      <c r="E200" s="1"/>
      <c r="F200" s="1"/>
      <c r="G200" s="1"/>
      <c r="O200" s="1"/>
    </row>
    <row r="201" spans="2:15" ht="15.75" customHeight="1">
      <c r="B201" s="1"/>
      <c r="D201" s="1"/>
      <c r="E201" s="1"/>
      <c r="F201" s="1"/>
      <c r="G201" s="1"/>
      <c r="O201" s="1"/>
    </row>
    <row r="202" spans="2:15" ht="15.75" customHeight="1">
      <c r="B202" s="1"/>
      <c r="D202" s="1"/>
      <c r="E202" s="1"/>
      <c r="F202" s="1"/>
      <c r="G202" s="1"/>
      <c r="O202" s="1"/>
    </row>
    <row r="203" spans="2:15" ht="15.75" customHeight="1">
      <c r="B203" s="1"/>
      <c r="D203" s="1"/>
      <c r="E203" s="1"/>
      <c r="F203" s="1"/>
      <c r="G203" s="1"/>
      <c r="O203" s="1"/>
    </row>
    <row r="204" spans="2:15" ht="15.75" customHeight="1">
      <c r="B204" s="1"/>
      <c r="D204" s="1"/>
      <c r="E204" s="1"/>
      <c r="F204" s="1"/>
      <c r="G204" s="1"/>
      <c r="O204" s="1"/>
    </row>
    <row r="205" spans="2:15" ht="15.75" customHeight="1">
      <c r="B205" s="1"/>
      <c r="D205" s="1"/>
      <c r="E205" s="1"/>
      <c r="F205" s="1"/>
      <c r="G205" s="1"/>
      <c r="O205" s="1"/>
    </row>
    <row r="206" spans="2:15" ht="15.75" customHeight="1">
      <c r="B206" s="1"/>
      <c r="D206" s="1"/>
      <c r="E206" s="1"/>
      <c r="F206" s="1"/>
      <c r="G206" s="1"/>
      <c r="O206" s="1"/>
    </row>
    <row r="207" spans="2:15" ht="15.75" customHeight="1">
      <c r="B207" s="1"/>
      <c r="D207" s="1"/>
      <c r="E207" s="1"/>
      <c r="F207" s="1"/>
      <c r="G207" s="1"/>
      <c r="O207" s="1"/>
    </row>
    <row r="208" spans="2:15" ht="15.75" customHeight="1">
      <c r="B208" s="1"/>
      <c r="D208" s="1"/>
      <c r="E208" s="1"/>
      <c r="F208" s="1"/>
      <c r="G208" s="1"/>
      <c r="O208" s="1"/>
    </row>
    <row r="209" spans="2:15" ht="15.75" customHeight="1">
      <c r="B209" s="1"/>
      <c r="D209" s="1"/>
      <c r="E209" s="1"/>
      <c r="F209" s="1"/>
      <c r="G209" s="1"/>
      <c r="O209" s="1"/>
    </row>
    <row r="210" spans="2:15" ht="15.75" customHeight="1">
      <c r="B210" s="1"/>
      <c r="D210" s="1"/>
      <c r="E210" s="1"/>
      <c r="F210" s="1"/>
      <c r="G210" s="1"/>
      <c r="O210" s="1"/>
    </row>
    <row r="211" spans="2:15" ht="15.75" customHeight="1">
      <c r="B211" s="1"/>
      <c r="D211" s="1"/>
      <c r="E211" s="1"/>
      <c r="F211" s="1"/>
      <c r="G211" s="1"/>
      <c r="O211" s="1"/>
    </row>
    <row r="212" spans="2:15" ht="15.75" customHeight="1">
      <c r="B212" s="1"/>
      <c r="D212" s="1"/>
      <c r="E212" s="1"/>
      <c r="F212" s="1"/>
      <c r="G212" s="1"/>
      <c r="O212" s="1"/>
    </row>
    <row r="213" spans="2:15" ht="15.75" customHeight="1">
      <c r="B213" s="1"/>
      <c r="D213" s="1"/>
      <c r="E213" s="1"/>
      <c r="F213" s="1"/>
      <c r="G213" s="1"/>
      <c r="O213" s="1"/>
    </row>
    <row r="214" spans="2:15" ht="15.75" customHeight="1">
      <c r="B214" s="1"/>
      <c r="D214" s="1"/>
      <c r="E214" s="1"/>
      <c r="F214" s="1"/>
      <c r="G214" s="1"/>
      <c r="O214" s="1"/>
    </row>
    <row r="215" spans="2:15" ht="15.75" customHeight="1">
      <c r="B215" s="1"/>
      <c r="D215" s="1"/>
      <c r="E215" s="1"/>
      <c r="F215" s="1"/>
      <c r="G215" s="1"/>
      <c r="O215" s="1"/>
    </row>
    <row r="216" spans="2:15" ht="15.75" customHeight="1">
      <c r="B216" s="1"/>
      <c r="D216" s="1"/>
      <c r="E216" s="1"/>
      <c r="F216" s="1"/>
      <c r="G216" s="1"/>
      <c r="O216" s="1"/>
    </row>
    <row r="217" spans="2:15" ht="15.75" customHeight="1">
      <c r="B217" s="1"/>
      <c r="D217" s="1"/>
      <c r="E217" s="1"/>
      <c r="F217" s="1"/>
      <c r="G217" s="1"/>
      <c r="O217" s="1"/>
    </row>
    <row r="218" spans="2:15" ht="15.75" customHeight="1">
      <c r="B218" s="1"/>
      <c r="D218" s="1"/>
      <c r="E218" s="1"/>
      <c r="F218" s="1"/>
      <c r="G218" s="1"/>
      <c r="O218" s="1"/>
    </row>
    <row r="219" spans="2:15" ht="15.75" customHeight="1">
      <c r="B219" s="1"/>
      <c r="D219" s="1"/>
      <c r="E219" s="1"/>
      <c r="F219" s="1"/>
      <c r="G219" s="1"/>
      <c r="O219" s="1"/>
    </row>
    <row r="220" spans="2:15" ht="15.75" customHeight="1">
      <c r="B220" s="1"/>
      <c r="D220" s="1"/>
      <c r="E220" s="1"/>
      <c r="F220" s="1"/>
      <c r="G220" s="1"/>
      <c r="O220" s="1"/>
    </row>
    <row r="221" spans="2:15" ht="15.75" customHeight="1">
      <c r="B221" s="1"/>
      <c r="D221" s="1"/>
      <c r="E221" s="1"/>
      <c r="F221" s="1"/>
      <c r="G221" s="1"/>
      <c r="O221" s="1"/>
    </row>
    <row r="222" spans="2:15" ht="15.75" customHeight="1">
      <c r="B222" s="1"/>
      <c r="D222" s="1"/>
      <c r="E222" s="1"/>
      <c r="F222" s="1"/>
      <c r="G222" s="1"/>
      <c r="O222" s="1"/>
    </row>
    <row r="223" spans="2:15" ht="15.75" customHeight="1">
      <c r="B223" s="1"/>
      <c r="D223" s="1"/>
      <c r="E223" s="1"/>
      <c r="F223" s="1"/>
      <c r="G223" s="1"/>
      <c r="O223" s="1"/>
    </row>
    <row r="224" spans="2:15" ht="15.75" customHeight="1">
      <c r="B224" s="1"/>
      <c r="D224" s="1"/>
      <c r="E224" s="1"/>
      <c r="F224" s="1"/>
      <c r="G224" s="1"/>
      <c r="O224" s="1"/>
    </row>
    <row r="225" spans="2:15" ht="15.75" customHeight="1">
      <c r="B225" s="1"/>
      <c r="D225" s="1"/>
      <c r="E225" s="1"/>
      <c r="F225" s="1"/>
      <c r="G225" s="1"/>
      <c r="O225" s="1"/>
    </row>
    <row r="226" spans="2:15" ht="15.75" customHeight="1">
      <c r="B226" s="1"/>
      <c r="D226" s="1"/>
      <c r="E226" s="1"/>
      <c r="F226" s="1"/>
      <c r="G226" s="1"/>
      <c r="O226" s="1"/>
    </row>
    <row r="227" spans="2:15" ht="15.75" customHeight="1">
      <c r="B227" s="1"/>
      <c r="D227" s="1"/>
      <c r="E227" s="1"/>
      <c r="F227" s="1"/>
      <c r="G227" s="1"/>
      <c r="O227" s="1"/>
    </row>
    <row r="228" spans="2:15" ht="15.75" customHeight="1">
      <c r="B228" s="1"/>
      <c r="D228" s="1"/>
      <c r="E228" s="1"/>
      <c r="F228" s="1"/>
      <c r="G228" s="1"/>
      <c r="O228" s="1"/>
    </row>
    <row r="229" spans="2:15" ht="15.75" customHeight="1">
      <c r="B229" s="1"/>
      <c r="D229" s="1"/>
      <c r="E229" s="1"/>
      <c r="F229" s="1"/>
      <c r="G229" s="1"/>
      <c r="O229" s="1"/>
    </row>
    <row r="230" spans="2:15" ht="15.75" customHeight="1">
      <c r="B230" s="1"/>
      <c r="D230" s="1"/>
      <c r="E230" s="1"/>
      <c r="F230" s="1"/>
      <c r="G230" s="1"/>
      <c r="O230" s="1"/>
    </row>
    <row r="231" spans="2:15" ht="15.75" customHeight="1">
      <c r="B231" s="1"/>
      <c r="D231" s="1"/>
      <c r="E231" s="1"/>
      <c r="F231" s="1"/>
      <c r="G231" s="1"/>
      <c r="O231" s="1"/>
    </row>
    <row r="232" spans="2:15" ht="15.75" customHeight="1">
      <c r="B232" s="1"/>
      <c r="D232" s="1"/>
      <c r="E232" s="1"/>
      <c r="F232" s="1"/>
      <c r="G232" s="1"/>
      <c r="O232" s="1"/>
    </row>
    <row r="233" spans="2:15" ht="15.75" customHeight="1">
      <c r="B233" s="1"/>
      <c r="D233" s="1"/>
      <c r="E233" s="1"/>
      <c r="F233" s="1"/>
      <c r="G233" s="1"/>
      <c r="O233" s="1"/>
    </row>
    <row r="234" spans="2:15" ht="15.75" customHeight="1">
      <c r="B234" s="1"/>
      <c r="D234" s="1"/>
      <c r="E234" s="1"/>
      <c r="F234" s="1"/>
      <c r="G234" s="1"/>
      <c r="O234" s="1"/>
    </row>
    <row r="235" spans="2:15" ht="15.75" customHeight="1">
      <c r="B235" s="1"/>
      <c r="D235" s="1"/>
      <c r="E235" s="1"/>
      <c r="F235" s="1"/>
      <c r="G235" s="1"/>
      <c r="O235" s="1"/>
    </row>
    <row r="236" spans="2:15" ht="15.75" customHeight="1">
      <c r="B236" s="1"/>
      <c r="D236" s="1"/>
      <c r="E236" s="1"/>
      <c r="F236" s="1"/>
      <c r="G236" s="1"/>
      <c r="O236" s="1"/>
    </row>
    <row r="237" spans="2:15" ht="15.75" customHeight="1">
      <c r="B237" s="1"/>
      <c r="D237" s="1"/>
      <c r="E237" s="1"/>
      <c r="F237" s="1"/>
      <c r="G237" s="1"/>
      <c r="O237" s="1"/>
    </row>
    <row r="238" spans="2:15" ht="15.75" customHeight="1">
      <c r="B238" s="1"/>
      <c r="D238" s="1"/>
      <c r="E238" s="1"/>
      <c r="F238" s="1"/>
      <c r="G238" s="1"/>
      <c r="O238" s="1"/>
    </row>
    <row r="239" spans="2:15" ht="15.75" customHeight="1">
      <c r="B239" s="1"/>
      <c r="D239" s="1"/>
      <c r="E239" s="1"/>
      <c r="F239" s="1"/>
      <c r="G239" s="1"/>
      <c r="O239" s="1"/>
    </row>
    <row r="240" spans="2:15" ht="15.75" customHeight="1">
      <c r="B240" s="1"/>
      <c r="D240" s="1"/>
      <c r="E240" s="1"/>
      <c r="F240" s="1"/>
      <c r="G240" s="1"/>
      <c r="O240" s="1"/>
    </row>
    <row r="241" spans="2:15" ht="15.75" customHeight="1">
      <c r="B241" s="1"/>
      <c r="D241" s="1"/>
      <c r="E241" s="1"/>
      <c r="F241" s="1"/>
      <c r="G241" s="1"/>
      <c r="O241" s="1"/>
    </row>
    <row r="242" spans="2:15" ht="15.75" customHeight="1">
      <c r="B242" s="1"/>
      <c r="D242" s="1"/>
      <c r="E242" s="1"/>
      <c r="F242" s="1"/>
      <c r="G242" s="1"/>
      <c r="O242" s="1"/>
    </row>
    <row r="243" spans="2:15" ht="15.75" customHeight="1">
      <c r="B243" s="1"/>
      <c r="D243" s="1"/>
      <c r="E243" s="1"/>
      <c r="F243" s="1"/>
      <c r="G243" s="1"/>
      <c r="O243" s="1"/>
    </row>
    <row r="244" spans="2:15" ht="15.75" customHeight="1">
      <c r="B244" s="1"/>
      <c r="D244" s="1"/>
      <c r="E244" s="1"/>
      <c r="F244" s="1"/>
      <c r="G244" s="1"/>
      <c r="O244" s="1"/>
    </row>
    <row r="245" spans="2:15" ht="15.75" customHeight="1">
      <c r="B245" s="1"/>
      <c r="D245" s="1"/>
      <c r="E245" s="1"/>
      <c r="F245" s="1"/>
      <c r="G245" s="1"/>
      <c r="O245" s="1"/>
    </row>
    <row r="246" spans="2:15" ht="15.75" customHeight="1">
      <c r="B246" s="1"/>
      <c r="D246" s="1"/>
      <c r="E246" s="1"/>
      <c r="F246" s="1"/>
      <c r="G246" s="1"/>
      <c r="O246" s="1"/>
    </row>
    <row r="247" spans="2:15" ht="15.75" customHeight="1">
      <c r="B247" s="1"/>
      <c r="D247" s="1"/>
      <c r="E247" s="1"/>
      <c r="F247" s="1"/>
      <c r="G247" s="1"/>
      <c r="O247" s="1"/>
    </row>
    <row r="248" spans="2:15" ht="15.75" customHeight="1">
      <c r="B248" s="1"/>
      <c r="D248" s="1"/>
      <c r="E248" s="1"/>
      <c r="F248" s="1"/>
      <c r="G248" s="1"/>
      <c r="O248" s="1"/>
    </row>
    <row r="249" spans="2:15" ht="15.75" customHeight="1">
      <c r="B249" s="1"/>
      <c r="D249" s="1"/>
      <c r="E249" s="1"/>
      <c r="F249" s="1"/>
      <c r="G249" s="1"/>
      <c r="O249" s="1"/>
    </row>
    <row r="250" spans="2:15" ht="15.75" customHeight="1">
      <c r="B250" s="1"/>
      <c r="D250" s="1"/>
      <c r="E250" s="1"/>
      <c r="F250" s="1"/>
      <c r="G250" s="1"/>
      <c r="O250" s="1"/>
    </row>
    <row r="251" spans="2:15" ht="15.75" customHeight="1">
      <c r="B251" s="1"/>
      <c r="D251" s="1"/>
      <c r="E251" s="1"/>
      <c r="F251" s="1"/>
      <c r="G251" s="1"/>
      <c r="O251" s="1"/>
    </row>
    <row r="252" spans="2:15" ht="15.75" customHeight="1">
      <c r="B252" s="1"/>
      <c r="D252" s="1"/>
      <c r="E252" s="1"/>
      <c r="F252" s="1"/>
      <c r="G252" s="1"/>
      <c r="O252" s="1"/>
    </row>
    <row r="253" spans="2:15" ht="15.75" customHeight="1">
      <c r="B253" s="1"/>
      <c r="D253" s="1"/>
      <c r="E253" s="1"/>
      <c r="F253" s="1"/>
      <c r="G253" s="1"/>
      <c r="O253" s="1"/>
    </row>
    <row r="254" spans="2:15" ht="15.75" customHeight="1">
      <c r="B254" s="1"/>
      <c r="D254" s="1"/>
      <c r="E254" s="1"/>
      <c r="F254" s="1"/>
      <c r="G254" s="1"/>
      <c r="O254" s="1"/>
    </row>
    <row r="255" spans="2:15" ht="15.75" customHeight="1">
      <c r="B255" s="1"/>
      <c r="D255" s="1"/>
      <c r="E255" s="1"/>
      <c r="F255" s="1"/>
      <c r="G255" s="1"/>
      <c r="O255" s="1"/>
    </row>
    <row r="256" spans="2:15" ht="15.75" customHeight="1">
      <c r="B256" s="1"/>
      <c r="D256" s="1"/>
      <c r="E256" s="1"/>
      <c r="F256" s="1"/>
      <c r="G256" s="1"/>
      <c r="O256" s="1"/>
    </row>
    <row r="257" spans="2:15" ht="15.75" customHeight="1">
      <c r="B257" s="1"/>
      <c r="D257" s="1"/>
      <c r="E257" s="1"/>
      <c r="F257" s="1"/>
      <c r="G257" s="1"/>
      <c r="O257" s="1"/>
    </row>
    <row r="258" spans="2:15" ht="15.75" customHeight="1">
      <c r="B258" s="1"/>
      <c r="D258" s="1"/>
      <c r="E258" s="1"/>
      <c r="F258" s="1"/>
      <c r="G258" s="1"/>
      <c r="O258" s="1"/>
    </row>
    <row r="259" spans="2:15" ht="15.75" customHeight="1">
      <c r="B259" s="1"/>
      <c r="D259" s="1"/>
      <c r="E259" s="1"/>
      <c r="F259" s="1"/>
      <c r="G259" s="1"/>
      <c r="O259" s="1"/>
    </row>
    <row r="260" spans="2:15" ht="15.75" customHeight="1">
      <c r="B260" s="1"/>
      <c r="D260" s="1"/>
      <c r="E260" s="1"/>
      <c r="F260" s="1"/>
      <c r="G260" s="1"/>
      <c r="O260" s="1"/>
    </row>
    <row r="261" spans="2:15" ht="15.75" customHeight="1">
      <c r="B261" s="1"/>
      <c r="D261" s="1"/>
      <c r="E261" s="1"/>
      <c r="F261" s="1"/>
      <c r="G261" s="1"/>
      <c r="O261" s="1"/>
    </row>
    <row r="262" spans="2:15" ht="15.75" customHeight="1">
      <c r="B262" s="1"/>
      <c r="D262" s="1"/>
      <c r="E262" s="1"/>
      <c r="F262" s="1"/>
      <c r="G262" s="1"/>
      <c r="O262" s="1"/>
    </row>
    <row r="263" spans="2:15" ht="15.75" customHeight="1">
      <c r="B263" s="1"/>
      <c r="D263" s="1"/>
      <c r="E263" s="1"/>
      <c r="F263" s="1"/>
      <c r="G263" s="1"/>
      <c r="O263" s="1"/>
    </row>
    <row r="264" spans="2:15" ht="15.75" customHeight="1">
      <c r="B264" s="1"/>
      <c r="D264" s="1"/>
      <c r="E264" s="1"/>
      <c r="F264" s="1"/>
      <c r="G264" s="1"/>
      <c r="O264" s="1"/>
    </row>
    <row r="265" spans="2:15" ht="15.75" customHeight="1">
      <c r="B265" s="1"/>
      <c r="D265" s="1"/>
      <c r="E265" s="1"/>
      <c r="F265" s="1"/>
      <c r="G265" s="1"/>
      <c r="O265" s="1"/>
    </row>
    <row r="266" spans="2:15" ht="15.75" customHeight="1">
      <c r="B266" s="1"/>
      <c r="D266" s="1"/>
      <c r="E266" s="1"/>
      <c r="F266" s="1"/>
      <c r="G266" s="1"/>
      <c r="O266" s="1"/>
    </row>
    <row r="267" spans="2:15" ht="15.75" customHeight="1">
      <c r="B267" s="1"/>
      <c r="D267" s="1"/>
      <c r="E267" s="1"/>
      <c r="F267" s="1"/>
      <c r="G267" s="1"/>
      <c r="O267" s="1"/>
    </row>
    <row r="268" spans="2:15" ht="15.75" customHeight="1">
      <c r="B268" s="1"/>
      <c r="D268" s="1"/>
      <c r="E268" s="1"/>
      <c r="F268" s="1"/>
      <c r="G268" s="1"/>
      <c r="O268" s="1"/>
    </row>
    <row r="269" spans="2:15" ht="15.75" customHeight="1">
      <c r="B269" s="1"/>
      <c r="D269" s="1"/>
      <c r="E269" s="1"/>
      <c r="F269" s="1"/>
      <c r="G269" s="1"/>
      <c r="O269" s="1"/>
    </row>
    <row r="270" spans="2:15" ht="15.75" customHeight="1">
      <c r="B270" s="1"/>
      <c r="D270" s="1"/>
      <c r="E270" s="1"/>
      <c r="F270" s="1"/>
      <c r="G270" s="1"/>
      <c r="O270" s="1"/>
    </row>
    <row r="271" spans="2:15" ht="15.75" customHeight="1">
      <c r="B271" s="1"/>
      <c r="D271" s="1"/>
      <c r="E271" s="1"/>
      <c r="F271" s="1"/>
      <c r="G271" s="1"/>
      <c r="O271" s="1"/>
    </row>
    <row r="272" spans="2:15" ht="15.75" customHeight="1">
      <c r="B272" s="1"/>
      <c r="D272" s="1"/>
      <c r="E272" s="1"/>
      <c r="F272" s="1"/>
      <c r="G272" s="1"/>
      <c r="O272" s="1"/>
    </row>
    <row r="273" spans="2:15" ht="15.75" customHeight="1">
      <c r="B273" s="1"/>
      <c r="D273" s="1"/>
      <c r="E273" s="1"/>
      <c r="F273" s="1"/>
      <c r="G273" s="1"/>
      <c r="O273" s="1"/>
    </row>
    <row r="274" spans="2:15" ht="15.75" customHeight="1">
      <c r="B274" s="1"/>
      <c r="D274" s="1"/>
      <c r="E274" s="1"/>
      <c r="F274" s="1"/>
      <c r="G274" s="1"/>
      <c r="O274" s="1"/>
    </row>
    <row r="275" spans="2:15" ht="15.75" customHeight="1">
      <c r="B275" s="1"/>
      <c r="D275" s="1"/>
      <c r="E275" s="1"/>
      <c r="F275" s="1"/>
      <c r="G275" s="1"/>
      <c r="O275" s="1"/>
    </row>
    <row r="276" spans="2:15" ht="15.75" customHeight="1">
      <c r="B276" s="1"/>
      <c r="D276" s="1"/>
      <c r="E276" s="1"/>
      <c r="F276" s="1"/>
      <c r="G276" s="1"/>
      <c r="O276" s="1"/>
    </row>
    <row r="277" spans="2:15" ht="15.75" customHeight="1">
      <c r="B277" s="1"/>
      <c r="D277" s="1"/>
      <c r="E277" s="1"/>
      <c r="F277" s="1"/>
      <c r="G277" s="1"/>
      <c r="O277" s="1"/>
    </row>
    <row r="278" spans="2:15" ht="15.75" customHeight="1">
      <c r="B278" s="1"/>
      <c r="D278" s="1"/>
      <c r="E278" s="1"/>
      <c r="F278" s="1"/>
      <c r="G278" s="1"/>
      <c r="O278" s="1"/>
    </row>
    <row r="279" spans="2:15" ht="15.75" customHeight="1">
      <c r="B279" s="1"/>
      <c r="D279" s="1"/>
      <c r="E279" s="1"/>
      <c r="F279" s="1"/>
      <c r="G279" s="1"/>
      <c r="O279" s="1"/>
    </row>
    <row r="280" spans="2:15" ht="15.75" customHeight="1">
      <c r="B280" s="1"/>
      <c r="D280" s="1"/>
      <c r="E280" s="1"/>
      <c r="F280" s="1"/>
      <c r="G280" s="1"/>
      <c r="O280" s="1"/>
    </row>
    <row r="281" spans="2:15" ht="15.75" customHeight="1">
      <c r="B281" s="1"/>
      <c r="D281" s="1"/>
      <c r="E281" s="1"/>
      <c r="F281" s="1"/>
      <c r="G281" s="1"/>
      <c r="O281" s="1"/>
    </row>
    <row r="282" spans="2:15" ht="15.75" customHeight="1">
      <c r="B282" s="1"/>
      <c r="D282" s="1"/>
      <c r="E282" s="1"/>
      <c r="F282" s="1"/>
      <c r="G282" s="1"/>
      <c r="O282" s="1"/>
    </row>
    <row r="283" spans="2:15" ht="15.75" customHeight="1">
      <c r="B283" s="1"/>
      <c r="D283" s="1"/>
      <c r="E283" s="1"/>
      <c r="F283" s="1"/>
      <c r="G283" s="1"/>
      <c r="O283" s="1"/>
    </row>
    <row r="284" spans="2:15" ht="15.75" customHeight="1">
      <c r="B284" s="1"/>
      <c r="D284" s="1"/>
      <c r="E284" s="1"/>
      <c r="F284" s="1"/>
      <c r="G284" s="1"/>
      <c r="O284" s="1"/>
    </row>
    <row r="285" spans="2:15" ht="15.75" customHeight="1">
      <c r="B285" s="1"/>
      <c r="D285" s="1"/>
      <c r="E285" s="1"/>
      <c r="F285" s="1"/>
      <c r="G285" s="1"/>
      <c r="O285" s="1"/>
    </row>
    <row r="286" spans="2:15" ht="15.75" customHeight="1">
      <c r="B286" s="1"/>
      <c r="D286" s="1"/>
      <c r="E286" s="1"/>
      <c r="F286" s="1"/>
      <c r="G286" s="1"/>
      <c r="O286" s="1"/>
    </row>
    <row r="287" spans="2:15" ht="15.75" customHeight="1">
      <c r="B287" s="1"/>
      <c r="D287" s="1"/>
      <c r="E287" s="1"/>
      <c r="F287" s="1"/>
      <c r="G287" s="1"/>
      <c r="O287" s="1"/>
    </row>
    <row r="288" spans="2:15" ht="15.75" customHeight="1">
      <c r="B288" s="1"/>
      <c r="D288" s="1"/>
      <c r="E288" s="1"/>
      <c r="F288" s="1"/>
      <c r="G288" s="1"/>
      <c r="O288" s="1"/>
    </row>
    <row r="289" spans="2:15" ht="15.75" customHeight="1">
      <c r="B289" s="1"/>
      <c r="D289" s="1"/>
      <c r="E289" s="1"/>
      <c r="F289" s="1"/>
      <c r="G289" s="1"/>
      <c r="O289" s="1"/>
    </row>
    <row r="290" spans="2:15" ht="15.75" customHeight="1">
      <c r="B290" s="1"/>
      <c r="D290" s="1"/>
      <c r="E290" s="1"/>
      <c r="F290" s="1"/>
      <c r="G290" s="1"/>
      <c r="O290" s="1"/>
    </row>
    <row r="291" spans="2:15" ht="15.75" customHeight="1">
      <c r="B291" s="1"/>
      <c r="D291" s="1"/>
      <c r="E291" s="1"/>
      <c r="F291" s="1"/>
      <c r="G291" s="1"/>
      <c r="O291" s="1"/>
    </row>
    <row r="292" spans="2:15" ht="15.75" customHeight="1">
      <c r="B292" s="1"/>
      <c r="D292" s="1"/>
      <c r="E292" s="1"/>
      <c r="F292" s="1"/>
      <c r="G292" s="1"/>
      <c r="O292" s="1"/>
    </row>
    <row r="293" spans="2:15" ht="15.75" customHeight="1">
      <c r="B293" s="1"/>
      <c r="D293" s="1"/>
      <c r="E293" s="1"/>
      <c r="F293" s="1"/>
      <c r="G293" s="1"/>
      <c r="O293" s="1"/>
    </row>
    <row r="294" spans="2:15" ht="15.75" customHeight="1">
      <c r="B294" s="1"/>
      <c r="D294" s="1"/>
      <c r="E294" s="1"/>
      <c r="F294" s="1"/>
      <c r="G294" s="1"/>
      <c r="O294" s="1"/>
    </row>
    <row r="295" spans="2:15" ht="15.75" customHeight="1">
      <c r="B295" s="1"/>
      <c r="D295" s="1"/>
      <c r="E295" s="1"/>
      <c r="F295" s="1"/>
      <c r="G295" s="1"/>
      <c r="O295" s="1"/>
    </row>
    <row r="296" spans="2:15" ht="15.75" customHeight="1">
      <c r="B296" s="1"/>
      <c r="D296" s="1"/>
      <c r="E296" s="1"/>
      <c r="F296" s="1"/>
      <c r="G296" s="1"/>
      <c r="O296" s="1"/>
    </row>
    <row r="297" spans="2:15" ht="15.75" customHeight="1">
      <c r="B297" s="1"/>
      <c r="D297" s="1"/>
      <c r="E297" s="1"/>
      <c r="F297" s="1"/>
      <c r="G297" s="1"/>
      <c r="O297" s="1"/>
    </row>
    <row r="298" spans="2:15" ht="15.75" customHeight="1">
      <c r="B298" s="1"/>
      <c r="D298" s="1"/>
      <c r="E298" s="1"/>
      <c r="F298" s="1"/>
      <c r="G298" s="1"/>
      <c r="O298" s="1"/>
    </row>
    <row r="299" spans="2:15" ht="15.75" customHeight="1">
      <c r="B299" s="1"/>
      <c r="D299" s="1"/>
      <c r="E299" s="1"/>
      <c r="F299" s="1"/>
      <c r="G299" s="1"/>
      <c r="O299" s="1"/>
    </row>
    <row r="300" spans="2:15" ht="15.75" customHeight="1">
      <c r="B300" s="1"/>
      <c r="D300" s="1"/>
      <c r="E300" s="1"/>
      <c r="F300" s="1"/>
      <c r="G300" s="1"/>
      <c r="O300" s="1"/>
    </row>
    <row r="301" spans="2:15" ht="15.75" customHeight="1">
      <c r="B301" s="1"/>
      <c r="D301" s="1"/>
      <c r="E301" s="1"/>
      <c r="F301" s="1"/>
      <c r="G301" s="1"/>
      <c r="O301" s="1"/>
    </row>
    <row r="302" spans="2:15" ht="15.75" customHeight="1">
      <c r="B302" s="1"/>
      <c r="D302" s="1"/>
      <c r="E302" s="1"/>
      <c r="F302" s="1"/>
      <c r="G302" s="1"/>
      <c r="O302" s="1"/>
    </row>
    <row r="303" spans="2:15" ht="15.75" customHeight="1">
      <c r="B303" s="1"/>
      <c r="D303" s="1"/>
      <c r="E303" s="1"/>
      <c r="F303" s="1"/>
      <c r="G303" s="1"/>
      <c r="O303" s="1"/>
    </row>
    <row r="304" spans="2:15" ht="15.75" customHeight="1">
      <c r="B304" s="1"/>
      <c r="D304" s="1"/>
      <c r="E304" s="1"/>
      <c r="F304" s="1"/>
      <c r="G304" s="1"/>
      <c r="O304" s="1"/>
    </row>
    <row r="305" spans="2:15" ht="15.75" customHeight="1">
      <c r="B305" s="1"/>
      <c r="D305" s="1"/>
      <c r="E305" s="1"/>
      <c r="F305" s="1"/>
      <c r="G305" s="1"/>
      <c r="O305" s="1"/>
    </row>
    <row r="306" spans="2:15" ht="15.75" customHeight="1">
      <c r="B306" s="1"/>
      <c r="D306" s="1"/>
      <c r="E306" s="1"/>
      <c r="F306" s="1"/>
      <c r="G306" s="1"/>
      <c r="O306" s="1"/>
    </row>
    <row r="307" spans="2:15" ht="15.75" customHeight="1">
      <c r="B307" s="1"/>
      <c r="D307" s="1"/>
      <c r="E307" s="1"/>
      <c r="F307" s="1"/>
      <c r="G307" s="1"/>
      <c r="O307" s="1"/>
    </row>
    <row r="308" spans="2:15" ht="15.75" customHeight="1">
      <c r="B308" s="1"/>
      <c r="D308" s="1"/>
      <c r="E308" s="1"/>
      <c r="F308" s="1"/>
      <c r="G308" s="1"/>
      <c r="O308" s="1"/>
    </row>
    <row r="309" spans="2:15" ht="15.75" customHeight="1">
      <c r="B309" s="1"/>
      <c r="D309" s="1"/>
      <c r="E309" s="1"/>
      <c r="F309" s="1"/>
      <c r="G309" s="1"/>
      <c r="O309" s="1"/>
    </row>
    <row r="310" spans="2:15" ht="15.75" customHeight="1">
      <c r="B310" s="1"/>
      <c r="D310" s="1"/>
      <c r="E310" s="1"/>
      <c r="F310" s="1"/>
      <c r="G310" s="1"/>
      <c r="O310" s="1"/>
    </row>
    <row r="311" spans="2:15" ht="15.75" customHeight="1">
      <c r="B311" s="1"/>
      <c r="D311" s="1"/>
      <c r="E311" s="1"/>
      <c r="F311" s="1"/>
      <c r="G311" s="1"/>
      <c r="O311" s="1"/>
    </row>
    <row r="312" spans="2:15" ht="15.75" customHeight="1">
      <c r="B312" s="1"/>
      <c r="D312" s="1"/>
      <c r="E312" s="1"/>
      <c r="F312" s="1"/>
      <c r="G312" s="1"/>
      <c r="O312" s="1"/>
    </row>
    <row r="313" spans="2:15" ht="15.75" customHeight="1">
      <c r="B313" s="1"/>
      <c r="D313" s="1"/>
      <c r="E313" s="1"/>
      <c r="F313" s="1"/>
      <c r="G313" s="1"/>
      <c r="O313" s="1"/>
    </row>
    <row r="314" spans="2:15" ht="15.75" customHeight="1">
      <c r="B314" s="1"/>
      <c r="D314" s="1"/>
      <c r="E314" s="1"/>
      <c r="F314" s="1"/>
      <c r="G314" s="1"/>
      <c r="O314" s="1"/>
    </row>
    <row r="315" spans="2:15" ht="15.75" customHeight="1">
      <c r="B315" s="1"/>
      <c r="D315" s="1"/>
      <c r="E315" s="1"/>
      <c r="F315" s="1"/>
      <c r="G315" s="1"/>
      <c r="O315" s="1"/>
    </row>
    <row r="316" spans="2:15" ht="15.75" customHeight="1">
      <c r="B316" s="1"/>
      <c r="D316" s="1"/>
      <c r="E316" s="1"/>
      <c r="F316" s="1"/>
      <c r="G316" s="1"/>
      <c r="O316" s="1"/>
    </row>
    <row r="317" spans="2:15" ht="15.75" customHeight="1">
      <c r="B317" s="1"/>
      <c r="D317" s="1"/>
      <c r="E317" s="1"/>
      <c r="F317" s="1"/>
      <c r="G317" s="1"/>
      <c r="O317" s="1"/>
    </row>
    <row r="318" spans="2:15" ht="15.75" customHeight="1">
      <c r="B318" s="1"/>
      <c r="D318" s="1"/>
      <c r="E318" s="1"/>
      <c r="F318" s="1"/>
      <c r="G318" s="1"/>
      <c r="O318" s="1"/>
    </row>
    <row r="319" spans="2:15" ht="15.75" customHeight="1">
      <c r="B319" s="1"/>
      <c r="D319" s="1"/>
      <c r="E319" s="1"/>
      <c r="F319" s="1"/>
      <c r="G319" s="1"/>
      <c r="O319" s="1"/>
    </row>
    <row r="320" spans="2:15" ht="15.75" customHeight="1">
      <c r="B320" s="1"/>
      <c r="D320" s="1"/>
      <c r="E320" s="1"/>
      <c r="F320" s="1"/>
      <c r="G320" s="1"/>
      <c r="O320" s="1"/>
    </row>
    <row r="321" spans="2:15" ht="15.75" customHeight="1">
      <c r="B321" s="1"/>
      <c r="D321" s="1"/>
      <c r="E321" s="1"/>
      <c r="F321" s="1"/>
      <c r="G321" s="1"/>
      <c r="O321" s="1"/>
    </row>
    <row r="322" spans="2:15" ht="15.75" customHeight="1">
      <c r="B322" s="1"/>
      <c r="D322" s="1"/>
      <c r="E322" s="1"/>
      <c r="F322" s="1"/>
      <c r="G322" s="1"/>
      <c r="O322" s="1"/>
    </row>
    <row r="323" spans="2:15" ht="15.75" customHeight="1">
      <c r="B323" s="1"/>
      <c r="D323" s="1"/>
      <c r="E323" s="1"/>
      <c r="F323" s="1"/>
      <c r="G323" s="1"/>
      <c r="O323" s="1"/>
    </row>
    <row r="324" spans="2:15" ht="15.75" customHeight="1">
      <c r="B324" s="1"/>
      <c r="D324" s="1"/>
      <c r="E324" s="1"/>
      <c r="F324" s="1"/>
      <c r="G324" s="1"/>
      <c r="O324" s="1"/>
    </row>
    <row r="325" spans="2:15" ht="15.75" customHeight="1">
      <c r="B325" s="1"/>
      <c r="D325" s="1"/>
      <c r="E325" s="1"/>
      <c r="F325" s="1"/>
      <c r="G325" s="1"/>
      <c r="O325" s="1"/>
    </row>
    <row r="326" spans="2:15" ht="15.75" customHeight="1">
      <c r="B326" s="1"/>
      <c r="D326" s="1"/>
      <c r="E326" s="1"/>
      <c r="F326" s="1"/>
      <c r="G326" s="1"/>
      <c r="O326" s="1"/>
    </row>
    <row r="327" spans="2:15" ht="15.75" customHeight="1">
      <c r="B327" s="1"/>
      <c r="D327" s="1"/>
      <c r="E327" s="1"/>
      <c r="F327" s="1"/>
      <c r="G327" s="1"/>
      <c r="O327" s="1"/>
    </row>
    <row r="328" spans="2:15" ht="15.75" customHeight="1">
      <c r="B328" s="1"/>
      <c r="D328" s="1"/>
      <c r="E328" s="1"/>
      <c r="F328" s="1"/>
      <c r="G328" s="1"/>
      <c r="O328" s="1"/>
    </row>
    <row r="329" spans="2:15" ht="15.75" customHeight="1">
      <c r="B329" s="1"/>
      <c r="D329" s="1"/>
      <c r="E329" s="1"/>
      <c r="F329" s="1"/>
      <c r="G329" s="1"/>
      <c r="O329" s="1"/>
    </row>
    <row r="330" spans="2:15" ht="15.75" customHeight="1">
      <c r="B330" s="1"/>
      <c r="D330" s="1"/>
      <c r="E330" s="1"/>
      <c r="F330" s="1"/>
      <c r="G330" s="1"/>
      <c r="O330" s="1"/>
    </row>
    <row r="331" spans="2:15" ht="15.75" customHeight="1">
      <c r="B331" s="1"/>
      <c r="D331" s="1"/>
      <c r="E331" s="1"/>
      <c r="F331" s="1"/>
      <c r="G331" s="1"/>
      <c r="O331" s="1"/>
    </row>
    <row r="332" spans="2:15" ht="15.75" customHeight="1">
      <c r="B332" s="1"/>
      <c r="D332" s="1"/>
      <c r="E332" s="1"/>
      <c r="F332" s="1"/>
      <c r="G332" s="1"/>
      <c r="O332" s="1"/>
    </row>
    <row r="333" spans="2:15" ht="15.75" customHeight="1">
      <c r="B333" s="1"/>
      <c r="D333" s="1"/>
      <c r="E333" s="1"/>
      <c r="F333" s="1"/>
      <c r="G333" s="1"/>
      <c r="O333" s="1"/>
    </row>
    <row r="334" spans="2:15" ht="15.75" customHeight="1">
      <c r="B334" s="1"/>
      <c r="D334" s="1"/>
      <c r="E334" s="1"/>
      <c r="F334" s="1"/>
      <c r="G334" s="1"/>
      <c r="O334" s="1"/>
    </row>
    <row r="335" spans="2:15" ht="15.75" customHeight="1">
      <c r="B335" s="1"/>
      <c r="D335" s="1"/>
      <c r="E335" s="1"/>
      <c r="F335" s="1"/>
      <c r="G335" s="1"/>
      <c r="O335" s="1"/>
    </row>
    <row r="336" spans="2:15" ht="15.75" customHeight="1">
      <c r="B336" s="1"/>
      <c r="D336" s="1"/>
      <c r="E336" s="1"/>
      <c r="F336" s="1"/>
      <c r="G336" s="1"/>
      <c r="O336" s="1"/>
    </row>
    <row r="337" spans="2:15" ht="15.75" customHeight="1">
      <c r="B337" s="1"/>
      <c r="D337" s="1"/>
      <c r="E337" s="1"/>
      <c r="F337" s="1"/>
      <c r="G337" s="1"/>
      <c r="O337" s="1"/>
    </row>
    <row r="338" spans="2:15" ht="15.75" customHeight="1">
      <c r="B338" s="1"/>
      <c r="D338" s="1"/>
      <c r="E338" s="1"/>
      <c r="F338" s="1"/>
      <c r="G338" s="1"/>
      <c r="O338" s="1"/>
    </row>
    <row r="339" spans="2:15" ht="15.75" customHeight="1">
      <c r="B339" s="1"/>
      <c r="D339" s="1"/>
      <c r="E339" s="1"/>
      <c r="F339" s="1"/>
      <c r="G339" s="1"/>
      <c r="O339" s="1"/>
    </row>
    <row r="340" spans="2:15" ht="15.75" customHeight="1">
      <c r="B340" s="1"/>
      <c r="D340" s="1"/>
      <c r="E340" s="1"/>
      <c r="F340" s="1"/>
      <c r="G340" s="1"/>
      <c r="O340" s="1"/>
    </row>
    <row r="341" spans="2:15" ht="15.75" customHeight="1">
      <c r="B341" s="1"/>
      <c r="D341" s="1"/>
      <c r="E341" s="1"/>
      <c r="F341" s="1"/>
      <c r="G341" s="1"/>
      <c r="O341" s="1"/>
    </row>
    <row r="342" spans="2:15" ht="15.75" customHeight="1">
      <c r="B342" s="1"/>
      <c r="D342" s="1"/>
      <c r="E342" s="1"/>
      <c r="F342" s="1"/>
      <c r="G342" s="1"/>
      <c r="O342" s="1"/>
    </row>
    <row r="343" spans="2:15" ht="15.75" customHeight="1">
      <c r="B343" s="1"/>
      <c r="D343" s="1"/>
      <c r="E343" s="1"/>
      <c r="F343" s="1"/>
      <c r="G343" s="1"/>
      <c r="O343" s="1"/>
    </row>
    <row r="344" spans="2:15" ht="15.75" customHeight="1">
      <c r="B344" s="1"/>
      <c r="D344" s="1"/>
      <c r="E344" s="1"/>
      <c r="F344" s="1"/>
      <c r="G344" s="1"/>
      <c r="O344" s="1"/>
    </row>
    <row r="345" spans="2:15" ht="15.75" customHeight="1">
      <c r="B345" s="1"/>
      <c r="D345" s="1"/>
      <c r="E345" s="1"/>
      <c r="F345" s="1"/>
      <c r="G345" s="1"/>
      <c r="O345" s="1"/>
    </row>
    <row r="346" spans="2:15" ht="15.75" customHeight="1">
      <c r="B346" s="1"/>
      <c r="D346" s="1"/>
      <c r="E346" s="1"/>
      <c r="F346" s="1"/>
      <c r="G346" s="1"/>
      <c r="O346" s="1"/>
    </row>
    <row r="347" spans="2:15" ht="15.75" customHeight="1">
      <c r="B347" s="1"/>
      <c r="D347" s="1"/>
      <c r="E347" s="1"/>
      <c r="F347" s="1"/>
      <c r="G347" s="1"/>
      <c r="O347" s="1"/>
    </row>
    <row r="348" spans="2:15" ht="15.75" customHeight="1">
      <c r="B348" s="1"/>
      <c r="D348" s="1"/>
      <c r="E348" s="1"/>
      <c r="F348" s="1"/>
      <c r="G348" s="1"/>
      <c r="O348" s="1"/>
    </row>
    <row r="349" spans="2:15" ht="15.75" customHeight="1">
      <c r="B349" s="1"/>
      <c r="D349" s="1"/>
      <c r="E349" s="1"/>
      <c r="F349" s="1"/>
      <c r="G349" s="1"/>
      <c r="O349" s="1"/>
    </row>
    <row r="350" spans="2:15" ht="15.75" customHeight="1">
      <c r="B350" s="1"/>
      <c r="D350" s="1"/>
      <c r="E350" s="1"/>
      <c r="F350" s="1"/>
      <c r="G350" s="1"/>
      <c r="O350" s="1"/>
    </row>
    <row r="351" spans="2:15" ht="15.75" customHeight="1">
      <c r="B351" s="1"/>
      <c r="D351" s="1"/>
      <c r="E351" s="1"/>
      <c r="F351" s="1"/>
      <c r="G351" s="1"/>
      <c r="O351" s="1"/>
    </row>
    <row r="352" spans="2:15" ht="15.75" customHeight="1">
      <c r="B352" s="1"/>
      <c r="D352" s="1"/>
      <c r="E352" s="1"/>
      <c r="F352" s="1"/>
      <c r="G352" s="1"/>
      <c r="O352" s="1"/>
    </row>
    <row r="353" spans="2:15" ht="15.75" customHeight="1">
      <c r="B353" s="1"/>
      <c r="D353" s="1"/>
      <c r="E353" s="1"/>
      <c r="F353" s="1"/>
      <c r="G353" s="1"/>
      <c r="O353" s="1"/>
    </row>
    <row r="354" spans="2:15" ht="15.75" customHeight="1">
      <c r="B354" s="1"/>
      <c r="D354" s="1"/>
      <c r="E354" s="1"/>
      <c r="F354" s="1"/>
      <c r="G354" s="1"/>
      <c r="O354" s="1"/>
    </row>
    <row r="355" spans="2:15" ht="15.75" customHeight="1">
      <c r="B355" s="1"/>
      <c r="D355" s="1"/>
      <c r="E355" s="1"/>
      <c r="F355" s="1"/>
      <c r="G355" s="1"/>
      <c r="O355" s="1"/>
    </row>
    <row r="356" spans="2:15" ht="15.75" customHeight="1">
      <c r="B356" s="1"/>
      <c r="D356" s="1"/>
      <c r="E356" s="1"/>
      <c r="F356" s="1"/>
      <c r="G356" s="1"/>
      <c r="O356" s="1"/>
    </row>
    <row r="357" spans="2:15" ht="15.75" customHeight="1">
      <c r="B357" s="1"/>
      <c r="D357" s="1"/>
      <c r="E357" s="1"/>
      <c r="F357" s="1"/>
      <c r="G357" s="1"/>
      <c r="O357" s="1"/>
    </row>
    <row r="358" spans="2:15" ht="15.75" customHeight="1">
      <c r="B358" s="1"/>
      <c r="D358" s="1"/>
      <c r="E358" s="1"/>
      <c r="F358" s="1"/>
      <c r="G358" s="1"/>
      <c r="O358" s="1"/>
    </row>
    <row r="359" spans="2:15" ht="15.75" customHeight="1">
      <c r="B359" s="1"/>
      <c r="D359" s="1"/>
      <c r="E359" s="1"/>
      <c r="F359" s="1"/>
      <c r="G359" s="1"/>
      <c r="O359" s="1"/>
    </row>
    <row r="360" spans="2:15" ht="15.75" customHeight="1">
      <c r="B360" s="1"/>
      <c r="D360" s="1"/>
      <c r="E360" s="1"/>
      <c r="F360" s="1"/>
      <c r="G360" s="1"/>
      <c r="O360" s="1"/>
    </row>
    <row r="361" spans="2:15" ht="15.75" customHeight="1">
      <c r="B361" s="1"/>
      <c r="D361" s="1"/>
      <c r="E361" s="1"/>
      <c r="F361" s="1"/>
      <c r="G361" s="1"/>
      <c r="O361" s="1"/>
    </row>
    <row r="362" spans="2:15" ht="15.75" customHeight="1">
      <c r="B362" s="1"/>
      <c r="D362" s="1"/>
      <c r="E362" s="1"/>
      <c r="F362" s="1"/>
      <c r="G362" s="1"/>
      <c r="O362" s="1"/>
    </row>
    <row r="363" spans="2:15" ht="15.75" customHeight="1">
      <c r="B363" s="1"/>
      <c r="D363" s="1"/>
      <c r="E363" s="1"/>
      <c r="F363" s="1"/>
      <c r="G363" s="1"/>
      <c r="O363" s="1"/>
    </row>
    <row r="364" spans="2:15" ht="15.75" customHeight="1">
      <c r="B364" s="1"/>
      <c r="D364" s="1"/>
      <c r="E364" s="1"/>
      <c r="F364" s="1"/>
      <c r="G364" s="1"/>
      <c r="O364" s="1"/>
    </row>
    <row r="365" spans="2:15" ht="15.75" customHeight="1">
      <c r="B365" s="1"/>
      <c r="D365" s="1"/>
      <c r="E365" s="1"/>
      <c r="F365" s="1"/>
      <c r="G365" s="1"/>
      <c r="O365" s="1"/>
    </row>
    <row r="366" spans="2:15" ht="15.75" customHeight="1">
      <c r="B366" s="1"/>
      <c r="D366" s="1"/>
      <c r="E366" s="1"/>
      <c r="F366" s="1"/>
      <c r="G366" s="1"/>
      <c r="O366" s="1"/>
    </row>
    <row r="367" spans="2:15" ht="15.75" customHeight="1">
      <c r="B367" s="1"/>
      <c r="D367" s="1"/>
      <c r="E367" s="1"/>
      <c r="F367" s="1"/>
      <c r="G367" s="1"/>
      <c r="O367" s="1"/>
    </row>
    <row r="368" spans="2:15" ht="15.75" customHeight="1">
      <c r="B368" s="1"/>
      <c r="D368" s="1"/>
      <c r="E368" s="1"/>
      <c r="F368" s="1"/>
      <c r="G368" s="1"/>
      <c r="O368" s="1"/>
    </row>
    <row r="369" spans="2:15" ht="15.75" customHeight="1">
      <c r="B369" s="1"/>
      <c r="D369" s="1"/>
      <c r="E369" s="1"/>
      <c r="F369" s="1"/>
      <c r="G369" s="1"/>
      <c r="O369" s="1"/>
    </row>
    <row r="370" spans="2:15" ht="15.75" customHeight="1">
      <c r="B370" s="1"/>
      <c r="D370" s="1"/>
      <c r="E370" s="1"/>
      <c r="F370" s="1"/>
      <c r="G370" s="1"/>
      <c r="O370" s="1"/>
    </row>
    <row r="371" spans="2:15" ht="15.75" customHeight="1">
      <c r="B371" s="1"/>
      <c r="D371" s="1"/>
      <c r="E371" s="1"/>
      <c r="F371" s="1"/>
      <c r="G371" s="1"/>
      <c r="O371" s="1"/>
    </row>
    <row r="372" spans="2:15" ht="15.75" customHeight="1">
      <c r="B372" s="1"/>
      <c r="D372" s="1"/>
      <c r="E372" s="1"/>
      <c r="F372" s="1"/>
      <c r="G372" s="1"/>
      <c r="O372" s="1"/>
    </row>
    <row r="373" spans="2:15" ht="15.75" customHeight="1">
      <c r="B373" s="1"/>
      <c r="D373" s="1"/>
      <c r="E373" s="1"/>
      <c r="F373" s="1"/>
      <c r="G373" s="1"/>
      <c r="O373" s="1"/>
    </row>
    <row r="374" spans="2:15" ht="15.75" customHeight="1">
      <c r="B374" s="1"/>
      <c r="D374" s="1"/>
      <c r="E374" s="1"/>
      <c r="F374" s="1"/>
      <c r="G374" s="1"/>
      <c r="O374" s="1"/>
    </row>
    <row r="375" spans="2:15" ht="15.75" customHeight="1">
      <c r="B375" s="1"/>
      <c r="D375" s="1"/>
      <c r="E375" s="1"/>
      <c r="F375" s="1"/>
      <c r="G375" s="1"/>
      <c r="O375" s="1"/>
    </row>
    <row r="376" spans="2:15" ht="15.75" customHeight="1">
      <c r="B376" s="1"/>
      <c r="D376" s="1"/>
      <c r="E376" s="1"/>
      <c r="F376" s="1"/>
      <c r="G376" s="1"/>
      <c r="O376" s="1"/>
    </row>
    <row r="377" spans="2:15" ht="15.75" customHeight="1">
      <c r="B377" s="1"/>
      <c r="D377" s="1"/>
      <c r="E377" s="1"/>
      <c r="F377" s="1"/>
      <c r="G377" s="1"/>
      <c r="O377" s="1"/>
    </row>
    <row r="378" spans="2:15" ht="15.75" customHeight="1">
      <c r="B378" s="1"/>
      <c r="D378" s="1"/>
      <c r="E378" s="1"/>
      <c r="F378" s="1"/>
      <c r="G378" s="1"/>
      <c r="O378" s="1"/>
    </row>
    <row r="379" spans="2:15" ht="15.75" customHeight="1">
      <c r="B379" s="1"/>
      <c r="D379" s="1"/>
      <c r="E379" s="1"/>
      <c r="F379" s="1"/>
      <c r="G379" s="1"/>
      <c r="O379" s="1"/>
    </row>
    <row r="380" spans="2:15" ht="15.75" customHeight="1">
      <c r="B380" s="1"/>
      <c r="D380" s="1"/>
      <c r="E380" s="1"/>
      <c r="F380" s="1"/>
      <c r="G380" s="1"/>
      <c r="O380" s="1"/>
    </row>
    <row r="381" spans="2:15" ht="15.75" customHeight="1">
      <c r="B381" s="1"/>
      <c r="D381" s="1"/>
      <c r="E381" s="1"/>
      <c r="F381" s="1"/>
      <c r="G381" s="1"/>
      <c r="O381" s="1"/>
    </row>
    <row r="382" spans="2:15" ht="15.75" customHeight="1">
      <c r="B382" s="1"/>
      <c r="D382" s="1"/>
      <c r="E382" s="1"/>
      <c r="F382" s="1"/>
      <c r="G382" s="1"/>
      <c r="O382" s="1"/>
    </row>
    <row r="383" spans="2:15" ht="15.75" customHeight="1">
      <c r="B383" s="1"/>
      <c r="D383" s="1"/>
      <c r="E383" s="1"/>
      <c r="F383" s="1"/>
      <c r="G383" s="1"/>
      <c r="O383" s="1"/>
    </row>
    <row r="384" spans="2:15" ht="15.75" customHeight="1">
      <c r="B384" s="1"/>
      <c r="D384" s="1"/>
      <c r="E384" s="1"/>
      <c r="F384" s="1"/>
      <c r="G384" s="1"/>
      <c r="O384" s="1"/>
    </row>
    <row r="385" spans="2:15" ht="15.75" customHeight="1">
      <c r="B385" s="1"/>
      <c r="D385" s="1"/>
      <c r="E385" s="1"/>
      <c r="F385" s="1"/>
      <c r="G385" s="1"/>
      <c r="O385" s="1"/>
    </row>
    <row r="386" spans="2:15" ht="15.75" customHeight="1">
      <c r="B386" s="1"/>
      <c r="D386" s="1"/>
      <c r="E386" s="1"/>
      <c r="F386" s="1"/>
      <c r="G386" s="1"/>
      <c r="O386" s="1"/>
    </row>
    <row r="387" spans="2:15" ht="15.75" customHeight="1">
      <c r="B387" s="1"/>
      <c r="D387" s="1"/>
      <c r="E387" s="1"/>
      <c r="F387" s="1"/>
      <c r="G387" s="1"/>
      <c r="O387" s="1"/>
    </row>
    <row r="388" spans="2:15" ht="15.75" customHeight="1">
      <c r="B388" s="1"/>
      <c r="D388" s="1"/>
      <c r="E388" s="1"/>
      <c r="F388" s="1"/>
      <c r="G388" s="1"/>
      <c r="O388" s="1"/>
    </row>
    <row r="389" spans="2:15" ht="15.75" customHeight="1">
      <c r="B389" s="1"/>
      <c r="D389" s="1"/>
      <c r="E389" s="1"/>
      <c r="F389" s="1"/>
      <c r="G389" s="1"/>
      <c r="O389" s="1"/>
    </row>
    <row r="390" spans="2:15" ht="15.75" customHeight="1">
      <c r="B390" s="1"/>
      <c r="D390" s="1"/>
      <c r="E390" s="1"/>
      <c r="F390" s="1"/>
      <c r="G390" s="1"/>
      <c r="O390" s="1"/>
    </row>
    <row r="391" spans="2:15" ht="15.75" customHeight="1">
      <c r="B391" s="1"/>
      <c r="D391" s="1"/>
      <c r="E391" s="1"/>
      <c r="F391" s="1"/>
      <c r="G391" s="1"/>
      <c r="O391" s="1"/>
    </row>
    <row r="392" spans="2:15" ht="15.75" customHeight="1">
      <c r="B392" s="1"/>
      <c r="D392" s="1"/>
      <c r="E392" s="1"/>
      <c r="F392" s="1"/>
      <c r="G392" s="1"/>
      <c r="O392" s="1"/>
    </row>
    <row r="393" spans="2:15" ht="15.75" customHeight="1">
      <c r="B393" s="1"/>
      <c r="D393" s="1"/>
      <c r="E393" s="1"/>
      <c r="F393" s="1"/>
      <c r="G393" s="1"/>
      <c r="O393" s="1"/>
    </row>
    <row r="394" spans="2:15" ht="15.75" customHeight="1">
      <c r="B394" s="1"/>
      <c r="D394" s="1"/>
      <c r="E394" s="1"/>
      <c r="F394" s="1"/>
      <c r="G394" s="1"/>
      <c r="O394" s="1"/>
    </row>
    <row r="395" spans="2:15" ht="15.75" customHeight="1">
      <c r="B395" s="1"/>
      <c r="D395" s="1"/>
      <c r="E395" s="1"/>
      <c r="F395" s="1"/>
      <c r="G395" s="1"/>
      <c r="O395" s="1"/>
    </row>
    <row r="396" spans="2:15" ht="15.75" customHeight="1">
      <c r="B396" s="1"/>
      <c r="D396" s="1"/>
      <c r="E396" s="1"/>
      <c r="F396" s="1"/>
      <c r="G396" s="1"/>
      <c r="O396" s="1"/>
    </row>
    <row r="397" spans="2:15" ht="15.75" customHeight="1">
      <c r="B397" s="1"/>
      <c r="D397" s="1"/>
      <c r="E397" s="1"/>
      <c r="F397" s="1"/>
      <c r="G397" s="1"/>
      <c r="O397" s="1"/>
    </row>
    <row r="398" spans="2:15" ht="15.75" customHeight="1">
      <c r="B398" s="1"/>
      <c r="D398" s="1"/>
      <c r="E398" s="1"/>
      <c r="F398" s="1"/>
      <c r="G398" s="1"/>
      <c r="O398" s="1"/>
    </row>
    <row r="399" spans="2:15" ht="15.75" customHeight="1">
      <c r="B399" s="1"/>
      <c r="D399" s="1"/>
      <c r="E399" s="1"/>
      <c r="F399" s="1"/>
      <c r="G399" s="1"/>
      <c r="O399" s="1"/>
    </row>
    <row r="400" spans="2:15" ht="15.75" customHeight="1">
      <c r="B400" s="1"/>
      <c r="D400" s="1"/>
      <c r="E400" s="1"/>
      <c r="F400" s="1"/>
      <c r="G400" s="1"/>
      <c r="O400" s="1"/>
    </row>
    <row r="401" spans="2:15" ht="15.75" customHeight="1">
      <c r="B401" s="1"/>
      <c r="D401" s="1"/>
      <c r="E401" s="1"/>
      <c r="F401" s="1"/>
      <c r="G401" s="1"/>
      <c r="O401" s="1"/>
    </row>
    <row r="402" spans="2:15" ht="15.75" customHeight="1">
      <c r="B402" s="1"/>
      <c r="D402" s="1"/>
      <c r="E402" s="1"/>
      <c r="F402" s="1"/>
      <c r="G402" s="1"/>
      <c r="O402" s="1"/>
    </row>
    <row r="403" spans="2:15" ht="15.75" customHeight="1">
      <c r="B403" s="1"/>
      <c r="D403" s="1"/>
      <c r="E403" s="1"/>
      <c r="F403" s="1"/>
      <c r="G403" s="1"/>
      <c r="O403" s="1"/>
    </row>
    <row r="404" spans="2:15" ht="15.75" customHeight="1">
      <c r="B404" s="1"/>
      <c r="D404" s="1"/>
      <c r="E404" s="1"/>
      <c r="F404" s="1"/>
      <c r="G404" s="1"/>
      <c r="O404" s="1"/>
    </row>
    <row r="405" spans="2:15" ht="15.75" customHeight="1">
      <c r="B405" s="1"/>
      <c r="D405" s="1"/>
      <c r="E405" s="1"/>
      <c r="F405" s="1"/>
      <c r="G405" s="1"/>
      <c r="O405" s="1"/>
    </row>
    <row r="406" spans="2:15" ht="15.75" customHeight="1">
      <c r="B406" s="1"/>
      <c r="D406" s="1"/>
      <c r="E406" s="1"/>
      <c r="F406" s="1"/>
      <c r="G406" s="1"/>
      <c r="O406" s="1"/>
    </row>
    <row r="407" spans="2:15" ht="15.75" customHeight="1">
      <c r="B407" s="1"/>
      <c r="D407" s="1"/>
      <c r="E407" s="1"/>
      <c r="F407" s="1"/>
      <c r="G407" s="1"/>
      <c r="O407" s="1"/>
    </row>
    <row r="408" spans="2:15" ht="15.75" customHeight="1">
      <c r="B408" s="1"/>
      <c r="D408" s="1"/>
      <c r="E408" s="1"/>
      <c r="F408" s="1"/>
      <c r="G408" s="1"/>
      <c r="O408" s="1"/>
    </row>
    <row r="409" spans="2:15" ht="15.75" customHeight="1">
      <c r="B409" s="1"/>
      <c r="D409" s="1"/>
      <c r="E409" s="1"/>
      <c r="F409" s="1"/>
      <c r="G409" s="1"/>
      <c r="O409" s="1"/>
    </row>
    <row r="410" spans="2:15" ht="15.75" customHeight="1">
      <c r="B410" s="1"/>
      <c r="D410" s="1"/>
      <c r="E410" s="1"/>
      <c r="F410" s="1"/>
      <c r="G410" s="1"/>
      <c r="O410" s="1"/>
    </row>
    <row r="411" spans="2:15" ht="15.75" customHeight="1">
      <c r="B411" s="1"/>
      <c r="D411" s="1"/>
      <c r="E411" s="1"/>
      <c r="F411" s="1"/>
      <c r="G411" s="1"/>
      <c r="O411" s="1"/>
    </row>
    <row r="412" spans="2:15" ht="15.75" customHeight="1">
      <c r="B412" s="1"/>
      <c r="D412" s="1"/>
      <c r="E412" s="1"/>
      <c r="F412" s="1"/>
      <c r="G412" s="1"/>
      <c r="O412" s="1"/>
    </row>
    <row r="413" spans="2:15" ht="15.75" customHeight="1">
      <c r="B413" s="1"/>
      <c r="D413" s="1"/>
      <c r="E413" s="1"/>
      <c r="F413" s="1"/>
      <c r="G413" s="1"/>
      <c r="O413" s="1"/>
    </row>
    <row r="414" spans="2:15" ht="15.75" customHeight="1">
      <c r="B414" s="1"/>
      <c r="D414" s="1"/>
      <c r="E414" s="1"/>
      <c r="F414" s="1"/>
      <c r="G414" s="1"/>
      <c r="O414" s="1"/>
    </row>
    <row r="415" spans="2:15" ht="15.75" customHeight="1">
      <c r="B415" s="1"/>
      <c r="D415" s="1"/>
      <c r="E415" s="1"/>
      <c r="F415" s="1"/>
      <c r="G415" s="1"/>
      <c r="O415" s="1"/>
    </row>
    <row r="416" spans="2:15" ht="15.75" customHeight="1">
      <c r="B416" s="1"/>
      <c r="D416" s="1"/>
      <c r="E416" s="1"/>
      <c r="F416" s="1"/>
      <c r="G416" s="1"/>
      <c r="O416" s="1"/>
    </row>
    <row r="417" spans="2:15" ht="15.75" customHeight="1">
      <c r="B417" s="1"/>
      <c r="D417" s="1"/>
      <c r="E417" s="1"/>
      <c r="F417" s="1"/>
      <c r="G417" s="1"/>
      <c r="O417" s="1"/>
    </row>
    <row r="418" spans="2:15" ht="15.75" customHeight="1">
      <c r="B418" s="1"/>
      <c r="D418" s="1"/>
      <c r="E418" s="1"/>
      <c r="F418" s="1"/>
      <c r="G418" s="1"/>
      <c r="O418" s="1"/>
    </row>
    <row r="419" spans="2:15" ht="15.75" customHeight="1">
      <c r="B419" s="1"/>
      <c r="D419" s="1"/>
      <c r="E419" s="1"/>
      <c r="F419" s="1"/>
      <c r="G419" s="1"/>
      <c r="O419" s="1"/>
    </row>
    <row r="420" spans="2:15" ht="15.75" customHeight="1">
      <c r="B420" s="1"/>
      <c r="D420" s="1"/>
      <c r="E420" s="1"/>
      <c r="F420" s="1"/>
      <c r="G420" s="1"/>
      <c r="O420" s="1"/>
    </row>
    <row r="421" spans="2:15" ht="15.75" customHeight="1">
      <c r="B421" s="1"/>
      <c r="D421" s="1"/>
      <c r="E421" s="1"/>
      <c r="F421" s="1"/>
      <c r="G421" s="1"/>
      <c r="O421" s="1"/>
    </row>
    <row r="422" spans="2:15" ht="15.75" customHeight="1">
      <c r="B422" s="1"/>
      <c r="D422" s="1"/>
      <c r="E422" s="1"/>
      <c r="F422" s="1"/>
      <c r="G422" s="1"/>
      <c r="O422" s="1"/>
    </row>
    <row r="423" spans="2:15" ht="15.75" customHeight="1">
      <c r="B423" s="1"/>
      <c r="D423" s="1"/>
      <c r="E423" s="1"/>
      <c r="F423" s="1"/>
      <c r="G423" s="1"/>
      <c r="O423" s="1"/>
    </row>
    <row r="424" spans="2:15" ht="15.75" customHeight="1">
      <c r="B424" s="1"/>
      <c r="D424" s="1"/>
      <c r="E424" s="1"/>
      <c r="F424" s="1"/>
      <c r="G424" s="1"/>
      <c r="O424" s="1"/>
    </row>
    <row r="425" spans="2:15" ht="15.75" customHeight="1">
      <c r="B425" s="1"/>
      <c r="D425" s="1"/>
      <c r="E425" s="1"/>
      <c r="F425" s="1"/>
      <c r="G425" s="1"/>
      <c r="O425" s="1"/>
    </row>
    <row r="426" spans="2:15" ht="15.75" customHeight="1">
      <c r="B426" s="1"/>
      <c r="D426" s="1"/>
      <c r="E426" s="1"/>
      <c r="F426" s="1"/>
      <c r="G426" s="1"/>
      <c r="O426" s="1"/>
    </row>
    <row r="427" spans="2:15" ht="15.75" customHeight="1">
      <c r="B427" s="1"/>
      <c r="D427" s="1"/>
      <c r="E427" s="1"/>
      <c r="F427" s="1"/>
      <c r="G427" s="1"/>
      <c r="O427" s="1"/>
    </row>
    <row r="428" spans="2:15" ht="15.75" customHeight="1">
      <c r="B428" s="1"/>
      <c r="D428" s="1"/>
      <c r="E428" s="1"/>
      <c r="F428" s="1"/>
      <c r="G428" s="1"/>
      <c r="O428" s="1"/>
    </row>
    <row r="429" spans="2:15" ht="15.75" customHeight="1">
      <c r="B429" s="1"/>
      <c r="D429" s="1"/>
      <c r="E429" s="1"/>
      <c r="F429" s="1"/>
      <c r="G429" s="1"/>
      <c r="O429" s="1"/>
    </row>
    <row r="430" spans="2:15" ht="15.75" customHeight="1">
      <c r="B430" s="1"/>
      <c r="D430" s="1"/>
      <c r="E430" s="1"/>
      <c r="F430" s="1"/>
      <c r="G430" s="1"/>
      <c r="O430" s="1"/>
    </row>
    <row r="431" spans="2:15" ht="15.75" customHeight="1">
      <c r="B431" s="1"/>
      <c r="D431" s="1"/>
      <c r="E431" s="1"/>
      <c r="F431" s="1"/>
      <c r="G431" s="1"/>
      <c r="O431" s="1"/>
    </row>
    <row r="432" spans="2:15" ht="15.75" customHeight="1">
      <c r="B432" s="1"/>
      <c r="D432" s="1"/>
      <c r="E432" s="1"/>
      <c r="F432" s="1"/>
      <c r="G432" s="1"/>
      <c r="O432" s="1"/>
    </row>
    <row r="433" spans="2:15" ht="15.75" customHeight="1">
      <c r="B433" s="1"/>
      <c r="D433" s="1"/>
      <c r="E433" s="1"/>
      <c r="F433" s="1"/>
      <c r="G433" s="1"/>
      <c r="O433" s="1"/>
    </row>
    <row r="434" spans="2:15" ht="15.75" customHeight="1">
      <c r="B434" s="1"/>
      <c r="D434" s="1"/>
      <c r="E434" s="1"/>
      <c r="F434" s="1"/>
      <c r="G434" s="1"/>
      <c r="O434" s="1"/>
    </row>
    <row r="435" spans="2:15" ht="15.75" customHeight="1">
      <c r="B435" s="1"/>
      <c r="D435" s="1"/>
      <c r="E435" s="1"/>
      <c r="F435" s="1"/>
      <c r="G435" s="1"/>
      <c r="O435" s="1"/>
    </row>
    <row r="436" spans="2:15" ht="15.75" customHeight="1">
      <c r="B436" s="1"/>
      <c r="D436" s="1"/>
      <c r="E436" s="1"/>
      <c r="F436" s="1"/>
      <c r="G436" s="1"/>
      <c r="O436" s="1"/>
    </row>
    <row r="437" spans="2:15" ht="15.75" customHeight="1">
      <c r="B437" s="1"/>
      <c r="D437" s="1"/>
      <c r="E437" s="1"/>
      <c r="F437" s="1"/>
      <c r="G437" s="1"/>
      <c r="O437" s="1"/>
    </row>
    <row r="438" spans="2:15" ht="15.75" customHeight="1">
      <c r="B438" s="1"/>
      <c r="D438" s="1"/>
      <c r="E438" s="1"/>
      <c r="F438" s="1"/>
      <c r="G438" s="1"/>
      <c r="O438" s="1"/>
    </row>
    <row r="439" spans="2:15" ht="15.75" customHeight="1">
      <c r="B439" s="1"/>
      <c r="D439" s="1"/>
      <c r="E439" s="1"/>
      <c r="F439" s="1"/>
      <c r="G439" s="1"/>
      <c r="O439" s="1"/>
    </row>
    <row r="440" spans="2:15" ht="15.75" customHeight="1">
      <c r="B440" s="1"/>
      <c r="D440" s="1"/>
      <c r="E440" s="1"/>
      <c r="F440" s="1"/>
      <c r="G440" s="1"/>
      <c r="O440" s="1"/>
    </row>
    <row r="441" spans="2:15" ht="15.75" customHeight="1">
      <c r="B441" s="1"/>
      <c r="D441" s="1"/>
      <c r="E441" s="1"/>
      <c r="F441" s="1"/>
      <c r="G441" s="1"/>
      <c r="O441" s="1"/>
    </row>
    <row r="442" spans="2:15" ht="15.75" customHeight="1">
      <c r="B442" s="1"/>
      <c r="D442" s="1"/>
      <c r="E442" s="1"/>
      <c r="F442" s="1"/>
      <c r="G442" s="1"/>
      <c r="O442" s="1"/>
    </row>
    <row r="443" spans="2:15" ht="15.75" customHeight="1">
      <c r="B443" s="1"/>
      <c r="D443" s="1"/>
      <c r="E443" s="1"/>
      <c r="F443" s="1"/>
      <c r="G443" s="1"/>
      <c r="O443" s="1"/>
    </row>
    <row r="444" spans="2:15" ht="15.75" customHeight="1">
      <c r="B444" s="1"/>
      <c r="D444" s="1"/>
      <c r="E444" s="1"/>
      <c r="F444" s="1"/>
      <c r="G444" s="1"/>
      <c r="O444" s="1"/>
    </row>
    <row r="445" spans="2:15" ht="15.75" customHeight="1">
      <c r="B445" s="1"/>
      <c r="D445" s="1"/>
      <c r="E445" s="1"/>
      <c r="F445" s="1"/>
      <c r="G445" s="1"/>
      <c r="O445" s="1"/>
    </row>
    <row r="446" spans="2:15" ht="15.75" customHeight="1">
      <c r="B446" s="1"/>
      <c r="D446" s="1"/>
      <c r="E446" s="1"/>
      <c r="F446" s="1"/>
      <c r="G446" s="1"/>
      <c r="O446" s="1"/>
    </row>
    <row r="447" spans="2:15" ht="15.75" customHeight="1">
      <c r="B447" s="1"/>
      <c r="D447" s="1"/>
      <c r="E447" s="1"/>
      <c r="F447" s="1"/>
      <c r="G447" s="1"/>
      <c r="O447" s="1"/>
    </row>
    <row r="448" spans="2:15" ht="15.75" customHeight="1">
      <c r="B448" s="1"/>
      <c r="D448" s="1"/>
      <c r="E448" s="1"/>
      <c r="F448" s="1"/>
      <c r="G448" s="1"/>
      <c r="O448" s="1"/>
    </row>
    <row r="449" spans="2:15" ht="15.75" customHeight="1">
      <c r="B449" s="1"/>
      <c r="D449" s="1"/>
      <c r="E449" s="1"/>
      <c r="F449" s="1"/>
      <c r="G449" s="1"/>
      <c r="O449" s="1"/>
    </row>
    <row r="450" spans="2:15" ht="15.75" customHeight="1">
      <c r="B450" s="1"/>
      <c r="D450" s="1"/>
      <c r="E450" s="1"/>
      <c r="F450" s="1"/>
      <c r="G450" s="1"/>
      <c r="O450" s="1"/>
    </row>
    <row r="451" spans="2:15" ht="15.75" customHeight="1">
      <c r="B451" s="1"/>
      <c r="D451" s="1"/>
      <c r="E451" s="1"/>
      <c r="F451" s="1"/>
      <c r="G451" s="1"/>
      <c r="O451" s="1"/>
    </row>
    <row r="452" spans="2:15" ht="15.75" customHeight="1">
      <c r="B452" s="1"/>
      <c r="D452" s="1"/>
      <c r="E452" s="1"/>
      <c r="F452" s="1"/>
      <c r="G452" s="1"/>
      <c r="O452" s="1"/>
    </row>
    <row r="453" spans="2:15" ht="15.75" customHeight="1">
      <c r="B453" s="1"/>
      <c r="D453" s="1"/>
      <c r="E453" s="1"/>
      <c r="F453" s="1"/>
      <c r="G453" s="1"/>
      <c r="O453" s="1"/>
    </row>
    <row r="454" spans="2:15" ht="15.75" customHeight="1">
      <c r="B454" s="1"/>
      <c r="D454" s="1"/>
      <c r="E454" s="1"/>
      <c r="F454" s="1"/>
      <c r="G454" s="1"/>
      <c r="O454" s="1"/>
    </row>
    <row r="455" spans="2:15" ht="15.75" customHeight="1">
      <c r="B455" s="1"/>
      <c r="D455" s="1"/>
      <c r="E455" s="1"/>
      <c r="F455" s="1"/>
      <c r="G455" s="1"/>
      <c r="O455" s="1"/>
    </row>
    <row r="456" spans="2:15" ht="15.75" customHeight="1">
      <c r="B456" s="1"/>
      <c r="D456" s="1"/>
      <c r="E456" s="1"/>
      <c r="F456" s="1"/>
      <c r="G456" s="1"/>
      <c r="O456" s="1"/>
    </row>
    <row r="457" spans="2:15" ht="15.75" customHeight="1">
      <c r="B457" s="1"/>
      <c r="D457" s="1"/>
      <c r="E457" s="1"/>
      <c r="F457" s="1"/>
      <c r="G457" s="1"/>
      <c r="O457" s="1"/>
    </row>
    <row r="458" spans="2:15" ht="15.75" customHeight="1">
      <c r="B458" s="1"/>
      <c r="D458" s="1"/>
      <c r="E458" s="1"/>
      <c r="F458" s="1"/>
      <c r="G458" s="1"/>
      <c r="O458" s="1"/>
    </row>
    <row r="459" spans="2:15" ht="15.75" customHeight="1">
      <c r="B459" s="1"/>
      <c r="D459" s="1"/>
      <c r="E459" s="1"/>
      <c r="F459" s="1"/>
      <c r="G459" s="1"/>
      <c r="O459" s="1"/>
    </row>
    <row r="460" spans="2:15" ht="15.75" customHeight="1">
      <c r="B460" s="1"/>
      <c r="D460" s="1"/>
      <c r="E460" s="1"/>
      <c r="F460" s="1"/>
      <c r="G460" s="1"/>
      <c r="O460" s="1"/>
    </row>
    <row r="461" spans="2:15" ht="15.75" customHeight="1">
      <c r="B461" s="1"/>
      <c r="D461" s="1"/>
      <c r="E461" s="1"/>
      <c r="F461" s="1"/>
      <c r="G461" s="1"/>
      <c r="O461" s="1"/>
    </row>
    <row r="462" spans="2:15" ht="15.75" customHeight="1">
      <c r="B462" s="1"/>
      <c r="D462" s="1"/>
      <c r="E462" s="1"/>
      <c r="F462" s="1"/>
      <c r="G462" s="1"/>
      <c r="O462" s="1"/>
    </row>
    <row r="463" spans="2:15" ht="15.75" customHeight="1">
      <c r="B463" s="1"/>
      <c r="D463" s="1"/>
      <c r="E463" s="1"/>
      <c r="F463" s="1"/>
      <c r="G463" s="1"/>
      <c r="O463" s="1"/>
    </row>
    <row r="464" spans="2:15" ht="15.75" customHeight="1">
      <c r="B464" s="1"/>
      <c r="D464" s="1"/>
      <c r="E464" s="1"/>
      <c r="F464" s="1"/>
      <c r="G464" s="1"/>
      <c r="O464" s="1"/>
    </row>
    <row r="465" spans="2:15" ht="15.75" customHeight="1">
      <c r="B465" s="1"/>
      <c r="D465" s="1"/>
      <c r="E465" s="1"/>
      <c r="F465" s="1"/>
      <c r="G465" s="1"/>
      <c r="O465" s="1"/>
    </row>
    <row r="466" spans="2:15" ht="15.75" customHeight="1">
      <c r="B466" s="1"/>
      <c r="D466" s="1"/>
      <c r="E466" s="1"/>
      <c r="F466" s="1"/>
      <c r="G466" s="1"/>
      <c r="O466" s="1"/>
    </row>
    <row r="467" spans="2:15" ht="15.75" customHeight="1">
      <c r="B467" s="1"/>
      <c r="D467" s="1"/>
      <c r="E467" s="1"/>
      <c r="F467" s="1"/>
      <c r="G467" s="1"/>
      <c r="O467" s="1"/>
    </row>
    <row r="468" spans="2:15" ht="15.75" customHeight="1">
      <c r="B468" s="1"/>
      <c r="D468" s="1"/>
      <c r="E468" s="1"/>
      <c r="F468" s="1"/>
      <c r="G468" s="1"/>
      <c r="O468" s="1"/>
    </row>
    <row r="469" spans="2:15" ht="15.75" customHeight="1">
      <c r="B469" s="1"/>
      <c r="D469" s="1"/>
      <c r="E469" s="1"/>
      <c r="F469" s="1"/>
      <c r="G469" s="1"/>
      <c r="O469" s="1"/>
    </row>
    <row r="470" spans="2:15" ht="15.75" customHeight="1">
      <c r="B470" s="1"/>
      <c r="D470" s="1"/>
      <c r="E470" s="1"/>
      <c r="F470" s="1"/>
      <c r="G470" s="1"/>
      <c r="O470" s="1"/>
    </row>
    <row r="471" spans="2:15" ht="15.75" customHeight="1">
      <c r="B471" s="1"/>
      <c r="D471" s="1"/>
      <c r="E471" s="1"/>
      <c r="F471" s="1"/>
      <c r="G471" s="1"/>
      <c r="O471" s="1"/>
    </row>
    <row r="472" spans="2:15" ht="15.75" customHeight="1">
      <c r="B472" s="1"/>
      <c r="D472" s="1"/>
      <c r="E472" s="1"/>
      <c r="F472" s="1"/>
      <c r="G472" s="1"/>
      <c r="O472" s="1"/>
    </row>
    <row r="473" spans="2:15" ht="15.75" customHeight="1">
      <c r="B473" s="1"/>
      <c r="D473" s="1"/>
      <c r="E473" s="1"/>
      <c r="F473" s="1"/>
      <c r="G473" s="1"/>
      <c r="O473" s="1"/>
    </row>
    <row r="474" spans="2:15" ht="15.75" customHeight="1">
      <c r="B474" s="1"/>
      <c r="D474" s="1"/>
      <c r="E474" s="1"/>
      <c r="F474" s="1"/>
      <c r="G474" s="1"/>
      <c r="O474" s="1"/>
    </row>
    <row r="475" spans="2:15" ht="15.75" customHeight="1">
      <c r="B475" s="1"/>
      <c r="D475" s="1"/>
      <c r="E475" s="1"/>
      <c r="F475" s="1"/>
      <c r="G475" s="1"/>
      <c r="O475" s="1"/>
    </row>
    <row r="476" spans="2:15" ht="15.75" customHeight="1">
      <c r="B476" s="1"/>
      <c r="D476" s="1"/>
      <c r="E476" s="1"/>
      <c r="F476" s="1"/>
      <c r="G476" s="1"/>
      <c r="O476" s="1"/>
    </row>
    <row r="477" spans="2:15" ht="15.75" customHeight="1">
      <c r="B477" s="1"/>
      <c r="D477" s="1"/>
      <c r="E477" s="1"/>
      <c r="F477" s="1"/>
      <c r="G477" s="1"/>
      <c r="O477" s="1"/>
    </row>
    <row r="478" spans="2:15" ht="15.75" customHeight="1">
      <c r="B478" s="1"/>
      <c r="D478" s="1"/>
      <c r="E478" s="1"/>
      <c r="F478" s="1"/>
      <c r="G478" s="1"/>
      <c r="O478" s="1"/>
    </row>
    <row r="479" spans="2:15" ht="15.75" customHeight="1">
      <c r="B479" s="1"/>
      <c r="D479" s="1"/>
      <c r="E479" s="1"/>
      <c r="F479" s="1"/>
      <c r="G479" s="1"/>
      <c r="O479" s="1"/>
    </row>
    <row r="480" spans="2:15" ht="15.75" customHeight="1">
      <c r="B480" s="1"/>
      <c r="D480" s="1"/>
      <c r="E480" s="1"/>
      <c r="F480" s="1"/>
      <c r="G480" s="1"/>
      <c r="O480" s="1"/>
    </row>
    <row r="481" spans="2:15" ht="15.75" customHeight="1">
      <c r="B481" s="1"/>
      <c r="D481" s="1"/>
      <c r="E481" s="1"/>
      <c r="F481" s="1"/>
      <c r="G481" s="1"/>
      <c r="O481" s="1"/>
    </row>
    <row r="482" spans="2:15" ht="15.75" customHeight="1">
      <c r="B482" s="1"/>
      <c r="D482" s="1"/>
      <c r="E482" s="1"/>
      <c r="F482" s="1"/>
      <c r="G482" s="1"/>
      <c r="O482" s="1"/>
    </row>
    <row r="483" spans="2:15" ht="15.75" customHeight="1">
      <c r="B483" s="1"/>
      <c r="D483" s="1"/>
      <c r="E483" s="1"/>
      <c r="F483" s="1"/>
      <c r="G483" s="1"/>
      <c r="O483" s="1"/>
    </row>
    <row r="484" spans="2:15" ht="15.75" customHeight="1">
      <c r="B484" s="1"/>
      <c r="D484" s="1"/>
      <c r="E484" s="1"/>
      <c r="F484" s="1"/>
      <c r="G484" s="1"/>
      <c r="O484" s="1"/>
    </row>
    <row r="485" spans="2:15" ht="15.75" customHeight="1">
      <c r="B485" s="1"/>
      <c r="D485" s="1"/>
      <c r="E485" s="1"/>
      <c r="F485" s="1"/>
      <c r="G485" s="1"/>
      <c r="O485" s="1"/>
    </row>
    <row r="486" spans="2:15" ht="15.75" customHeight="1">
      <c r="B486" s="1"/>
      <c r="D486" s="1"/>
      <c r="E486" s="1"/>
      <c r="F486" s="1"/>
      <c r="G486" s="1"/>
      <c r="O486" s="1"/>
    </row>
    <row r="487" spans="2:15" ht="15.75" customHeight="1">
      <c r="B487" s="1"/>
      <c r="D487" s="1"/>
      <c r="E487" s="1"/>
      <c r="F487" s="1"/>
      <c r="G487" s="1"/>
      <c r="O487" s="1"/>
    </row>
    <row r="488" spans="2:15" ht="15.75" customHeight="1">
      <c r="B488" s="1"/>
      <c r="D488" s="1"/>
      <c r="E488" s="1"/>
      <c r="F488" s="1"/>
      <c r="G488" s="1"/>
      <c r="O488" s="1"/>
    </row>
    <row r="489" spans="2:15" ht="15.75" customHeight="1">
      <c r="B489" s="1"/>
      <c r="D489" s="1"/>
      <c r="E489" s="1"/>
      <c r="F489" s="1"/>
      <c r="G489" s="1"/>
      <c r="O489" s="1"/>
    </row>
    <row r="490" spans="2:15" ht="15.75" customHeight="1">
      <c r="B490" s="1"/>
      <c r="D490" s="1"/>
      <c r="E490" s="1"/>
      <c r="F490" s="1"/>
      <c r="G490" s="1"/>
      <c r="O490" s="1"/>
    </row>
    <row r="491" spans="2:15" ht="15.75" customHeight="1">
      <c r="B491" s="1"/>
      <c r="D491" s="1"/>
      <c r="E491" s="1"/>
      <c r="F491" s="1"/>
      <c r="G491" s="1"/>
      <c r="O491" s="1"/>
    </row>
    <row r="492" spans="2:15" ht="15.75" customHeight="1">
      <c r="B492" s="1"/>
      <c r="D492" s="1"/>
      <c r="E492" s="1"/>
      <c r="F492" s="1"/>
      <c r="G492" s="1"/>
      <c r="O492" s="1"/>
    </row>
    <row r="493" spans="2:15" ht="15.75" customHeight="1">
      <c r="B493" s="1"/>
      <c r="D493" s="1"/>
      <c r="E493" s="1"/>
      <c r="F493" s="1"/>
      <c r="G493" s="1"/>
      <c r="O493" s="1"/>
    </row>
    <row r="494" spans="2:15" ht="15.75" customHeight="1">
      <c r="B494" s="1"/>
      <c r="D494" s="1"/>
      <c r="E494" s="1"/>
      <c r="F494" s="1"/>
      <c r="G494" s="1"/>
      <c r="O494" s="1"/>
    </row>
    <row r="495" spans="2:15" ht="15.75" customHeight="1">
      <c r="B495" s="1"/>
      <c r="D495" s="1"/>
      <c r="E495" s="1"/>
      <c r="F495" s="1"/>
      <c r="G495" s="1"/>
      <c r="O495" s="1"/>
    </row>
    <row r="496" spans="2:15" ht="15.75" customHeight="1">
      <c r="B496" s="1"/>
      <c r="D496" s="1"/>
      <c r="E496" s="1"/>
      <c r="F496" s="1"/>
      <c r="G496" s="1"/>
      <c r="O496" s="1"/>
    </row>
    <row r="497" spans="2:15" ht="15.75" customHeight="1">
      <c r="B497" s="1"/>
      <c r="D497" s="1"/>
      <c r="E497" s="1"/>
      <c r="F497" s="1"/>
      <c r="G497" s="1"/>
      <c r="O497" s="1"/>
    </row>
    <row r="498" spans="2:15" ht="15.75" customHeight="1">
      <c r="B498" s="1"/>
      <c r="D498" s="1"/>
      <c r="E498" s="1"/>
      <c r="F498" s="1"/>
      <c r="G498" s="1"/>
      <c r="O498" s="1"/>
    </row>
    <row r="499" spans="2:15" ht="15.75" customHeight="1">
      <c r="B499" s="1"/>
      <c r="D499" s="1"/>
      <c r="E499" s="1"/>
      <c r="F499" s="1"/>
      <c r="G499" s="1"/>
      <c r="O499" s="1"/>
    </row>
    <row r="500" spans="2:15" ht="15.75" customHeight="1">
      <c r="B500" s="1"/>
      <c r="D500" s="1"/>
      <c r="E500" s="1"/>
      <c r="F500" s="1"/>
      <c r="G500" s="1"/>
      <c r="O500" s="1"/>
    </row>
    <row r="501" spans="2:15" ht="15.75" customHeight="1">
      <c r="B501" s="1"/>
      <c r="D501" s="1"/>
      <c r="E501" s="1"/>
      <c r="F501" s="1"/>
      <c r="G501" s="1"/>
      <c r="O501" s="1"/>
    </row>
    <row r="502" spans="2:15" ht="15.75" customHeight="1">
      <c r="B502" s="1"/>
      <c r="D502" s="1"/>
      <c r="E502" s="1"/>
      <c r="F502" s="1"/>
      <c r="G502" s="1"/>
      <c r="O502" s="1"/>
    </row>
    <row r="503" spans="2:15" ht="15.75" customHeight="1">
      <c r="B503" s="1"/>
      <c r="D503" s="1"/>
      <c r="E503" s="1"/>
      <c r="F503" s="1"/>
      <c r="G503" s="1"/>
      <c r="O503" s="1"/>
    </row>
    <row r="504" spans="2:15" ht="15.75" customHeight="1">
      <c r="B504" s="1"/>
      <c r="D504" s="1"/>
      <c r="E504" s="1"/>
      <c r="F504" s="1"/>
      <c r="G504" s="1"/>
      <c r="O504" s="1"/>
    </row>
    <row r="505" spans="2:15" ht="15.75" customHeight="1">
      <c r="B505" s="1"/>
      <c r="D505" s="1"/>
      <c r="E505" s="1"/>
      <c r="F505" s="1"/>
      <c r="G505" s="1"/>
      <c r="O505" s="1"/>
    </row>
    <row r="506" spans="2:15" ht="15.75" customHeight="1">
      <c r="B506" s="1"/>
      <c r="D506" s="1"/>
      <c r="E506" s="1"/>
      <c r="F506" s="1"/>
      <c r="G506" s="1"/>
      <c r="O506" s="1"/>
    </row>
    <row r="507" spans="2:15" ht="15.75" customHeight="1">
      <c r="B507" s="1"/>
      <c r="D507" s="1"/>
      <c r="E507" s="1"/>
      <c r="F507" s="1"/>
      <c r="G507" s="1"/>
      <c r="O507" s="1"/>
    </row>
    <row r="508" spans="2:15" ht="15.75" customHeight="1">
      <c r="B508" s="1"/>
      <c r="D508" s="1"/>
      <c r="E508" s="1"/>
      <c r="F508" s="1"/>
      <c r="G508" s="1"/>
      <c r="O508" s="1"/>
    </row>
    <row r="509" spans="2:15" ht="15.75" customHeight="1">
      <c r="B509" s="1"/>
      <c r="D509" s="1"/>
      <c r="E509" s="1"/>
      <c r="F509" s="1"/>
      <c r="G509" s="1"/>
      <c r="O509" s="1"/>
    </row>
    <row r="510" spans="2:15" ht="15.75" customHeight="1">
      <c r="B510" s="1"/>
      <c r="D510" s="1"/>
      <c r="E510" s="1"/>
      <c r="F510" s="1"/>
      <c r="G510" s="1"/>
      <c r="O510" s="1"/>
    </row>
    <row r="511" spans="2:15" ht="15.75" customHeight="1">
      <c r="B511" s="1"/>
      <c r="D511" s="1"/>
      <c r="E511" s="1"/>
      <c r="F511" s="1"/>
      <c r="G511" s="1"/>
      <c r="O511" s="1"/>
    </row>
    <row r="512" spans="2:15" ht="15.75" customHeight="1">
      <c r="B512" s="1"/>
      <c r="D512" s="1"/>
      <c r="E512" s="1"/>
      <c r="F512" s="1"/>
      <c r="G512" s="1"/>
      <c r="O512" s="1"/>
    </row>
    <row r="513" spans="2:15" ht="15.75" customHeight="1">
      <c r="B513" s="1"/>
      <c r="D513" s="1"/>
      <c r="E513" s="1"/>
      <c r="F513" s="1"/>
      <c r="G513" s="1"/>
      <c r="O513" s="1"/>
    </row>
    <row r="514" spans="2:15" ht="15.75" customHeight="1">
      <c r="B514" s="1"/>
      <c r="D514" s="1"/>
      <c r="E514" s="1"/>
      <c r="F514" s="1"/>
      <c r="G514" s="1"/>
      <c r="O514" s="1"/>
    </row>
    <row r="515" spans="2:15" ht="15.75" customHeight="1">
      <c r="B515" s="1"/>
      <c r="D515" s="1"/>
      <c r="E515" s="1"/>
      <c r="F515" s="1"/>
      <c r="G515" s="1"/>
      <c r="O515" s="1"/>
    </row>
    <row r="516" spans="2:15" ht="15.75" customHeight="1">
      <c r="B516" s="1"/>
      <c r="D516" s="1"/>
      <c r="E516" s="1"/>
      <c r="F516" s="1"/>
      <c r="G516" s="1"/>
      <c r="O516" s="1"/>
    </row>
    <row r="517" spans="2:15" ht="15.75" customHeight="1">
      <c r="B517" s="1"/>
      <c r="D517" s="1"/>
      <c r="E517" s="1"/>
      <c r="F517" s="1"/>
      <c r="G517" s="1"/>
      <c r="O517" s="1"/>
    </row>
    <row r="518" spans="2:15" ht="15.75" customHeight="1">
      <c r="B518" s="1"/>
      <c r="D518" s="1"/>
      <c r="E518" s="1"/>
      <c r="F518" s="1"/>
      <c r="G518" s="1"/>
      <c r="O518" s="1"/>
    </row>
    <row r="519" spans="2:15" ht="15.75" customHeight="1">
      <c r="B519" s="1"/>
      <c r="D519" s="1"/>
      <c r="E519" s="1"/>
      <c r="F519" s="1"/>
      <c r="G519" s="1"/>
      <c r="O519" s="1"/>
    </row>
    <row r="520" spans="2:15" ht="15.75" customHeight="1">
      <c r="B520" s="1"/>
      <c r="D520" s="1"/>
      <c r="E520" s="1"/>
      <c r="F520" s="1"/>
      <c r="G520" s="1"/>
      <c r="O520" s="1"/>
    </row>
    <row r="521" spans="2:15" ht="15.75" customHeight="1">
      <c r="B521" s="1"/>
      <c r="D521" s="1"/>
      <c r="E521" s="1"/>
      <c r="F521" s="1"/>
      <c r="G521" s="1"/>
      <c r="O521" s="1"/>
    </row>
    <row r="522" spans="2:15" ht="15.75" customHeight="1">
      <c r="B522" s="1"/>
      <c r="D522" s="1"/>
      <c r="E522" s="1"/>
      <c r="F522" s="1"/>
      <c r="G522" s="1"/>
      <c r="O522" s="1"/>
    </row>
    <row r="523" spans="2:15" ht="15.75" customHeight="1">
      <c r="B523" s="1"/>
      <c r="D523" s="1"/>
      <c r="E523" s="1"/>
      <c r="F523" s="1"/>
      <c r="G523" s="1"/>
      <c r="O523" s="1"/>
    </row>
    <row r="524" spans="2:15" ht="15.75" customHeight="1">
      <c r="B524" s="1"/>
      <c r="D524" s="1"/>
      <c r="E524" s="1"/>
      <c r="F524" s="1"/>
      <c r="G524" s="1"/>
      <c r="O524" s="1"/>
    </row>
    <row r="525" spans="2:15" ht="15.75" customHeight="1">
      <c r="B525" s="1"/>
      <c r="D525" s="1"/>
      <c r="E525" s="1"/>
      <c r="F525" s="1"/>
      <c r="G525" s="1"/>
      <c r="O525" s="1"/>
    </row>
    <row r="526" spans="2:15" ht="15.75" customHeight="1">
      <c r="B526" s="1"/>
      <c r="D526" s="1"/>
      <c r="E526" s="1"/>
      <c r="F526" s="1"/>
      <c r="G526" s="1"/>
      <c r="O526" s="1"/>
    </row>
    <row r="527" spans="2:15" ht="15.75" customHeight="1">
      <c r="B527" s="1"/>
      <c r="D527" s="1"/>
      <c r="E527" s="1"/>
      <c r="F527" s="1"/>
      <c r="G527" s="1"/>
      <c r="O527" s="1"/>
    </row>
    <row r="528" spans="2:15" ht="15.75" customHeight="1">
      <c r="B528" s="1"/>
      <c r="D528" s="1"/>
      <c r="E528" s="1"/>
      <c r="F528" s="1"/>
      <c r="G528" s="1"/>
      <c r="O528" s="1"/>
    </row>
    <row r="529" spans="2:15" ht="15.75" customHeight="1">
      <c r="B529" s="1"/>
      <c r="D529" s="1"/>
      <c r="E529" s="1"/>
      <c r="F529" s="1"/>
      <c r="G529" s="1"/>
      <c r="O529" s="1"/>
    </row>
    <row r="530" spans="2:15" ht="15.75" customHeight="1">
      <c r="B530" s="1"/>
      <c r="D530" s="1"/>
      <c r="E530" s="1"/>
      <c r="F530" s="1"/>
      <c r="G530" s="1"/>
      <c r="O530" s="1"/>
    </row>
    <row r="531" spans="2:15" ht="15.75" customHeight="1">
      <c r="B531" s="1"/>
      <c r="D531" s="1"/>
      <c r="E531" s="1"/>
      <c r="F531" s="1"/>
      <c r="G531" s="1"/>
      <c r="O531" s="1"/>
    </row>
    <row r="532" spans="2:15" ht="15.75" customHeight="1">
      <c r="B532" s="1"/>
      <c r="D532" s="1"/>
      <c r="E532" s="1"/>
      <c r="F532" s="1"/>
      <c r="G532" s="1"/>
      <c r="O532" s="1"/>
    </row>
    <row r="533" spans="2:15" ht="15.75" customHeight="1">
      <c r="B533" s="1"/>
      <c r="D533" s="1"/>
      <c r="E533" s="1"/>
      <c r="F533" s="1"/>
      <c r="G533" s="1"/>
      <c r="O533" s="1"/>
    </row>
    <row r="534" spans="2:15" ht="15.75" customHeight="1">
      <c r="B534" s="1"/>
      <c r="D534" s="1"/>
      <c r="E534" s="1"/>
      <c r="F534" s="1"/>
      <c r="G534" s="1"/>
      <c r="O534" s="1"/>
    </row>
    <row r="535" spans="2:15" ht="15.75" customHeight="1">
      <c r="B535" s="1"/>
      <c r="D535" s="1"/>
      <c r="E535" s="1"/>
      <c r="F535" s="1"/>
      <c r="G535" s="1"/>
      <c r="O535" s="1"/>
    </row>
    <row r="536" spans="2:15" ht="15.75" customHeight="1">
      <c r="B536" s="1"/>
      <c r="D536" s="1"/>
      <c r="E536" s="1"/>
      <c r="F536" s="1"/>
      <c r="G536" s="1"/>
      <c r="O536" s="1"/>
    </row>
    <row r="537" spans="2:15" ht="15.75" customHeight="1">
      <c r="B537" s="1"/>
      <c r="D537" s="1"/>
      <c r="E537" s="1"/>
      <c r="F537" s="1"/>
      <c r="G537" s="1"/>
      <c r="O537" s="1"/>
    </row>
    <row r="538" spans="2:15" ht="15.75" customHeight="1">
      <c r="B538" s="1"/>
      <c r="D538" s="1"/>
      <c r="E538" s="1"/>
      <c r="F538" s="1"/>
      <c r="G538" s="1"/>
      <c r="O538" s="1"/>
    </row>
    <row r="539" spans="2:15" ht="15.75" customHeight="1">
      <c r="B539" s="1"/>
      <c r="D539" s="1"/>
      <c r="E539" s="1"/>
      <c r="F539" s="1"/>
      <c r="G539" s="1"/>
      <c r="O539" s="1"/>
    </row>
    <row r="540" spans="2:15" ht="15.75" customHeight="1">
      <c r="B540" s="1"/>
      <c r="D540" s="1"/>
      <c r="E540" s="1"/>
      <c r="F540" s="1"/>
      <c r="G540" s="1"/>
      <c r="O540" s="1"/>
    </row>
    <row r="541" spans="2:15" ht="15.75" customHeight="1">
      <c r="B541" s="1"/>
      <c r="D541" s="1"/>
      <c r="E541" s="1"/>
      <c r="F541" s="1"/>
      <c r="G541" s="1"/>
      <c r="O541" s="1"/>
    </row>
    <row r="542" spans="2:15" ht="15.75" customHeight="1">
      <c r="B542" s="1"/>
      <c r="D542" s="1"/>
      <c r="E542" s="1"/>
      <c r="F542" s="1"/>
      <c r="G542" s="1"/>
      <c r="O542" s="1"/>
    </row>
    <row r="543" spans="2:15" ht="15.75" customHeight="1">
      <c r="B543" s="1"/>
      <c r="D543" s="1"/>
      <c r="E543" s="1"/>
      <c r="F543" s="1"/>
      <c r="G543" s="1"/>
      <c r="O543" s="1"/>
    </row>
    <row r="544" spans="2:15" ht="15.75" customHeight="1">
      <c r="B544" s="1"/>
      <c r="D544" s="1"/>
      <c r="E544" s="1"/>
      <c r="F544" s="1"/>
      <c r="G544" s="1"/>
      <c r="O544" s="1"/>
    </row>
    <row r="545" spans="2:15" ht="15.75" customHeight="1">
      <c r="B545" s="1"/>
      <c r="D545" s="1"/>
      <c r="E545" s="1"/>
      <c r="F545" s="1"/>
      <c r="G545" s="1"/>
      <c r="O545" s="1"/>
    </row>
    <row r="546" spans="2:15" ht="15.75" customHeight="1">
      <c r="B546" s="1"/>
      <c r="D546" s="1"/>
      <c r="E546" s="1"/>
      <c r="F546" s="1"/>
      <c r="G546" s="1"/>
      <c r="O546" s="1"/>
    </row>
    <row r="547" spans="2:15" ht="15.75" customHeight="1">
      <c r="B547" s="1"/>
      <c r="D547" s="1"/>
      <c r="E547" s="1"/>
      <c r="F547" s="1"/>
      <c r="G547" s="1"/>
      <c r="O547" s="1"/>
    </row>
    <row r="548" spans="2:15" ht="15.75" customHeight="1">
      <c r="B548" s="1"/>
      <c r="D548" s="1"/>
      <c r="E548" s="1"/>
      <c r="F548" s="1"/>
      <c r="G548" s="1"/>
      <c r="O548" s="1"/>
    </row>
    <row r="549" spans="2:15" ht="15.75" customHeight="1">
      <c r="B549" s="1"/>
      <c r="D549" s="1"/>
      <c r="E549" s="1"/>
      <c r="F549" s="1"/>
      <c r="G549" s="1"/>
      <c r="O549" s="1"/>
    </row>
    <row r="550" spans="2:15" ht="15.75" customHeight="1">
      <c r="B550" s="1"/>
      <c r="D550" s="1"/>
      <c r="E550" s="1"/>
      <c r="F550" s="1"/>
      <c r="G550" s="1"/>
      <c r="O550" s="1"/>
    </row>
    <row r="551" spans="2:15" ht="15.75" customHeight="1">
      <c r="B551" s="1"/>
      <c r="D551" s="1"/>
      <c r="E551" s="1"/>
      <c r="F551" s="1"/>
      <c r="G551" s="1"/>
      <c r="O551" s="1"/>
    </row>
    <row r="552" spans="2:15" ht="15.75" customHeight="1">
      <c r="B552" s="1"/>
      <c r="D552" s="1"/>
      <c r="E552" s="1"/>
      <c r="F552" s="1"/>
      <c r="G552" s="1"/>
      <c r="O552" s="1"/>
    </row>
    <row r="553" spans="2:15" ht="15.75" customHeight="1">
      <c r="B553" s="1"/>
      <c r="D553" s="1"/>
      <c r="E553" s="1"/>
      <c r="F553" s="1"/>
      <c r="G553" s="1"/>
      <c r="O553" s="1"/>
    </row>
    <row r="554" spans="2:15" ht="15.75" customHeight="1">
      <c r="B554" s="1"/>
      <c r="D554" s="1"/>
      <c r="E554" s="1"/>
      <c r="F554" s="1"/>
      <c r="G554" s="1"/>
      <c r="O554" s="1"/>
    </row>
    <row r="555" spans="2:15" ht="15.75" customHeight="1">
      <c r="B555" s="1"/>
      <c r="D555" s="1"/>
      <c r="E555" s="1"/>
      <c r="F555" s="1"/>
      <c r="G555" s="1"/>
      <c r="O555" s="1"/>
    </row>
    <row r="556" spans="2:15" ht="15.75" customHeight="1">
      <c r="B556" s="1"/>
      <c r="D556" s="1"/>
      <c r="E556" s="1"/>
      <c r="F556" s="1"/>
      <c r="G556" s="1"/>
      <c r="O556" s="1"/>
    </row>
    <row r="557" spans="2:15" ht="15.75" customHeight="1">
      <c r="B557" s="1"/>
      <c r="D557" s="1"/>
      <c r="E557" s="1"/>
      <c r="F557" s="1"/>
      <c r="G557" s="1"/>
      <c r="O557" s="1"/>
    </row>
    <row r="558" spans="2:15" ht="15.75" customHeight="1">
      <c r="B558" s="1"/>
      <c r="D558" s="1"/>
      <c r="E558" s="1"/>
      <c r="F558" s="1"/>
      <c r="G558" s="1"/>
      <c r="O558" s="1"/>
    </row>
    <row r="559" spans="2:15" ht="15.75" customHeight="1">
      <c r="B559" s="1"/>
      <c r="D559" s="1"/>
      <c r="E559" s="1"/>
      <c r="F559" s="1"/>
      <c r="G559" s="1"/>
      <c r="O559" s="1"/>
    </row>
    <row r="560" spans="2:15" ht="15.75" customHeight="1">
      <c r="B560" s="1"/>
      <c r="D560" s="1"/>
      <c r="E560" s="1"/>
      <c r="F560" s="1"/>
      <c r="G560" s="1"/>
      <c r="O560" s="1"/>
    </row>
    <row r="561" spans="2:15" ht="15.75" customHeight="1">
      <c r="B561" s="1"/>
      <c r="D561" s="1"/>
      <c r="E561" s="1"/>
      <c r="F561" s="1"/>
      <c r="G561" s="1"/>
      <c r="O561" s="1"/>
    </row>
    <row r="562" spans="2:15" ht="15.75" customHeight="1">
      <c r="B562" s="1"/>
      <c r="D562" s="1"/>
      <c r="E562" s="1"/>
      <c r="F562" s="1"/>
      <c r="G562" s="1"/>
      <c r="O562" s="1"/>
    </row>
    <row r="563" spans="2:15" ht="15.75" customHeight="1">
      <c r="B563" s="1"/>
      <c r="D563" s="1"/>
      <c r="E563" s="1"/>
      <c r="F563" s="1"/>
      <c r="G563" s="1"/>
      <c r="O563" s="1"/>
    </row>
    <row r="564" spans="2:15" ht="15.75" customHeight="1">
      <c r="B564" s="1"/>
      <c r="D564" s="1"/>
      <c r="E564" s="1"/>
      <c r="F564" s="1"/>
      <c r="G564" s="1"/>
      <c r="O564" s="1"/>
    </row>
    <row r="565" spans="2:15" ht="15.75" customHeight="1">
      <c r="B565" s="1"/>
      <c r="D565" s="1"/>
      <c r="E565" s="1"/>
      <c r="F565" s="1"/>
      <c r="G565" s="1"/>
      <c r="O565" s="1"/>
    </row>
    <row r="566" spans="2:15" ht="15.75" customHeight="1">
      <c r="B566" s="1"/>
      <c r="D566" s="1"/>
      <c r="E566" s="1"/>
      <c r="F566" s="1"/>
      <c r="G566" s="1"/>
      <c r="O566" s="1"/>
    </row>
    <row r="567" spans="2:15" ht="15.75" customHeight="1">
      <c r="B567" s="1"/>
      <c r="D567" s="1"/>
      <c r="E567" s="1"/>
      <c r="F567" s="1"/>
      <c r="G567" s="1"/>
      <c r="O567" s="1"/>
    </row>
    <row r="568" spans="2:15" ht="15.75" customHeight="1">
      <c r="B568" s="1"/>
      <c r="D568" s="1"/>
      <c r="E568" s="1"/>
      <c r="F568" s="1"/>
      <c r="G568" s="1"/>
      <c r="O568" s="1"/>
    </row>
    <row r="569" spans="2:15" ht="15.75" customHeight="1">
      <c r="B569" s="1"/>
      <c r="D569" s="1"/>
      <c r="E569" s="1"/>
      <c r="F569" s="1"/>
      <c r="G569" s="1"/>
      <c r="O569" s="1"/>
    </row>
    <row r="570" spans="2:15" ht="15.75" customHeight="1">
      <c r="B570" s="1"/>
      <c r="D570" s="1"/>
      <c r="E570" s="1"/>
      <c r="F570" s="1"/>
      <c r="G570" s="1"/>
      <c r="O570" s="1"/>
    </row>
    <row r="571" spans="2:15" ht="15.75" customHeight="1">
      <c r="B571" s="1"/>
      <c r="D571" s="1"/>
      <c r="E571" s="1"/>
      <c r="F571" s="1"/>
      <c r="G571" s="1"/>
      <c r="O571" s="1"/>
    </row>
    <row r="572" spans="2:15" ht="15.75" customHeight="1">
      <c r="B572" s="1"/>
      <c r="D572" s="1"/>
      <c r="E572" s="1"/>
      <c r="F572" s="1"/>
      <c r="G572" s="1"/>
      <c r="O572" s="1"/>
    </row>
    <row r="573" spans="2:15" ht="15.75" customHeight="1">
      <c r="B573" s="1"/>
      <c r="D573" s="1"/>
      <c r="E573" s="1"/>
      <c r="F573" s="1"/>
      <c r="G573" s="1"/>
      <c r="O573" s="1"/>
    </row>
    <row r="574" spans="2:15" ht="15.75" customHeight="1">
      <c r="B574" s="1"/>
      <c r="D574" s="1"/>
      <c r="E574" s="1"/>
      <c r="F574" s="1"/>
      <c r="G574" s="1"/>
      <c r="O574" s="1"/>
    </row>
    <row r="575" spans="2:15" ht="15.75" customHeight="1">
      <c r="B575" s="1"/>
      <c r="D575" s="1"/>
      <c r="E575" s="1"/>
      <c r="F575" s="1"/>
      <c r="G575" s="1"/>
      <c r="O575" s="1"/>
    </row>
    <row r="576" spans="2:15" ht="15.75" customHeight="1">
      <c r="B576" s="1"/>
      <c r="D576" s="1"/>
      <c r="E576" s="1"/>
      <c r="F576" s="1"/>
      <c r="G576" s="1"/>
      <c r="O576" s="1"/>
    </row>
    <row r="577" spans="2:15" ht="15.75" customHeight="1">
      <c r="B577" s="1"/>
      <c r="D577" s="1"/>
      <c r="E577" s="1"/>
      <c r="F577" s="1"/>
      <c r="G577" s="1"/>
      <c r="O577" s="1"/>
    </row>
    <row r="578" spans="2:15" ht="15.75" customHeight="1">
      <c r="B578" s="1"/>
      <c r="D578" s="1"/>
      <c r="E578" s="1"/>
      <c r="F578" s="1"/>
      <c r="G578" s="1"/>
      <c r="O578" s="1"/>
    </row>
    <row r="579" spans="2:15" ht="15.75" customHeight="1">
      <c r="B579" s="1"/>
      <c r="D579" s="1"/>
      <c r="E579" s="1"/>
      <c r="F579" s="1"/>
      <c r="G579" s="1"/>
      <c r="O579" s="1"/>
    </row>
    <row r="580" spans="2:15" ht="15.75" customHeight="1">
      <c r="B580" s="1"/>
      <c r="D580" s="1"/>
      <c r="E580" s="1"/>
      <c r="F580" s="1"/>
      <c r="G580" s="1"/>
      <c r="O580" s="1"/>
    </row>
    <row r="581" spans="2:15" ht="15.75" customHeight="1">
      <c r="B581" s="1"/>
      <c r="D581" s="1"/>
      <c r="E581" s="1"/>
      <c r="F581" s="1"/>
      <c r="G581" s="1"/>
      <c r="O581" s="1"/>
    </row>
    <row r="582" spans="2:15" ht="15.75" customHeight="1">
      <c r="B582" s="1"/>
      <c r="D582" s="1"/>
      <c r="E582" s="1"/>
      <c r="F582" s="1"/>
      <c r="G582" s="1"/>
      <c r="O582" s="1"/>
    </row>
    <row r="583" spans="2:15" ht="15.75" customHeight="1">
      <c r="B583" s="1"/>
      <c r="D583" s="1"/>
      <c r="E583" s="1"/>
      <c r="F583" s="1"/>
      <c r="G583" s="1"/>
      <c r="O583" s="1"/>
    </row>
    <row r="584" spans="2:15" ht="15.75" customHeight="1">
      <c r="B584" s="1"/>
      <c r="D584" s="1"/>
      <c r="E584" s="1"/>
      <c r="F584" s="1"/>
      <c r="G584" s="1"/>
      <c r="O584" s="1"/>
    </row>
    <row r="585" spans="2:15" ht="15.75" customHeight="1">
      <c r="B585" s="1"/>
      <c r="D585" s="1"/>
      <c r="E585" s="1"/>
      <c r="F585" s="1"/>
      <c r="G585" s="1"/>
      <c r="O585" s="1"/>
    </row>
    <row r="586" spans="2:15" ht="15.75" customHeight="1">
      <c r="B586" s="1"/>
      <c r="D586" s="1"/>
      <c r="E586" s="1"/>
      <c r="F586" s="1"/>
      <c r="G586" s="1"/>
      <c r="O586" s="1"/>
    </row>
    <row r="587" spans="2:15" ht="15.75" customHeight="1">
      <c r="B587" s="1"/>
      <c r="D587" s="1"/>
      <c r="E587" s="1"/>
      <c r="F587" s="1"/>
      <c r="G587" s="1"/>
      <c r="O587" s="1"/>
    </row>
    <row r="588" spans="2:15" ht="15.75" customHeight="1">
      <c r="B588" s="1"/>
      <c r="D588" s="1"/>
      <c r="E588" s="1"/>
      <c r="F588" s="1"/>
      <c r="G588" s="1"/>
      <c r="O588" s="1"/>
    </row>
    <row r="589" spans="2:15" ht="15.75" customHeight="1">
      <c r="B589" s="1"/>
      <c r="D589" s="1"/>
      <c r="E589" s="1"/>
      <c r="F589" s="1"/>
      <c r="G589" s="1"/>
      <c r="O589" s="1"/>
    </row>
    <row r="590" spans="2:15" ht="15.75" customHeight="1">
      <c r="B590" s="1"/>
      <c r="D590" s="1"/>
      <c r="E590" s="1"/>
      <c r="F590" s="1"/>
      <c r="G590" s="1"/>
      <c r="O590" s="1"/>
    </row>
    <row r="591" spans="2:15" ht="15.75" customHeight="1">
      <c r="B591" s="1"/>
      <c r="D591" s="1"/>
      <c r="E591" s="1"/>
      <c r="F591" s="1"/>
      <c r="G591" s="1"/>
      <c r="O591" s="1"/>
    </row>
    <row r="592" spans="2:15" ht="15.75" customHeight="1">
      <c r="B592" s="1"/>
      <c r="D592" s="1"/>
      <c r="E592" s="1"/>
      <c r="F592" s="1"/>
      <c r="G592" s="1"/>
      <c r="O592" s="1"/>
    </row>
    <row r="593" spans="2:15" ht="15.75" customHeight="1">
      <c r="B593" s="1"/>
      <c r="D593" s="1"/>
      <c r="E593" s="1"/>
      <c r="F593" s="1"/>
      <c r="G593" s="1"/>
      <c r="O593" s="1"/>
    </row>
    <row r="594" spans="2:15" ht="15.75" customHeight="1">
      <c r="B594" s="1"/>
      <c r="D594" s="1"/>
      <c r="E594" s="1"/>
      <c r="F594" s="1"/>
      <c r="G594" s="1"/>
      <c r="O594" s="1"/>
    </row>
    <row r="595" spans="2:15" ht="15.75" customHeight="1">
      <c r="B595" s="1"/>
      <c r="D595" s="1"/>
      <c r="E595" s="1"/>
      <c r="F595" s="1"/>
      <c r="G595" s="1"/>
      <c r="O595" s="1"/>
    </row>
    <row r="596" spans="2:15" ht="15.75" customHeight="1">
      <c r="B596" s="1"/>
      <c r="D596" s="1"/>
      <c r="E596" s="1"/>
      <c r="F596" s="1"/>
      <c r="G596" s="1"/>
      <c r="O596" s="1"/>
    </row>
    <row r="597" spans="2:15" ht="15.75" customHeight="1">
      <c r="B597" s="1"/>
      <c r="D597" s="1"/>
      <c r="E597" s="1"/>
      <c r="F597" s="1"/>
      <c r="G597" s="1"/>
      <c r="O597" s="1"/>
    </row>
    <row r="598" spans="2:15" ht="15.75" customHeight="1">
      <c r="B598" s="1"/>
      <c r="D598" s="1"/>
      <c r="E598" s="1"/>
      <c r="F598" s="1"/>
      <c r="G598" s="1"/>
      <c r="O598" s="1"/>
    </row>
    <row r="599" spans="2:15" ht="15.75" customHeight="1">
      <c r="B599" s="1"/>
      <c r="D599" s="1"/>
      <c r="E599" s="1"/>
      <c r="F599" s="1"/>
      <c r="G599" s="1"/>
      <c r="O599" s="1"/>
    </row>
    <row r="600" spans="2:15" ht="15.75" customHeight="1">
      <c r="B600" s="1"/>
      <c r="D600" s="1"/>
      <c r="E600" s="1"/>
      <c r="F600" s="1"/>
      <c r="G600" s="1"/>
      <c r="O600" s="1"/>
    </row>
    <row r="601" spans="2:15" ht="15.75" customHeight="1">
      <c r="B601" s="1"/>
      <c r="D601" s="1"/>
      <c r="E601" s="1"/>
      <c r="F601" s="1"/>
      <c r="G601" s="1"/>
      <c r="O601" s="1"/>
    </row>
    <row r="602" spans="2:15" ht="15.75" customHeight="1">
      <c r="B602" s="1"/>
      <c r="D602" s="1"/>
      <c r="E602" s="1"/>
      <c r="F602" s="1"/>
      <c r="G602" s="1"/>
      <c r="O602" s="1"/>
    </row>
    <row r="603" spans="2:15" ht="15.75" customHeight="1">
      <c r="B603" s="1"/>
      <c r="D603" s="1"/>
      <c r="E603" s="1"/>
      <c r="F603" s="1"/>
      <c r="G603" s="1"/>
      <c r="O603" s="1"/>
    </row>
    <row r="604" spans="2:15" ht="15.75" customHeight="1">
      <c r="B604" s="1"/>
      <c r="D604" s="1"/>
      <c r="E604" s="1"/>
      <c r="F604" s="1"/>
      <c r="G604" s="1"/>
      <c r="O604" s="1"/>
    </row>
    <row r="605" spans="2:15" ht="15.75" customHeight="1">
      <c r="B605" s="1"/>
      <c r="D605" s="1"/>
      <c r="E605" s="1"/>
      <c r="F605" s="1"/>
      <c r="G605" s="1"/>
      <c r="O605" s="1"/>
    </row>
    <row r="606" spans="2:15" ht="15.75" customHeight="1">
      <c r="B606" s="1"/>
      <c r="D606" s="1"/>
      <c r="E606" s="1"/>
      <c r="F606" s="1"/>
      <c r="G606" s="1"/>
      <c r="O606" s="1"/>
    </row>
    <row r="607" spans="2:15" ht="15.75" customHeight="1">
      <c r="B607" s="1"/>
      <c r="D607" s="1"/>
      <c r="E607" s="1"/>
      <c r="F607" s="1"/>
      <c r="G607" s="1"/>
      <c r="O607" s="1"/>
    </row>
    <row r="608" spans="2:15" ht="15.75" customHeight="1">
      <c r="B608" s="1"/>
      <c r="D608" s="1"/>
      <c r="E608" s="1"/>
      <c r="F608" s="1"/>
      <c r="G608" s="1"/>
      <c r="O608" s="1"/>
    </row>
    <row r="609" spans="2:15" ht="15.75" customHeight="1">
      <c r="B609" s="1"/>
      <c r="D609" s="1"/>
      <c r="E609" s="1"/>
      <c r="F609" s="1"/>
      <c r="G609" s="1"/>
      <c r="O609" s="1"/>
    </row>
    <row r="610" spans="2:15" ht="15.75" customHeight="1">
      <c r="B610" s="1"/>
      <c r="D610" s="1"/>
      <c r="E610" s="1"/>
      <c r="F610" s="1"/>
      <c r="G610" s="1"/>
      <c r="O610" s="1"/>
    </row>
    <row r="611" spans="2:15" ht="15.75" customHeight="1">
      <c r="B611" s="1"/>
      <c r="D611" s="1"/>
      <c r="E611" s="1"/>
      <c r="F611" s="1"/>
      <c r="G611" s="1"/>
      <c r="O611" s="1"/>
    </row>
    <row r="612" spans="2:15" ht="15.75" customHeight="1">
      <c r="B612" s="1"/>
      <c r="D612" s="1"/>
      <c r="E612" s="1"/>
      <c r="F612" s="1"/>
      <c r="G612" s="1"/>
      <c r="O612" s="1"/>
    </row>
    <row r="613" spans="2:15" ht="15.75" customHeight="1">
      <c r="B613" s="1"/>
      <c r="D613" s="1"/>
      <c r="E613" s="1"/>
      <c r="F613" s="1"/>
      <c r="G613" s="1"/>
      <c r="O613" s="1"/>
    </row>
    <row r="614" spans="2:15" ht="15.75" customHeight="1">
      <c r="B614" s="1"/>
      <c r="D614" s="1"/>
      <c r="E614" s="1"/>
      <c r="F614" s="1"/>
      <c r="G614" s="1"/>
      <c r="O614" s="1"/>
    </row>
    <row r="615" spans="2:15" ht="15.75" customHeight="1">
      <c r="B615" s="1"/>
      <c r="D615" s="1"/>
      <c r="E615" s="1"/>
      <c r="F615" s="1"/>
      <c r="G615" s="1"/>
      <c r="O615" s="1"/>
    </row>
    <row r="616" spans="2:15" ht="15.75" customHeight="1">
      <c r="B616" s="1"/>
      <c r="D616" s="1"/>
      <c r="E616" s="1"/>
      <c r="F616" s="1"/>
      <c r="G616" s="1"/>
      <c r="O616" s="1"/>
    </row>
    <row r="617" spans="2:15" ht="15.75" customHeight="1">
      <c r="B617" s="1"/>
      <c r="D617" s="1"/>
      <c r="E617" s="1"/>
      <c r="F617" s="1"/>
      <c r="G617" s="1"/>
      <c r="O617" s="1"/>
    </row>
    <row r="618" spans="2:15" ht="15.75" customHeight="1">
      <c r="B618" s="1"/>
      <c r="D618" s="1"/>
      <c r="E618" s="1"/>
      <c r="F618" s="1"/>
      <c r="G618" s="1"/>
      <c r="O618" s="1"/>
    </row>
    <row r="619" spans="2:15" ht="15.75" customHeight="1">
      <c r="B619" s="1"/>
      <c r="D619" s="1"/>
      <c r="E619" s="1"/>
      <c r="F619" s="1"/>
      <c r="G619" s="1"/>
      <c r="O619" s="1"/>
    </row>
    <row r="620" spans="2:15" ht="15.75" customHeight="1">
      <c r="B620" s="1"/>
      <c r="D620" s="1"/>
      <c r="E620" s="1"/>
      <c r="F620" s="1"/>
      <c r="G620" s="1"/>
      <c r="O620" s="1"/>
    </row>
    <row r="621" spans="2:15" ht="15.75" customHeight="1">
      <c r="B621" s="1"/>
      <c r="D621" s="1"/>
      <c r="E621" s="1"/>
      <c r="F621" s="1"/>
      <c r="G621" s="1"/>
      <c r="O621" s="1"/>
    </row>
    <row r="622" spans="2:15" ht="15.75" customHeight="1">
      <c r="B622" s="1"/>
      <c r="D622" s="1"/>
      <c r="E622" s="1"/>
      <c r="F622" s="1"/>
      <c r="G622" s="1"/>
      <c r="O622" s="1"/>
    </row>
    <row r="623" spans="2:15" ht="15.75" customHeight="1">
      <c r="B623" s="1"/>
      <c r="D623" s="1"/>
      <c r="E623" s="1"/>
      <c r="F623" s="1"/>
      <c r="G623" s="1"/>
      <c r="O623" s="1"/>
    </row>
    <row r="624" spans="2:15" ht="15.75" customHeight="1">
      <c r="B624" s="1"/>
      <c r="D624" s="1"/>
      <c r="E624" s="1"/>
      <c r="F624" s="1"/>
      <c r="G624" s="1"/>
      <c r="O624" s="1"/>
    </row>
    <row r="625" spans="2:15" ht="15.75" customHeight="1">
      <c r="B625" s="1"/>
      <c r="D625" s="1"/>
      <c r="E625" s="1"/>
      <c r="F625" s="1"/>
      <c r="G625" s="1"/>
      <c r="O625" s="1"/>
    </row>
    <row r="626" spans="2:15" ht="15.75" customHeight="1">
      <c r="B626" s="1"/>
      <c r="D626" s="1"/>
      <c r="E626" s="1"/>
      <c r="F626" s="1"/>
      <c r="G626" s="1"/>
      <c r="O626" s="1"/>
    </row>
    <row r="627" spans="2:15" ht="15.75" customHeight="1">
      <c r="B627" s="1"/>
      <c r="D627" s="1"/>
      <c r="E627" s="1"/>
      <c r="F627" s="1"/>
      <c r="G627" s="1"/>
      <c r="O627" s="1"/>
    </row>
    <row r="628" spans="2:15" ht="15.75" customHeight="1">
      <c r="B628" s="1"/>
      <c r="D628" s="1"/>
      <c r="E628" s="1"/>
      <c r="F628" s="1"/>
      <c r="G628" s="1"/>
      <c r="O628" s="1"/>
    </row>
    <row r="629" spans="2:15" ht="15.75" customHeight="1">
      <c r="B629" s="1"/>
      <c r="D629" s="1"/>
      <c r="E629" s="1"/>
      <c r="F629" s="1"/>
      <c r="G629" s="1"/>
      <c r="O629" s="1"/>
    </row>
    <row r="630" spans="2:15" ht="15.75" customHeight="1">
      <c r="B630" s="1"/>
      <c r="D630" s="1"/>
      <c r="E630" s="1"/>
      <c r="F630" s="1"/>
      <c r="G630" s="1"/>
      <c r="O630" s="1"/>
    </row>
    <row r="631" spans="2:15" ht="15.75" customHeight="1">
      <c r="B631" s="1"/>
      <c r="D631" s="1"/>
      <c r="E631" s="1"/>
      <c r="F631" s="1"/>
      <c r="G631" s="1"/>
      <c r="O631" s="1"/>
    </row>
    <row r="632" spans="2:15" ht="15.75" customHeight="1">
      <c r="B632" s="1"/>
      <c r="D632" s="1"/>
      <c r="E632" s="1"/>
      <c r="F632" s="1"/>
      <c r="G632" s="1"/>
      <c r="O632" s="1"/>
    </row>
    <row r="633" spans="2:15" ht="15.75" customHeight="1">
      <c r="B633" s="1"/>
      <c r="D633" s="1"/>
      <c r="E633" s="1"/>
      <c r="F633" s="1"/>
      <c r="G633" s="1"/>
      <c r="O633" s="1"/>
    </row>
    <row r="634" spans="2:15" ht="15.75" customHeight="1">
      <c r="B634" s="1"/>
      <c r="D634" s="1"/>
      <c r="E634" s="1"/>
      <c r="F634" s="1"/>
      <c r="G634" s="1"/>
      <c r="O634" s="1"/>
    </row>
    <row r="635" spans="2:15" ht="15.75" customHeight="1">
      <c r="B635" s="1"/>
      <c r="D635" s="1"/>
      <c r="E635" s="1"/>
      <c r="F635" s="1"/>
      <c r="G635" s="1"/>
      <c r="O635" s="1"/>
    </row>
    <row r="636" spans="2:15" ht="15.75" customHeight="1">
      <c r="B636" s="1"/>
      <c r="D636" s="1"/>
      <c r="E636" s="1"/>
      <c r="F636" s="1"/>
      <c r="G636" s="1"/>
      <c r="O636" s="1"/>
    </row>
    <row r="637" spans="2:15" ht="15.75" customHeight="1">
      <c r="B637" s="1"/>
      <c r="D637" s="1"/>
      <c r="E637" s="1"/>
      <c r="F637" s="1"/>
      <c r="G637" s="1"/>
      <c r="O637" s="1"/>
    </row>
    <row r="638" spans="2:15" ht="15.75" customHeight="1">
      <c r="B638" s="1"/>
      <c r="D638" s="1"/>
      <c r="E638" s="1"/>
      <c r="F638" s="1"/>
      <c r="G638" s="1"/>
      <c r="O638" s="1"/>
    </row>
    <row r="639" spans="2:15" ht="15.75" customHeight="1">
      <c r="B639" s="1"/>
      <c r="D639" s="1"/>
      <c r="E639" s="1"/>
      <c r="F639" s="1"/>
      <c r="G639" s="1"/>
      <c r="O639" s="1"/>
    </row>
    <row r="640" spans="2:15" ht="15.75" customHeight="1">
      <c r="B640" s="1"/>
      <c r="D640" s="1"/>
      <c r="E640" s="1"/>
      <c r="F640" s="1"/>
      <c r="G640" s="1"/>
      <c r="O640" s="1"/>
    </row>
    <row r="641" spans="2:15" ht="15.75" customHeight="1">
      <c r="B641" s="1"/>
      <c r="D641" s="1"/>
      <c r="E641" s="1"/>
      <c r="F641" s="1"/>
      <c r="G641" s="1"/>
      <c r="O641" s="1"/>
    </row>
    <row r="642" spans="2:15" ht="15.75" customHeight="1">
      <c r="B642" s="1"/>
      <c r="D642" s="1"/>
      <c r="E642" s="1"/>
      <c r="F642" s="1"/>
      <c r="G642" s="1"/>
      <c r="O642" s="1"/>
    </row>
    <row r="643" spans="2:15" ht="15.75" customHeight="1">
      <c r="B643" s="1"/>
      <c r="D643" s="1"/>
      <c r="E643" s="1"/>
      <c r="F643" s="1"/>
      <c r="G643" s="1"/>
      <c r="O643" s="1"/>
    </row>
    <row r="644" spans="2:15" ht="15.75" customHeight="1">
      <c r="B644" s="1"/>
      <c r="D644" s="1"/>
      <c r="E644" s="1"/>
      <c r="F644" s="1"/>
      <c r="G644" s="1"/>
      <c r="O644" s="1"/>
    </row>
    <row r="645" spans="2:15" ht="15.75" customHeight="1">
      <c r="B645" s="1"/>
      <c r="D645" s="1"/>
      <c r="E645" s="1"/>
      <c r="F645" s="1"/>
      <c r="G645" s="1"/>
      <c r="O645" s="1"/>
    </row>
    <row r="646" spans="2:15" ht="15.75" customHeight="1">
      <c r="B646" s="1"/>
      <c r="D646" s="1"/>
      <c r="E646" s="1"/>
      <c r="F646" s="1"/>
      <c r="G646" s="1"/>
      <c r="O646" s="1"/>
    </row>
    <row r="647" spans="2:15" ht="15.75" customHeight="1">
      <c r="B647" s="1"/>
      <c r="D647" s="1"/>
      <c r="E647" s="1"/>
      <c r="F647" s="1"/>
      <c r="G647" s="1"/>
      <c r="O647" s="1"/>
    </row>
    <row r="648" spans="2:15" ht="15.75" customHeight="1">
      <c r="B648" s="1"/>
      <c r="D648" s="1"/>
      <c r="E648" s="1"/>
      <c r="F648" s="1"/>
      <c r="G648" s="1"/>
      <c r="O648" s="1"/>
    </row>
    <row r="649" spans="2:15" ht="15.75" customHeight="1">
      <c r="B649" s="1"/>
      <c r="D649" s="1"/>
      <c r="E649" s="1"/>
      <c r="F649" s="1"/>
      <c r="G649" s="1"/>
      <c r="O649" s="1"/>
    </row>
    <row r="650" spans="2:15" ht="15.75" customHeight="1">
      <c r="B650" s="1"/>
      <c r="D650" s="1"/>
      <c r="E650" s="1"/>
      <c r="F650" s="1"/>
      <c r="G650" s="1"/>
      <c r="O650" s="1"/>
    </row>
    <row r="651" spans="2:15" ht="15.75" customHeight="1">
      <c r="B651" s="1"/>
      <c r="D651" s="1"/>
      <c r="E651" s="1"/>
      <c r="F651" s="1"/>
      <c r="G651" s="1"/>
      <c r="O651" s="1"/>
    </row>
    <row r="652" spans="2:15" ht="15.75" customHeight="1">
      <c r="B652" s="1"/>
      <c r="D652" s="1"/>
      <c r="E652" s="1"/>
      <c r="F652" s="1"/>
      <c r="G652" s="1"/>
      <c r="O652" s="1"/>
    </row>
    <row r="653" spans="2:15" ht="15.75" customHeight="1">
      <c r="B653" s="1"/>
      <c r="D653" s="1"/>
      <c r="E653" s="1"/>
      <c r="F653" s="1"/>
      <c r="G653" s="1"/>
      <c r="O653" s="1"/>
    </row>
    <row r="654" spans="2:15" ht="15.75" customHeight="1">
      <c r="B654" s="1"/>
      <c r="D654" s="1"/>
      <c r="E654" s="1"/>
      <c r="F654" s="1"/>
      <c r="G654" s="1"/>
      <c r="O654" s="1"/>
    </row>
    <row r="655" spans="2:15" ht="15.75" customHeight="1">
      <c r="B655" s="1"/>
      <c r="D655" s="1"/>
      <c r="E655" s="1"/>
      <c r="F655" s="1"/>
      <c r="G655" s="1"/>
      <c r="O655" s="1"/>
    </row>
    <row r="656" spans="2:15" ht="15.75" customHeight="1">
      <c r="B656" s="1"/>
      <c r="D656" s="1"/>
      <c r="E656" s="1"/>
      <c r="F656" s="1"/>
      <c r="G656" s="1"/>
      <c r="O656" s="1"/>
    </row>
    <row r="657" spans="2:15" ht="15.75" customHeight="1">
      <c r="B657" s="1"/>
      <c r="D657" s="1"/>
      <c r="E657" s="1"/>
      <c r="F657" s="1"/>
      <c r="G657" s="1"/>
      <c r="O657" s="1"/>
    </row>
    <row r="658" spans="2:15" ht="15.75" customHeight="1">
      <c r="B658" s="1"/>
      <c r="D658" s="1"/>
      <c r="E658" s="1"/>
      <c r="F658" s="1"/>
      <c r="G658" s="1"/>
      <c r="O658" s="1"/>
    </row>
    <row r="659" spans="2:15" ht="15.75" customHeight="1">
      <c r="B659" s="1"/>
      <c r="D659" s="1"/>
      <c r="E659" s="1"/>
      <c r="F659" s="1"/>
      <c r="G659" s="1"/>
      <c r="O659" s="1"/>
    </row>
    <row r="660" spans="2:15" ht="15.75" customHeight="1">
      <c r="B660" s="1"/>
      <c r="D660" s="1"/>
      <c r="E660" s="1"/>
      <c r="F660" s="1"/>
      <c r="G660" s="1"/>
      <c r="O660" s="1"/>
    </row>
    <row r="661" spans="2:15" ht="15.75" customHeight="1">
      <c r="B661" s="1"/>
      <c r="D661" s="1"/>
      <c r="E661" s="1"/>
      <c r="F661" s="1"/>
      <c r="G661" s="1"/>
      <c r="O661" s="1"/>
    </row>
    <row r="662" spans="2:15" ht="15.75" customHeight="1">
      <c r="B662" s="1"/>
      <c r="D662" s="1"/>
      <c r="E662" s="1"/>
      <c r="F662" s="1"/>
      <c r="G662" s="1"/>
      <c r="O662" s="1"/>
    </row>
    <row r="663" spans="2:15" ht="15.75" customHeight="1">
      <c r="B663" s="1"/>
      <c r="D663" s="1"/>
      <c r="E663" s="1"/>
      <c r="F663" s="1"/>
      <c r="G663" s="1"/>
      <c r="O663" s="1"/>
    </row>
    <row r="664" spans="2:15" ht="15.75" customHeight="1">
      <c r="B664" s="1"/>
      <c r="D664" s="1"/>
      <c r="E664" s="1"/>
      <c r="F664" s="1"/>
      <c r="G664" s="1"/>
      <c r="O664" s="1"/>
    </row>
    <row r="665" spans="2:15" ht="15.75" customHeight="1">
      <c r="B665" s="1"/>
      <c r="D665" s="1"/>
      <c r="E665" s="1"/>
      <c r="F665" s="1"/>
      <c r="G665" s="1"/>
      <c r="O665" s="1"/>
    </row>
    <row r="666" spans="2:15" ht="15.75" customHeight="1">
      <c r="B666" s="1"/>
      <c r="D666" s="1"/>
      <c r="E666" s="1"/>
      <c r="F666" s="1"/>
      <c r="G666" s="1"/>
      <c r="O666" s="1"/>
    </row>
    <row r="667" spans="2:15" ht="15.75" customHeight="1">
      <c r="B667" s="1"/>
      <c r="D667" s="1"/>
      <c r="E667" s="1"/>
      <c r="F667" s="1"/>
      <c r="G667" s="1"/>
      <c r="O667" s="1"/>
    </row>
    <row r="668" spans="2:15" ht="15.75" customHeight="1">
      <c r="B668" s="1"/>
      <c r="D668" s="1"/>
      <c r="E668" s="1"/>
      <c r="F668" s="1"/>
      <c r="G668" s="1"/>
      <c r="O668" s="1"/>
    </row>
    <row r="669" spans="2:15" ht="15.75" customHeight="1">
      <c r="B669" s="1"/>
      <c r="D669" s="1"/>
      <c r="E669" s="1"/>
      <c r="F669" s="1"/>
      <c r="G669" s="1"/>
      <c r="O669" s="1"/>
    </row>
    <row r="670" spans="2:15" ht="15.75" customHeight="1">
      <c r="B670" s="1"/>
      <c r="D670" s="1"/>
      <c r="E670" s="1"/>
      <c r="F670" s="1"/>
      <c r="G670" s="1"/>
      <c r="O670" s="1"/>
    </row>
    <row r="671" spans="2:15" ht="15.75" customHeight="1">
      <c r="B671" s="1"/>
      <c r="D671" s="1"/>
      <c r="E671" s="1"/>
      <c r="F671" s="1"/>
      <c r="G671" s="1"/>
      <c r="O671" s="1"/>
    </row>
    <row r="672" spans="2:15" ht="15.75" customHeight="1">
      <c r="B672" s="1"/>
      <c r="D672" s="1"/>
      <c r="E672" s="1"/>
      <c r="F672" s="1"/>
      <c r="G672" s="1"/>
      <c r="O672" s="1"/>
    </row>
    <row r="673" spans="2:15" ht="15.75" customHeight="1">
      <c r="B673" s="1"/>
      <c r="D673" s="1"/>
      <c r="E673" s="1"/>
      <c r="F673" s="1"/>
      <c r="G673" s="1"/>
      <c r="O673" s="1"/>
    </row>
    <row r="674" spans="2:15" ht="15.75" customHeight="1">
      <c r="B674" s="1"/>
      <c r="D674" s="1"/>
      <c r="E674" s="1"/>
      <c r="F674" s="1"/>
      <c r="G674" s="1"/>
      <c r="O674" s="1"/>
    </row>
    <row r="675" spans="2:15" ht="15.75" customHeight="1">
      <c r="B675" s="1"/>
      <c r="D675" s="1"/>
      <c r="E675" s="1"/>
      <c r="F675" s="1"/>
      <c r="G675" s="1"/>
      <c r="O675" s="1"/>
    </row>
    <row r="676" spans="2:15" ht="15.75" customHeight="1">
      <c r="B676" s="1"/>
      <c r="D676" s="1"/>
      <c r="E676" s="1"/>
      <c r="F676" s="1"/>
      <c r="G676" s="1"/>
      <c r="O676" s="1"/>
    </row>
    <row r="677" spans="2:15" ht="15.75" customHeight="1">
      <c r="B677" s="1"/>
      <c r="D677" s="1"/>
      <c r="E677" s="1"/>
      <c r="F677" s="1"/>
      <c r="G677" s="1"/>
      <c r="O677" s="1"/>
    </row>
    <row r="678" spans="2:15" ht="15.75" customHeight="1">
      <c r="B678" s="1"/>
      <c r="D678" s="1"/>
      <c r="E678" s="1"/>
      <c r="F678" s="1"/>
      <c r="G678" s="1"/>
      <c r="O678" s="1"/>
    </row>
    <row r="679" spans="2:15" ht="15.75" customHeight="1">
      <c r="B679" s="1"/>
      <c r="D679" s="1"/>
      <c r="E679" s="1"/>
      <c r="F679" s="1"/>
      <c r="G679" s="1"/>
      <c r="O679" s="1"/>
    </row>
    <row r="680" spans="2:15" ht="15.75" customHeight="1">
      <c r="B680" s="1"/>
      <c r="D680" s="1"/>
      <c r="E680" s="1"/>
      <c r="F680" s="1"/>
      <c r="G680" s="1"/>
      <c r="O680" s="1"/>
    </row>
    <row r="681" spans="2:15" ht="15.75" customHeight="1">
      <c r="B681" s="1"/>
      <c r="D681" s="1"/>
      <c r="E681" s="1"/>
      <c r="F681" s="1"/>
      <c r="G681" s="1"/>
      <c r="O681" s="1"/>
    </row>
    <row r="682" spans="2:15" ht="15.75" customHeight="1">
      <c r="B682" s="1"/>
      <c r="D682" s="1"/>
      <c r="E682" s="1"/>
      <c r="F682" s="1"/>
      <c r="G682" s="1"/>
      <c r="O682" s="1"/>
    </row>
    <row r="683" spans="2:15" ht="15.75" customHeight="1">
      <c r="B683" s="1"/>
      <c r="D683" s="1"/>
      <c r="E683" s="1"/>
      <c r="F683" s="1"/>
      <c r="G683" s="1"/>
      <c r="O683" s="1"/>
    </row>
    <row r="684" spans="2:15" ht="15.75" customHeight="1">
      <c r="B684" s="1"/>
      <c r="D684" s="1"/>
      <c r="E684" s="1"/>
      <c r="F684" s="1"/>
      <c r="G684" s="1"/>
      <c r="O684" s="1"/>
    </row>
    <row r="685" spans="2:15" ht="15.75" customHeight="1">
      <c r="B685" s="1"/>
      <c r="D685" s="1"/>
      <c r="E685" s="1"/>
      <c r="F685" s="1"/>
      <c r="G685" s="1"/>
      <c r="O685" s="1"/>
    </row>
    <row r="686" spans="2:15" ht="15.75" customHeight="1">
      <c r="B686" s="1"/>
      <c r="D686" s="1"/>
      <c r="E686" s="1"/>
      <c r="F686" s="1"/>
      <c r="G686" s="1"/>
      <c r="O686" s="1"/>
    </row>
    <row r="687" spans="2:15" ht="15.75" customHeight="1">
      <c r="B687" s="1"/>
      <c r="D687" s="1"/>
      <c r="E687" s="1"/>
      <c r="F687" s="1"/>
      <c r="G687" s="1"/>
      <c r="O687" s="1"/>
    </row>
    <row r="688" spans="2:15" ht="15.75" customHeight="1">
      <c r="B688" s="1"/>
      <c r="D688" s="1"/>
      <c r="E688" s="1"/>
      <c r="F688" s="1"/>
      <c r="G688" s="1"/>
      <c r="O688" s="1"/>
    </row>
    <row r="689" spans="2:15" ht="15.75" customHeight="1">
      <c r="B689" s="1"/>
      <c r="D689" s="1"/>
      <c r="E689" s="1"/>
      <c r="F689" s="1"/>
      <c r="G689" s="1"/>
      <c r="O689" s="1"/>
    </row>
    <row r="690" spans="2:15" ht="15.75" customHeight="1">
      <c r="B690" s="1"/>
      <c r="D690" s="1"/>
      <c r="E690" s="1"/>
      <c r="F690" s="1"/>
      <c r="G690" s="1"/>
      <c r="O690" s="1"/>
    </row>
    <row r="691" spans="2:15" ht="15.75" customHeight="1">
      <c r="B691" s="1"/>
      <c r="D691" s="1"/>
      <c r="E691" s="1"/>
      <c r="F691" s="1"/>
      <c r="G691" s="1"/>
      <c r="O691" s="1"/>
    </row>
    <row r="692" spans="2:15" ht="15.75" customHeight="1">
      <c r="B692" s="1"/>
      <c r="D692" s="1"/>
      <c r="E692" s="1"/>
      <c r="F692" s="1"/>
      <c r="G692" s="1"/>
      <c r="O692" s="1"/>
    </row>
    <row r="693" spans="2:15" ht="15.75" customHeight="1">
      <c r="B693" s="1"/>
      <c r="D693" s="1"/>
      <c r="E693" s="1"/>
      <c r="F693" s="1"/>
      <c r="G693" s="1"/>
      <c r="O693" s="1"/>
    </row>
    <row r="694" spans="2:15" ht="15.75" customHeight="1">
      <c r="B694" s="1"/>
      <c r="D694" s="1"/>
      <c r="E694" s="1"/>
      <c r="F694" s="1"/>
      <c r="G694" s="1"/>
      <c r="O694" s="1"/>
    </row>
    <row r="695" spans="2:15" ht="15.75" customHeight="1">
      <c r="B695" s="1"/>
      <c r="D695" s="1"/>
      <c r="E695" s="1"/>
      <c r="F695" s="1"/>
      <c r="G695" s="1"/>
      <c r="O695" s="1"/>
    </row>
    <row r="696" spans="2:15" ht="15.75" customHeight="1">
      <c r="B696" s="1"/>
      <c r="D696" s="1"/>
      <c r="E696" s="1"/>
      <c r="F696" s="1"/>
      <c r="G696" s="1"/>
      <c r="O696" s="1"/>
    </row>
    <row r="697" spans="2:15" ht="15.75" customHeight="1">
      <c r="B697" s="1"/>
      <c r="D697" s="1"/>
      <c r="E697" s="1"/>
      <c r="F697" s="1"/>
      <c r="G697" s="1"/>
      <c r="O697" s="1"/>
    </row>
    <row r="698" spans="2:15" ht="15.75" customHeight="1">
      <c r="B698" s="1"/>
      <c r="D698" s="1"/>
      <c r="E698" s="1"/>
      <c r="F698" s="1"/>
      <c r="G698" s="1"/>
      <c r="O698" s="1"/>
    </row>
    <row r="699" spans="2:15" ht="15.75" customHeight="1">
      <c r="B699" s="1"/>
      <c r="D699" s="1"/>
      <c r="E699" s="1"/>
      <c r="F699" s="1"/>
      <c r="G699" s="1"/>
      <c r="O699" s="1"/>
    </row>
    <row r="700" spans="2:15" ht="15.75" customHeight="1">
      <c r="B700" s="1"/>
      <c r="D700" s="1"/>
      <c r="E700" s="1"/>
      <c r="F700" s="1"/>
      <c r="G700" s="1"/>
      <c r="O700" s="1"/>
    </row>
    <row r="701" spans="2:15" ht="15.75" customHeight="1">
      <c r="B701" s="1"/>
      <c r="D701" s="1"/>
      <c r="E701" s="1"/>
      <c r="F701" s="1"/>
      <c r="G701" s="1"/>
      <c r="O701" s="1"/>
    </row>
    <row r="702" spans="2:15" ht="15.75" customHeight="1">
      <c r="B702" s="1"/>
      <c r="D702" s="1"/>
      <c r="E702" s="1"/>
      <c r="F702" s="1"/>
      <c r="G702" s="1"/>
      <c r="O702" s="1"/>
    </row>
    <row r="703" spans="2:15" ht="15.75" customHeight="1">
      <c r="B703" s="1"/>
      <c r="D703" s="1"/>
      <c r="E703" s="1"/>
      <c r="F703" s="1"/>
      <c r="G703" s="1"/>
      <c r="O703" s="1"/>
    </row>
    <row r="704" spans="2:15" ht="15.75" customHeight="1">
      <c r="B704" s="1"/>
      <c r="D704" s="1"/>
      <c r="E704" s="1"/>
      <c r="F704" s="1"/>
      <c r="G704" s="1"/>
      <c r="O704" s="1"/>
    </row>
    <row r="705" spans="2:15" ht="15.75" customHeight="1">
      <c r="B705" s="1"/>
      <c r="D705" s="1"/>
      <c r="E705" s="1"/>
      <c r="F705" s="1"/>
      <c r="G705" s="1"/>
      <c r="O705" s="1"/>
    </row>
    <row r="706" spans="2:15" ht="15.75" customHeight="1">
      <c r="B706" s="1"/>
      <c r="D706" s="1"/>
      <c r="E706" s="1"/>
      <c r="F706" s="1"/>
      <c r="G706" s="1"/>
      <c r="O706" s="1"/>
    </row>
    <row r="707" spans="2:15" ht="15.75" customHeight="1">
      <c r="B707" s="1"/>
      <c r="D707" s="1"/>
      <c r="E707" s="1"/>
      <c r="F707" s="1"/>
      <c r="G707" s="1"/>
      <c r="O707" s="1"/>
    </row>
    <row r="708" spans="2:15" ht="15.75" customHeight="1">
      <c r="B708" s="1"/>
      <c r="D708" s="1"/>
      <c r="E708" s="1"/>
      <c r="F708" s="1"/>
      <c r="G708" s="1"/>
      <c r="O708" s="1"/>
    </row>
    <row r="709" spans="2:15" ht="15.75" customHeight="1">
      <c r="B709" s="1"/>
      <c r="D709" s="1"/>
      <c r="E709" s="1"/>
      <c r="F709" s="1"/>
      <c r="G709" s="1"/>
      <c r="O709" s="1"/>
    </row>
    <row r="710" spans="2:15" ht="15.75" customHeight="1">
      <c r="B710" s="1"/>
      <c r="D710" s="1"/>
      <c r="E710" s="1"/>
      <c r="F710" s="1"/>
      <c r="G710" s="1"/>
      <c r="O710" s="1"/>
    </row>
    <row r="711" spans="2:15" ht="15.75" customHeight="1">
      <c r="B711" s="1"/>
      <c r="D711" s="1"/>
      <c r="E711" s="1"/>
      <c r="F711" s="1"/>
      <c r="G711" s="1"/>
      <c r="O711" s="1"/>
    </row>
    <row r="712" spans="2:15" ht="15.75" customHeight="1">
      <c r="B712" s="1"/>
      <c r="D712" s="1"/>
      <c r="E712" s="1"/>
      <c r="F712" s="1"/>
      <c r="G712" s="1"/>
      <c r="O712" s="1"/>
    </row>
    <row r="713" spans="2:15" ht="15.75" customHeight="1">
      <c r="B713" s="1"/>
      <c r="D713" s="1"/>
      <c r="E713" s="1"/>
      <c r="F713" s="1"/>
      <c r="G713" s="1"/>
      <c r="O713" s="1"/>
    </row>
    <row r="714" spans="2:15" ht="15.75" customHeight="1">
      <c r="B714" s="1"/>
      <c r="D714" s="1"/>
      <c r="E714" s="1"/>
      <c r="F714" s="1"/>
      <c r="G714" s="1"/>
      <c r="O714" s="1"/>
    </row>
    <row r="715" spans="2:15" ht="15.75" customHeight="1">
      <c r="B715" s="1"/>
      <c r="D715" s="1"/>
      <c r="E715" s="1"/>
      <c r="F715" s="1"/>
      <c r="G715" s="1"/>
      <c r="O715" s="1"/>
    </row>
    <row r="716" spans="2:15" ht="15.75" customHeight="1">
      <c r="B716" s="1"/>
      <c r="D716" s="1"/>
      <c r="E716" s="1"/>
      <c r="F716" s="1"/>
      <c r="G716" s="1"/>
      <c r="O716" s="1"/>
    </row>
    <row r="717" spans="2:15" ht="15.75" customHeight="1">
      <c r="B717" s="1"/>
      <c r="D717" s="1"/>
      <c r="E717" s="1"/>
      <c r="F717" s="1"/>
      <c r="G717" s="1"/>
      <c r="O717" s="1"/>
    </row>
    <row r="718" spans="2:15" ht="15.75" customHeight="1">
      <c r="B718" s="1"/>
      <c r="D718" s="1"/>
      <c r="E718" s="1"/>
      <c r="F718" s="1"/>
      <c r="G718" s="1"/>
      <c r="O718" s="1"/>
    </row>
    <row r="719" spans="2:15" ht="15.75" customHeight="1">
      <c r="B719" s="1"/>
      <c r="D719" s="1"/>
      <c r="E719" s="1"/>
      <c r="F719" s="1"/>
      <c r="G719" s="1"/>
      <c r="O719" s="1"/>
    </row>
    <row r="720" spans="2:15" ht="15.75" customHeight="1">
      <c r="B720" s="1"/>
      <c r="D720" s="1"/>
      <c r="E720" s="1"/>
      <c r="F720" s="1"/>
      <c r="G720" s="1"/>
      <c r="O720" s="1"/>
    </row>
    <row r="721" spans="2:15" ht="15.75" customHeight="1">
      <c r="B721" s="1"/>
      <c r="D721" s="1"/>
      <c r="E721" s="1"/>
      <c r="F721" s="1"/>
      <c r="G721" s="1"/>
      <c r="O721" s="1"/>
    </row>
    <row r="722" spans="2:15" ht="15.75" customHeight="1">
      <c r="B722" s="1"/>
      <c r="D722" s="1"/>
      <c r="E722" s="1"/>
      <c r="F722" s="1"/>
      <c r="G722" s="1"/>
      <c r="O722" s="1"/>
    </row>
    <row r="723" spans="2:15" ht="15.75" customHeight="1">
      <c r="B723" s="1"/>
      <c r="D723" s="1"/>
      <c r="E723" s="1"/>
      <c r="F723" s="1"/>
      <c r="G723" s="1"/>
      <c r="O723" s="1"/>
    </row>
    <row r="724" spans="2:15" ht="15.75" customHeight="1">
      <c r="B724" s="1"/>
      <c r="D724" s="1"/>
      <c r="E724" s="1"/>
      <c r="F724" s="1"/>
      <c r="G724" s="1"/>
      <c r="O724" s="1"/>
    </row>
    <row r="725" spans="2:15" ht="15.75" customHeight="1">
      <c r="B725" s="1"/>
      <c r="D725" s="1"/>
      <c r="E725" s="1"/>
      <c r="F725" s="1"/>
      <c r="G725" s="1"/>
      <c r="O725" s="1"/>
    </row>
    <row r="726" spans="2:15" ht="15.75" customHeight="1">
      <c r="B726" s="1"/>
      <c r="D726" s="1"/>
      <c r="E726" s="1"/>
      <c r="F726" s="1"/>
      <c r="G726" s="1"/>
      <c r="O726" s="1"/>
    </row>
    <row r="727" spans="2:15" ht="15.75" customHeight="1">
      <c r="B727" s="1"/>
      <c r="D727" s="1"/>
      <c r="E727" s="1"/>
      <c r="F727" s="1"/>
      <c r="G727" s="1"/>
      <c r="O727" s="1"/>
    </row>
    <row r="728" spans="2:15" ht="15.75" customHeight="1">
      <c r="B728" s="1"/>
      <c r="D728" s="1"/>
      <c r="E728" s="1"/>
      <c r="F728" s="1"/>
      <c r="G728" s="1"/>
      <c r="O728" s="1"/>
    </row>
    <row r="729" spans="2:15" ht="15.75" customHeight="1">
      <c r="B729" s="1"/>
      <c r="D729" s="1"/>
      <c r="E729" s="1"/>
      <c r="F729" s="1"/>
      <c r="G729" s="1"/>
      <c r="O729" s="1"/>
    </row>
    <row r="730" spans="2:15" ht="15.75" customHeight="1">
      <c r="B730" s="1"/>
      <c r="D730" s="1"/>
      <c r="E730" s="1"/>
      <c r="F730" s="1"/>
      <c r="G730" s="1"/>
      <c r="O730" s="1"/>
    </row>
    <row r="731" spans="2:15" ht="15.75" customHeight="1">
      <c r="B731" s="1"/>
      <c r="D731" s="1"/>
      <c r="E731" s="1"/>
      <c r="F731" s="1"/>
      <c r="G731" s="1"/>
      <c r="O731" s="1"/>
    </row>
    <row r="732" spans="2:15" ht="15.75" customHeight="1">
      <c r="B732" s="1"/>
      <c r="D732" s="1"/>
      <c r="E732" s="1"/>
      <c r="F732" s="1"/>
      <c r="G732" s="1"/>
      <c r="O732" s="1"/>
    </row>
    <row r="733" spans="2:15" ht="15.75" customHeight="1">
      <c r="B733" s="1"/>
      <c r="D733" s="1"/>
      <c r="E733" s="1"/>
      <c r="F733" s="1"/>
      <c r="G733" s="1"/>
      <c r="O733" s="1"/>
    </row>
    <row r="734" spans="2:15" ht="15.75" customHeight="1">
      <c r="B734" s="1"/>
      <c r="D734" s="1"/>
      <c r="E734" s="1"/>
      <c r="F734" s="1"/>
      <c r="G734" s="1"/>
      <c r="O734" s="1"/>
    </row>
    <row r="735" spans="2:15" ht="15.75" customHeight="1">
      <c r="B735" s="1"/>
      <c r="D735" s="1"/>
      <c r="E735" s="1"/>
      <c r="F735" s="1"/>
      <c r="G735" s="1"/>
      <c r="O735" s="1"/>
    </row>
    <row r="736" spans="2:15" ht="15.75" customHeight="1">
      <c r="B736" s="1"/>
      <c r="D736" s="1"/>
      <c r="E736" s="1"/>
      <c r="F736" s="1"/>
      <c r="G736" s="1"/>
      <c r="O736" s="1"/>
    </row>
    <row r="737" spans="2:15" ht="15.75" customHeight="1">
      <c r="B737" s="1"/>
      <c r="D737" s="1"/>
      <c r="E737" s="1"/>
      <c r="F737" s="1"/>
      <c r="G737" s="1"/>
      <c r="O737" s="1"/>
    </row>
    <row r="738" spans="2:15" ht="15.75" customHeight="1">
      <c r="B738" s="1"/>
      <c r="D738" s="1"/>
      <c r="E738" s="1"/>
      <c r="F738" s="1"/>
      <c r="G738" s="1"/>
      <c r="O738" s="1"/>
    </row>
    <row r="739" spans="2:15" ht="15.75" customHeight="1">
      <c r="B739" s="1"/>
      <c r="D739" s="1"/>
      <c r="E739" s="1"/>
      <c r="F739" s="1"/>
      <c r="G739" s="1"/>
      <c r="O739" s="1"/>
    </row>
    <row r="740" spans="2:15" ht="15.75" customHeight="1">
      <c r="B740" s="1"/>
      <c r="D740" s="1"/>
      <c r="E740" s="1"/>
      <c r="F740" s="1"/>
      <c r="G740" s="1"/>
      <c r="O740" s="1"/>
    </row>
    <row r="741" spans="2:15" ht="15.75" customHeight="1">
      <c r="B741" s="1"/>
      <c r="D741" s="1"/>
      <c r="E741" s="1"/>
      <c r="F741" s="1"/>
      <c r="G741" s="1"/>
      <c r="O741" s="1"/>
    </row>
    <row r="742" spans="2:15" ht="15.75" customHeight="1">
      <c r="B742" s="1"/>
      <c r="D742" s="1"/>
      <c r="E742" s="1"/>
      <c r="F742" s="1"/>
      <c r="G742" s="1"/>
      <c r="O742" s="1"/>
    </row>
    <row r="743" spans="2:15" ht="15.75" customHeight="1">
      <c r="B743" s="1"/>
      <c r="D743" s="1"/>
      <c r="E743" s="1"/>
      <c r="F743" s="1"/>
      <c r="G743" s="1"/>
      <c r="O743" s="1"/>
    </row>
    <row r="744" spans="2:15" ht="15.75" customHeight="1">
      <c r="B744" s="1"/>
      <c r="D744" s="1"/>
      <c r="E744" s="1"/>
      <c r="F744" s="1"/>
      <c r="G744" s="1"/>
      <c r="O744" s="1"/>
    </row>
    <row r="745" spans="2:15" ht="15.75" customHeight="1">
      <c r="B745" s="1"/>
      <c r="D745" s="1"/>
      <c r="E745" s="1"/>
      <c r="F745" s="1"/>
      <c r="G745" s="1"/>
      <c r="O745" s="1"/>
    </row>
    <row r="746" spans="2:15" ht="15.75" customHeight="1">
      <c r="B746" s="1"/>
      <c r="D746" s="1"/>
      <c r="E746" s="1"/>
      <c r="F746" s="1"/>
      <c r="G746" s="1"/>
      <c r="O746" s="1"/>
    </row>
    <row r="747" spans="2:15" ht="15.75" customHeight="1">
      <c r="B747" s="1"/>
      <c r="D747" s="1"/>
      <c r="E747" s="1"/>
      <c r="F747" s="1"/>
      <c r="G747" s="1"/>
      <c r="O747" s="1"/>
    </row>
    <row r="748" spans="2:15" ht="15.75" customHeight="1">
      <c r="B748" s="1"/>
      <c r="D748" s="1"/>
      <c r="E748" s="1"/>
      <c r="F748" s="1"/>
      <c r="G748" s="1"/>
      <c r="O748" s="1"/>
    </row>
    <row r="749" spans="2:15" ht="15.75" customHeight="1">
      <c r="B749" s="1"/>
      <c r="D749" s="1"/>
      <c r="E749" s="1"/>
      <c r="F749" s="1"/>
      <c r="G749" s="1"/>
      <c r="O749" s="1"/>
    </row>
    <row r="750" spans="2:15" ht="15.75" customHeight="1">
      <c r="B750" s="1"/>
      <c r="D750" s="1"/>
      <c r="E750" s="1"/>
      <c r="F750" s="1"/>
      <c r="G750" s="1"/>
      <c r="O750" s="1"/>
    </row>
    <row r="751" spans="2:15" ht="15.75" customHeight="1">
      <c r="B751" s="1"/>
      <c r="D751" s="1"/>
      <c r="E751" s="1"/>
      <c r="F751" s="1"/>
      <c r="G751" s="1"/>
      <c r="O751" s="1"/>
    </row>
    <row r="752" spans="2:15" ht="15.75" customHeight="1">
      <c r="B752" s="1"/>
      <c r="D752" s="1"/>
      <c r="E752" s="1"/>
      <c r="F752" s="1"/>
      <c r="G752" s="1"/>
      <c r="O752" s="1"/>
    </row>
    <row r="753" spans="2:15" ht="15.75" customHeight="1">
      <c r="B753" s="1"/>
      <c r="D753" s="1"/>
      <c r="E753" s="1"/>
      <c r="F753" s="1"/>
      <c r="G753" s="1"/>
      <c r="O753" s="1"/>
    </row>
    <row r="754" spans="2:15" ht="15.75" customHeight="1">
      <c r="B754" s="1"/>
      <c r="D754" s="1"/>
      <c r="E754" s="1"/>
      <c r="F754" s="1"/>
      <c r="G754" s="1"/>
      <c r="O754" s="1"/>
    </row>
    <row r="755" spans="2:15" ht="15.75" customHeight="1">
      <c r="B755" s="1"/>
      <c r="D755" s="1"/>
      <c r="E755" s="1"/>
      <c r="F755" s="1"/>
      <c r="G755" s="1"/>
      <c r="O755" s="1"/>
    </row>
    <row r="756" spans="2:15" ht="15.75" customHeight="1">
      <c r="B756" s="1"/>
      <c r="D756" s="1"/>
      <c r="E756" s="1"/>
      <c r="F756" s="1"/>
      <c r="G756" s="1"/>
      <c r="O756" s="1"/>
    </row>
    <row r="757" spans="2:15" ht="15.75" customHeight="1">
      <c r="B757" s="1"/>
      <c r="D757" s="1"/>
      <c r="E757" s="1"/>
      <c r="F757" s="1"/>
      <c r="G757" s="1"/>
      <c r="O757" s="1"/>
    </row>
    <row r="758" spans="2:15" ht="15.75" customHeight="1">
      <c r="B758" s="1"/>
      <c r="D758" s="1"/>
      <c r="E758" s="1"/>
      <c r="F758" s="1"/>
      <c r="G758" s="1"/>
      <c r="O758" s="1"/>
    </row>
    <row r="759" spans="2:15" ht="15.75" customHeight="1">
      <c r="B759" s="1"/>
      <c r="D759" s="1"/>
      <c r="E759" s="1"/>
      <c r="F759" s="1"/>
      <c r="G759" s="1"/>
      <c r="O759" s="1"/>
    </row>
    <row r="760" spans="2:15" ht="15.75" customHeight="1">
      <c r="B760" s="1"/>
      <c r="D760" s="1"/>
      <c r="E760" s="1"/>
      <c r="F760" s="1"/>
      <c r="G760" s="1"/>
      <c r="O760" s="1"/>
    </row>
    <row r="761" spans="2:15" ht="15.75" customHeight="1">
      <c r="B761" s="1"/>
      <c r="D761" s="1"/>
      <c r="E761" s="1"/>
      <c r="F761" s="1"/>
      <c r="G761" s="1"/>
      <c r="O761" s="1"/>
    </row>
    <row r="762" spans="2:15" ht="15.75" customHeight="1">
      <c r="B762" s="1"/>
      <c r="D762" s="1"/>
      <c r="E762" s="1"/>
      <c r="F762" s="1"/>
      <c r="G762" s="1"/>
      <c r="O762" s="1"/>
    </row>
    <row r="763" spans="2:15" ht="15.75" customHeight="1">
      <c r="B763" s="1"/>
      <c r="D763" s="1"/>
      <c r="E763" s="1"/>
      <c r="F763" s="1"/>
      <c r="G763" s="1"/>
      <c r="O763" s="1"/>
    </row>
    <row r="764" spans="2:15" ht="15.75" customHeight="1">
      <c r="B764" s="1"/>
      <c r="D764" s="1"/>
      <c r="E764" s="1"/>
      <c r="F764" s="1"/>
      <c r="G764" s="1"/>
      <c r="O764" s="1"/>
    </row>
    <row r="765" spans="2:15" ht="15.75" customHeight="1">
      <c r="B765" s="1"/>
      <c r="D765" s="1"/>
      <c r="E765" s="1"/>
      <c r="F765" s="1"/>
      <c r="G765" s="1"/>
      <c r="O765" s="1"/>
    </row>
    <row r="766" spans="2:15" ht="15.75" customHeight="1">
      <c r="B766" s="1"/>
      <c r="D766" s="1"/>
      <c r="E766" s="1"/>
      <c r="F766" s="1"/>
      <c r="G766" s="1"/>
      <c r="O766" s="1"/>
    </row>
    <row r="767" spans="2:15" ht="15.75" customHeight="1">
      <c r="B767" s="1"/>
      <c r="D767" s="1"/>
      <c r="E767" s="1"/>
      <c r="F767" s="1"/>
      <c r="G767" s="1"/>
      <c r="O767" s="1"/>
    </row>
    <row r="768" spans="2:15" ht="15.75" customHeight="1">
      <c r="B768" s="1"/>
      <c r="D768" s="1"/>
      <c r="E768" s="1"/>
      <c r="F768" s="1"/>
      <c r="G768" s="1"/>
      <c r="O768" s="1"/>
    </row>
    <row r="769" spans="2:15" ht="15.75" customHeight="1">
      <c r="B769" s="1"/>
      <c r="D769" s="1"/>
      <c r="E769" s="1"/>
      <c r="F769" s="1"/>
      <c r="G769" s="1"/>
      <c r="O769" s="1"/>
    </row>
    <row r="770" spans="2:15" ht="15.75" customHeight="1">
      <c r="B770" s="1"/>
      <c r="D770" s="1"/>
      <c r="E770" s="1"/>
      <c r="F770" s="1"/>
      <c r="G770" s="1"/>
      <c r="O770" s="1"/>
    </row>
    <row r="771" spans="2:15" ht="15.75" customHeight="1">
      <c r="B771" s="1"/>
      <c r="D771" s="1"/>
      <c r="E771" s="1"/>
      <c r="F771" s="1"/>
      <c r="G771" s="1"/>
      <c r="O771" s="1"/>
    </row>
    <row r="772" spans="2:15" ht="15.75" customHeight="1">
      <c r="B772" s="1"/>
      <c r="D772" s="1"/>
      <c r="E772" s="1"/>
      <c r="F772" s="1"/>
      <c r="G772" s="1"/>
      <c r="O772" s="1"/>
    </row>
    <row r="773" spans="2:15" ht="15.75" customHeight="1">
      <c r="B773" s="1"/>
      <c r="D773" s="1"/>
      <c r="E773" s="1"/>
      <c r="F773" s="1"/>
      <c r="G773" s="1"/>
      <c r="O773" s="1"/>
    </row>
    <row r="774" spans="2:15" ht="15.75" customHeight="1">
      <c r="B774" s="1"/>
      <c r="D774" s="1"/>
      <c r="E774" s="1"/>
      <c r="F774" s="1"/>
      <c r="G774" s="1"/>
      <c r="O774" s="1"/>
    </row>
    <row r="775" spans="2:15" ht="15.75" customHeight="1">
      <c r="B775" s="1"/>
      <c r="D775" s="1"/>
      <c r="E775" s="1"/>
      <c r="F775" s="1"/>
      <c r="G775" s="1"/>
      <c r="O775" s="1"/>
    </row>
    <row r="776" spans="2:15" ht="15.75" customHeight="1">
      <c r="B776" s="1"/>
      <c r="D776" s="1"/>
      <c r="E776" s="1"/>
      <c r="F776" s="1"/>
      <c r="G776" s="1"/>
      <c r="O776" s="1"/>
    </row>
    <row r="777" spans="2:15" ht="15.75" customHeight="1">
      <c r="B777" s="1"/>
      <c r="D777" s="1"/>
      <c r="E777" s="1"/>
      <c r="F777" s="1"/>
      <c r="G777" s="1"/>
      <c r="O777" s="1"/>
    </row>
    <row r="778" spans="2:15" ht="15.75" customHeight="1">
      <c r="B778" s="1"/>
      <c r="D778" s="1"/>
      <c r="E778" s="1"/>
      <c r="F778" s="1"/>
      <c r="G778" s="1"/>
      <c r="O778" s="1"/>
    </row>
    <row r="779" spans="2:15" ht="15.75" customHeight="1">
      <c r="B779" s="1"/>
      <c r="D779" s="1"/>
      <c r="E779" s="1"/>
      <c r="F779" s="1"/>
      <c r="G779" s="1"/>
      <c r="O779" s="1"/>
    </row>
    <row r="780" spans="2:15" ht="15.75" customHeight="1">
      <c r="B780" s="1"/>
      <c r="D780" s="1"/>
      <c r="E780" s="1"/>
      <c r="F780" s="1"/>
      <c r="G780" s="1"/>
      <c r="O780" s="1"/>
    </row>
    <row r="781" spans="2:15" ht="15.75" customHeight="1">
      <c r="B781" s="1"/>
      <c r="D781" s="1"/>
      <c r="E781" s="1"/>
      <c r="F781" s="1"/>
      <c r="G781" s="1"/>
      <c r="O781" s="1"/>
    </row>
    <row r="782" spans="2:15" ht="15.75" customHeight="1">
      <c r="B782" s="1"/>
      <c r="D782" s="1"/>
      <c r="E782" s="1"/>
      <c r="F782" s="1"/>
      <c r="G782" s="1"/>
      <c r="O782" s="1"/>
    </row>
    <row r="783" spans="2:15" ht="15.75" customHeight="1">
      <c r="B783" s="1"/>
      <c r="D783" s="1"/>
      <c r="E783" s="1"/>
      <c r="F783" s="1"/>
      <c r="G783" s="1"/>
      <c r="O783" s="1"/>
    </row>
    <row r="784" spans="2:15" ht="15.75" customHeight="1">
      <c r="B784" s="1"/>
      <c r="D784" s="1"/>
      <c r="E784" s="1"/>
      <c r="F784" s="1"/>
      <c r="G784" s="1"/>
      <c r="O784" s="1"/>
    </row>
    <row r="785" spans="2:15" ht="15.75" customHeight="1">
      <c r="B785" s="1"/>
      <c r="D785" s="1"/>
      <c r="E785" s="1"/>
      <c r="F785" s="1"/>
      <c r="G785" s="1"/>
      <c r="O785" s="1"/>
    </row>
    <row r="786" spans="2:15" ht="15.75" customHeight="1">
      <c r="B786" s="1"/>
      <c r="D786" s="1"/>
      <c r="E786" s="1"/>
      <c r="F786" s="1"/>
      <c r="G786" s="1"/>
      <c r="O786" s="1"/>
    </row>
    <row r="787" spans="2:15" ht="15.75" customHeight="1">
      <c r="B787" s="1"/>
      <c r="D787" s="1"/>
      <c r="E787" s="1"/>
      <c r="F787" s="1"/>
      <c r="G787" s="1"/>
      <c r="O787" s="1"/>
    </row>
    <row r="788" spans="2:15" ht="15.75" customHeight="1">
      <c r="B788" s="1"/>
      <c r="D788" s="1"/>
      <c r="E788" s="1"/>
      <c r="F788" s="1"/>
      <c r="G788" s="1"/>
      <c r="O788" s="1"/>
    </row>
    <row r="789" spans="2:15" ht="15.75" customHeight="1">
      <c r="B789" s="1"/>
      <c r="D789" s="1"/>
      <c r="E789" s="1"/>
      <c r="F789" s="1"/>
      <c r="G789" s="1"/>
      <c r="O789" s="1"/>
    </row>
    <row r="790" spans="2:15" ht="15.75" customHeight="1">
      <c r="B790" s="1"/>
      <c r="D790" s="1"/>
      <c r="E790" s="1"/>
      <c r="F790" s="1"/>
      <c r="G790" s="1"/>
      <c r="O790" s="1"/>
    </row>
    <row r="791" spans="2:15" ht="15.75" customHeight="1">
      <c r="B791" s="1"/>
      <c r="D791" s="1"/>
      <c r="E791" s="1"/>
      <c r="F791" s="1"/>
      <c r="G791" s="1"/>
      <c r="O791" s="1"/>
    </row>
    <row r="792" spans="2:15" ht="15.75" customHeight="1">
      <c r="B792" s="1"/>
      <c r="D792" s="1"/>
      <c r="E792" s="1"/>
      <c r="F792" s="1"/>
      <c r="G792" s="1"/>
      <c r="O792" s="1"/>
    </row>
    <row r="793" spans="2:15" ht="15.75" customHeight="1">
      <c r="B793" s="1"/>
      <c r="D793" s="1"/>
      <c r="E793" s="1"/>
      <c r="F793" s="1"/>
      <c r="G793" s="1"/>
      <c r="O793" s="1"/>
    </row>
    <row r="794" spans="2:15" ht="15.75" customHeight="1">
      <c r="B794" s="1"/>
      <c r="D794" s="1"/>
      <c r="E794" s="1"/>
      <c r="F794" s="1"/>
      <c r="G794" s="1"/>
      <c r="O794" s="1"/>
    </row>
    <row r="795" spans="2:15" ht="15.75" customHeight="1">
      <c r="B795" s="1"/>
      <c r="D795" s="1"/>
      <c r="E795" s="1"/>
      <c r="F795" s="1"/>
      <c r="G795" s="1"/>
      <c r="O795" s="1"/>
    </row>
    <row r="796" spans="2:15" ht="15.75" customHeight="1">
      <c r="B796" s="1"/>
      <c r="D796" s="1"/>
      <c r="E796" s="1"/>
      <c r="F796" s="1"/>
      <c r="G796" s="1"/>
      <c r="O796" s="1"/>
    </row>
    <row r="797" spans="2:15" ht="15.75" customHeight="1">
      <c r="B797" s="1"/>
      <c r="D797" s="1"/>
      <c r="E797" s="1"/>
      <c r="F797" s="1"/>
      <c r="G797" s="1"/>
      <c r="O797" s="1"/>
    </row>
    <row r="798" spans="2:15" ht="15.75" customHeight="1">
      <c r="B798" s="1"/>
      <c r="D798" s="1"/>
      <c r="E798" s="1"/>
      <c r="F798" s="1"/>
      <c r="G798" s="1"/>
      <c r="O798" s="1"/>
    </row>
    <row r="799" spans="2:15" ht="15.75" customHeight="1">
      <c r="B799" s="1"/>
      <c r="D799" s="1"/>
      <c r="E799" s="1"/>
      <c r="F799" s="1"/>
      <c r="G799" s="1"/>
      <c r="O799" s="1"/>
    </row>
    <row r="800" spans="2:15" ht="15.75" customHeight="1">
      <c r="B800" s="1"/>
      <c r="D800" s="1"/>
      <c r="E800" s="1"/>
      <c r="F800" s="1"/>
      <c r="G800" s="1"/>
      <c r="O800" s="1"/>
    </row>
    <row r="801" spans="2:15" ht="15.75" customHeight="1">
      <c r="B801" s="1"/>
      <c r="D801" s="1"/>
      <c r="E801" s="1"/>
      <c r="F801" s="1"/>
      <c r="G801" s="1"/>
      <c r="O801" s="1"/>
    </row>
    <row r="802" spans="2:15" ht="15.75" customHeight="1">
      <c r="B802" s="1"/>
      <c r="D802" s="1"/>
      <c r="E802" s="1"/>
      <c r="F802" s="1"/>
      <c r="G802" s="1"/>
      <c r="O802" s="1"/>
    </row>
    <row r="803" spans="2:15" ht="15.75" customHeight="1">
      <c r="B803" s="1"/>
      <c r="D803" s="1"/>
      <c r="E803" s="1"/>
      <c r="F803" s="1"/>
      <c r="G803" s="1"/>
      <c r="O803" s="1"/>
    </row>
    <row r="804" spans="2:15" ht="15.75" customHeight="1">
      <c r="B804" s="1"/>
      <c r="D804" s="1"/>
      <c r="E804" s="1"/>
      <c r="F804" s="1"/>
      <c r="G804" s="1"/>
      <c r="O804" s="1"/>
    </row>
    <row r="805" spans="2:15" ht="15.75" customHeight="1">
      <c r="B805" s="1"/>
      <c r="D805" s="1"/>
      <c r="E805" s="1"/>
      <c r="F805" s="1"/>
      <c r="G805" s="1"/>
      <c r="O805" s="1"/>
    </row>
    <row r="806" spans="2:15" ht="15.75" customHeight="1">
      <c r="B806" s="1"/>
      <c r="D806" s="1"/>
      <c r="E806" s="1"/>
      <c r="F806" s="1"/>
      <c r="G806" s="1"/>
      <c r="O806" s="1"/>
    </row>
    <row r="807" spans="2:15" ht="15.75" customHeight="1">
      <c r="B807" s="1"/>
      <c r="D807" s="1"/>
      <c r="E807" s="1"/>
      <c r="F807" s="1"/>
      <c r="G807" s="1"/>
      <c r="O807" s="1"/>
    </row>
    <row r="808" spans="2:15" ht="15.75" customHeight="1">
      <c r="B808" s="1"/>
      <c r="D808" s="1"/>
      <c r="E808" s="1"/>
      <c r="F808" s="1"/>
      <c r="G808" s="1"/>
      <c r="O808" s="1"/>
    </row>
    <row r="809" spans="2:15" ht="15.75" customHeight="1">
      <c r="B809" s="1"/>
      <c r="D809" s="1"/>
      <c r="E809" s="1"/>
      <c r="F809" s="1"/>
      <c r="G809" s="1"/>
      <c r="O809" s="1"/>
    </row>
    <row r="810" spans="2:15" ht="15.75" customHeight="1">
      <c r="B810" s="1"/>
      <c r="D810" s="1"/>
      <c r="E810" s="1"/>
      <c r="F810" s="1"/>
      <c r="G810" s="1"/>
      <c r="O810" s="1"/>
    </row>
    <row r="811" spans="2:15" ht="15.75" customHeight="1">
      <c r="B811" s="1"/>
      <c r="D811" s="1"/>
      <c r="E811" s="1"/>
      <c r="F811" s="1"/>
      <c r="G811" s="1"/>
      <c r="O811" s="1"/>
    </row>
    <row r="812" spans="2:15" ht="15.75" customHeight="1">
      <c r="B812" s="1"/>
      <c r="D812" s="1"/>
      <c r="E812" s="1"/>
      <c r="F812" s="1"/>
      <c r="G812" s="1"/>
      <c r="O812" s="1"/>
    </row>
    <row r="813" spans="2:15" ht="15.75" customHeight="1">
      <c r="B813" s="1"/>
      <c r="D813" s="1"/>
      <c r="E813" s="1"/>
      <c r="F813" s="1"/>
      <c r="G813" s="1"/>
      <c r="O813" s="1"/>
    </row>
    <row r="814" spans="2:15" ht="15.75" customHeight="1">
      <c r="B814" s="1"/>
      <c r="D814" s="1"/>
      <c r="E814" s="1"/>
      <c r="F814" s="1"/>
      <c r="G814" s="1"/>
      <c r="O814" s="1"/>
    </row>
    <row r="815" spans="2:15" ht="15.75" customHeight="1">
      <c r="B815" s="1"/>
      <c r="D815" s="1"/>
      <c r="E815" s="1"/>
      <c r="F815" s="1"/>
      <c r="G815" s="1"/>
      <c r="O815" s="1"/>
    </row>
    <row r="816" spans="2:15" ht="15.75" customHeight="1">
      <c r="B816" s="1"/>
      <c r="D816" s="1"/>
      <c r="E816" s="1"/>
      <c r="F816" s="1"/>
      <c r="G816" s="1"/>
      <c r="O816" s="1"/>
    </row>
    <row r="817" spans="2:15" ht="15.75" customHeight="1">
      <c r="B817" s="1"/>
      <c r="D817" s="1"/>
      <c r="E817" s="1"/>
      <c r="F817" s="1"/>
      <c r="G817" s="1"/>
      <c r="O817" s="1"/>
    </row>
    <row r="818" spans="2:15" ht="15.75" customHeight="1">
      <c r="B818" s="1"/>
      <c r="D818" s="1"/>
      <c r="E818" s="1"/>
      <c r="F818" s="1"/>
      <c r="G818" s="1"/>
      <c r="O818" s="1"/>
    </row>
    <row r="819" spans="2:15" ht="15.75" customHeight="1">
      <c r="B819" s="1"/>
      <c r="D819" s="1"/>
      <c r="E819" s="1"/>
      <c r="F819" s="1"/>
      <c r="G819" s="1"/>
      <c r="O819" s="1"/>
    </row>
    <row r="820" spans="2:15" ht="15.75" customHeight="1">
      <c r="B820" s="1"/>
      <c r="D820" s="1"/>
      <c r="E820" s="1"/>
      <c r="F820" s="1"/>
      <c r="G820" s="1"/>
      <c r="O820" s="1"/>
    </row>
    <row r="821" spans="2:15" ht="15.75" customHeight="1">
      <c r="B821" s="1"/>
      <c r="D821" s="1"/>
      <c r="E821" s="1"/>
      <c r="F821" s="1"/>
      <c r="G821" s="1"/>
      <c r="O821" s="1"/>
    </row>
    <row r="822" spans="2:15" ht="15.75" customHeight="1">
      <c r="B822" s="1"/>
      <c r="D822" s="1"/>
      <c r="E822" s="1"/>
      <c r="F822" s="1"/>
      <c r="G822" s="1"/>
      <c r="O822" s="1"/>
    </row>
    <row r="823" spans="2:15" ht="15.75" customHeight="1">
      <c r="B823" s="1"/>
      <c r="D823" s="1"/>
      <c r="E823" s="1"/>
      <c r="F823" s="1"/>
      <c r="G823" s="1"/>
      <c r="O823" s="1"/>
    </row>
    <row r="824" spans="2:15" ht="15.75" customHeight="1">
      <c r="B824" s="1"/>
      <c r="D824" s="1"/>
      <c r="E824" s="1"/>
      <c r="F824" s="1"/>
      <c r="G824" s="1"/>
      <c r="O824" s="1"/>
    </row>
    <row r="825" spans="2:15" ht="15.75" customHeight="1">
      <c r="B825" s="1"/>
      <c r="D825" s="1"/>
      <c r="E825" s="1"/>
      <c r="F825" s="1"/>
      <c r="G825" s="1"/>
      <c r="O825" s="1"/>
    </row>
    <row r="826" spans="2:15" ht="15.75" customHeight="1">
      <c r="B826" s="1"/>
      <c r="D826" s="1"/>
      <c r="E826" s="1"/>
      <c r="F826" s="1"/>
      <c r="G826" s="1"/>
      <c r="O826" s="1"/>
    </row>
    <row r="827" spans="2:15" ht="15.75" customHeight="1">
      <c r="B827" s="1"/>
      <c r="D827" s="1"/>
      <c r="E827" s="1"/>
      <c r="F827" s="1"/>
      <c r="G827" s="1"/>
      <c r="O827" s="1"/>
    </row>
    <row r="828" spans="2:15" ht="15.75" customHeight="1">
      <c r="B828" s="1"/>
      <c r="D828" s="1"/>
      <c r="E828" s="1"/>
      <c r="F828" s="1"/>
      <c r="G828" s="1"/>
      <c r="O828" s="1"/>
    </row>
    <row r="829" spans="2:15" ht="15.75" customHeight="1">
      <c r="B829" s="1"/>
      <c r="D829" s="1"/>
      <c r="E829" s="1"/>
      <c r="F829" s="1"/>
      <c r="G829" s="1"/>
      <c r="O829" s="1"/>
    </row>
    <row r="830" spans="2:15" ht="15.75" customHeight="1">
      <c r="B830" s="1"/>
      <c r="D830" s="1"/>
      <c r="E830" s="1"/>
      <c r="F830" s="1"/>
      <c r="G830" s="1"/>
      <c r="O830" s="1"/>
    </row>
    <row r="831" spans="2:15" ht="15.75" customHeight="1">
      <c r="B831" s="1"/>
      <c r="D831" s="1"/>
      <c r="E831" s="1"/>
      <c r="F831" s="1"/>
      <c r="G831" s="1"/>
      <c r="O831" s="1"/>
    </row>
    <row r="832" spans="2:15" ht="15.75" customHeight="1">
      <c r="B832" s="1"/>
      <c r="D832" s="1"/>
      <c r="E832" s="1"/>
      <c r="F832" s="1"/>
      <c r="G832" s="1"/>
      <c r="O832" s="1"/>
    </row>
    <row r="833" spans="2:15" ht="15.75" customHeight="1">
      <c r="B833" s="1"/>
      <c r="D833" s="1"/>
      <c r="E833" s="1"/>
      <c r="F833" s="1"/>
      <c r="G833" s="1"/>
      <c r="O833" s="1"/>
    </row>
    <row r="834" spans="2:15" ht="15.75" customHeight="1">
      <c r="B834" s="1"/>
      <c r="D834" s="1"/>
      <c r="E834" s="1"/>
      <c r="F834" s="1"/>
      <c r="G834" s="1"/>
      <c r="O834" s="1"/>
    </row>
    <row r="835" spans="2:15" ht="15.75" customHeight="1">
      <c r="B835" s="1"/>
      <c r="D835" s="1"/>
      <c r="E835" s="1"/>
      <c r="F835" s="1"/>
      <c r="G835" s="1"/>
      <c r="O835" s="1"/>
    </row>
    <row r="836" spans="2:15" ht="15.75" customHeight="1">
      <c r="B836" s="1"/>
      <c r="D836" s="1"/>
      <c r="E836" s="1"/>
      <c r="F836" s="1"/>
      <c r="G836" s="1"/>
      <c r="O836" s="1"/>
    </row>
    <row r="837" spans="2:15" ht="15.75" customHeight="1">
      <c r="B837" s="1"/>
      <c r="D837" s="1"/>
      <c r="E837" s="1"/>
      <c r="F837" s="1"/>
      <c r="G837" s="1"/>
      <c r="O837" s="1"/>
    </row>
    <row r="838" spans="2:15" ht="15.75" customHeight="1">
      <c r="B838" s="1"/>
      <c r="D838" s="1"/>
      <c r="E838" s="1"/>
      <c r="F838" s="1"/>
      <c r="G838" s="1"/>
      <c r="O838" s="1"/>
    </row>
    <row r="839" spans="2:15" ht="15.75" customHeight="1">
      <c r="B839" s="1"/>
      <c r="D839" s="1"/>
      <c r="E839" s="1"/>
      <c r="F839" s="1"/>
      <c r="G839" s="1"/>
      <c r="O839" s="1"/>
    </row>
    <row r="840" spans="2:15" ht="15.75" customHeight="1">
      <c r="B840" s="1"/>
      <c r="D840" s="1"/>
      <c r="E840" s="1"/>
      <c r="F840" s="1"/>
      <c r="G840" s="1"/>
      <c r="O840" s="1"/>
    </row>
    <row r="841" spans="2:15" ht="15.75" customHeight="1">
      <c r="B841" s="1"/>
      <c r="D841" s="1"/>
      <c r="E841" s="1"/>
      <c r="F841" s="1"/>
      <c r="G841" s="1"/>
      <c r="O841" s="1"/>
    </row>
    <row r="842" spans="2:15" ht="15.75" customHeight="1">
      <c r="B842" s="1"/>
      <c r="D842" s="1"/>
      <c r="E842" s="1"/>
      <c r="F842" s="1"/>
      <c r="G842" s="1"/>
      <c r="O842" s="1"/>
    </row>
    <row r="843" spans="2:15" ht="15.75" customHeight="1">
      <c r="B843" s="1"/>
      <c r="D843" s="1"/>
      <c r="E843" s="1"/>
      <c r="F843" s="1"/>
      <c r="G843" s="1"/>
      <c r="O843" s="1"/>
    </row>
    <row r="844" spans="2:15" ht="15.75" customHeight="1">
      <c r="B844" s="1"/>
      <c r="D844" s="1"/>
      <c r="E844" s="1"/>
      <c r="F844" s="1"/>
      <c r="G844" s="1"/>
      <c r="O844" s="1"/>
    </row>
    <row r="845" spans="2:15" ht="15.75" customHeight="1">
      <c r="B845" s="1"/>
      <c r="D845" s="1"/>
      <c r="E845" s="1"/>
      <c r="F845" s="1"/>
      <c r="G845" s="1"/>
      <c r="O845" s="1"/>
    </row>
    <row r="846" spans="2:15" ht="15.75" customHeight="1">
      <c r="B846" s="1"/>
      <c r="D846" s="1"/>
      <c r="E846" s="1"/>
      <c r="F846" s="1"/>
      <c r="G846" s="1"/>
      <c r="O846" s="1"/>
    </row>
    <row r="847" spans="2:15" ht="15.75" customHeight="1">
      <c r="B847" s="1"/>
      <c r="D847" s="1"/>
      <c r="E847" s="1"/>
      <c r="F847" s="1"/>
      <c r="G847" s="1"/>
      <c r="O847" s="1"/>
    </row>
    <row r="848" spans="2:15" ht="15.75" customHeight="1">
      <c r="B848" s="1"/>
      <c r="D848" s="1"/>
      <c r="E848" s="1"/>
      <c r="F848" s="1"/>
      <c r="G848" s="1"/>
      <c r="O848" s="1"/>
    </row>
    <row r="849" spans="2:15" ht="15.75" customHeight="1">
      <c r="B849" s="1"/>
      <c r="D849" s="1"/>
      <c r="E849" s="1"/>
      <c r="F849" s="1"/>
      <c r="G849" s="1"/>
      <c r="O849" s="1"/>
    </row>
    <row r="850" spans="2:15" ht="15.75" customHeight="1">
      <c r="B850" s="1"/>
      <c r="D850" s="1"/>
      <c r="E850" s="1"/>
      <c r="F850" s="1"/>
      <c r="G850" s="1"/>
      <c r="O850" s="1"/>
    </row>
    <row r="851" spans="2:15" ht="15.75" customHeight="1">
      <c r="B851" s="1"/>
      <c r="D851" s="1"/>
      <c r="E851" s="1"/>
      <c r="F851" s="1"/>
      <c r="G851" s="1"/>
      <c r="O851" s="1"/>
    </row>
    <row r="852" spans="2:15" ht="15.75" customHeight="1">
      <c r="B852" s="1"/>
      <c r="D852" s="1"/>
      <c r="E852" s="1"/>
      <c r="F852" s="1"/>
      <c r="G852" s="1"/>
      <c r="O852" s="1"/>
    </row>
    <row r="853" spans="2:15" ht="15.75" customHeight="1">
      <c r="B853" s="1"/>
      <c r="D853" s="1"/>
      <c r="E853" s="1"/>
      <c r="F853" s="1"/>
      <c r="G853" s="1"/>
      <c r="O853" s="1"/>
    </row>
    <row r="854" spans="2:15" ht="15.75" customHeight="1">
      <c r="B854" s="1"/>
      <c r="D854" s="1"/>
      <c r="E854" s="1"/>
      <c r="F854" s="1"/>
      <c r="G854" s="1"/>
      <c r="O854" s="1"/>
    </row>
    <row r="855" spans="2:15" ht="15.75" customHeight="1">
      <c r="B855" s="1"/>
      <c r="D855" s="1"/>
      <c r="E855" s="1"/>
      <c r="F855" s="1"/>
      <c r="G855" s="1"/>
      <c r="O855" s="1"/>
    </row>
    <row r="856" spans="2:15" ht="15.75" customHeight="1">
      <c r="B856" s="1"/>
      <c r="D856" s="1"/>
      <c r="E856" s="1"/>
      <c r="F856" s="1"/>
      <c r="G856" s="1"/>
      <c r="O856" s="1"/>
    </row>
    <row r="857" spans="2:15" ht="15.75" customHeight="1">
      <c r="B857" s="1"/>
      <c r="D857" s="1"/>
      <c r="E857" s="1"/>
      <c r="F857" s="1"/>
      <c r="G857" s="1"/>
      <c r="O857" s="1"/>
    </row>
    <row r="858" spans="2:15" ht="15.75" customHeight="1">
      <c r="B858" s="1"/>
      <c r="D858" s="1"/>
      <c r="E858" s="1"/>
      <c r="F858" s="1"/>
      <c r="G858" s="1"/>
      <c r="O858" s="1"/>
    </row>
    <row r="859" spans="2:15" ht="15.75" customHeight="1">
      <c r="B859" s="1"/>
      <c r="D859" s="1"/>
      <c r="E859" s="1"/>
      <c r="F859" s="1"/>
      <c r="G859" s="1"/>
      <c r="O859" s="1"/>
    </row>
    <row r="860" spans="2:15" ht="15.75" customHeight="1">
      <c r="B860" s="1"/>
      <c r="D860" s="1"/>
      <c r="E860" s="1"/>
      <c r="F860" s="1"/>
      <c r="G860" s="1"/>
      <c r="O860" s="1"/>
    </row>
    <row r="861" spans="2:15" ht="15.75" customHeight="1">
      <c r="B861" s="1"/>
      <c r="D861" s="1"/>
      <c r="E861" s="1"/>
      <c r="F861" s="1"/>
      <c r="G861" s="1"/>
      <c r="O861" s="1"/>
    </row>
    <row r="862" spans="2:15" ht="15.75" customHeight="1">
      <c r="B862" s="1"/>
      <c r="D862" s="1"/>
      <c r="E862" s="1"/>
      <c r="F862" s="1"/>
      <c r="G862" s="1"/>
      <c r="O862" s="1"/>
    </row>
    <row r="863" spans="2:15" ht="15.75" customHeight="1">
      <c r="B863" s="1"/>
      <c r="D863" s="1"/>
      <c r="E863" s="1"/>
      <c r="F863" s="1"/>
      <c r="G863" s="1"/>
      <c r="O863" s="1"/>
    </row>
    <row r="864" spans="2:15" ht="15.75" customHeight="1">
      <c r="B864" s="1"/>
      <c r="D864" s="1"/>
      <c r="E864" s="1"/>
      <c r="F864" s="1"/>
      <c r="G864" s="1"/>
      <c r="O864" s="1"/>
    </row>
    <row r="865" spans="2:15" ht="15.75" customHeight="1">
      <c r="B865" s="1"/>
      <c r="D865" s="1"/>
      <c r="E865" s="1"/>
      <c r="F865" s="1"/>
      <c r="G865" s="1"/>
      <c r="O865" s="1"/>
    </row>
    <row r="866" spans="2:15" ht="15.75" customHeight="1">
      <c r="B866" s="1"/>
      <c r="D866" s="1"/>
      <c r="E866" s="1"/>
      <c r="F866" s="1"/>
      <c r="G866" s="1"/>
      <c r="O866" s="1"/>
    </row>
    <row r="867" spans="2:15" ht="15.75" customHeight="1">
      <c r="B867" s="1"/>
      <c r="D867" s="1"/>
      <c r="E867" s="1"/>
      <c r="F867" s="1"/>
      <c r="G867" s="1"/>
      <c r="O867" s="1"/>
    </row>
    <row r="868" spans="2:15" ht="15.75" customHeight="1">
      <c r="B868" s="1"/>
      <c r="D868" s="1"/>
      <c r="E868" s="1"/>
      <c r="F868" s="1"/>
      <c r="G868" s="1"/>
      <c r="O868" s="1"/>
    </row>
    <row r="869" spans="2:15" ht="15.75" customHeight="1">
      <c r="B869" s="1"/>
      <c r="D869" s="1"/>
      <c r="E869" s="1"/>
      <c r="F869" s="1"/>
      <c r="G869" s="1"/>
      <c r="O869" s="1"/>
    </row>
    <row r="870" spans="2:15" ht="15.75" customHeight="1">
      <c r="B870" s="1"/>
      <c r="D870" s="1"/>
      <c r="E870" s="1"/>
      <c r="F870" s="1"/>
      <c r="G870" s="1"/>
      <c r="O870" s="1"/>
    </row>
    <row r="871" spans="2:15" ht="15.75" customHeight="1">
      <c r="B871" s="1"/>
      <c r="D871" s="1"/>
      <c r="E871" s="1"/>
      <c r="F871" s="1"/>
      <c r="G871" s="1"/>
      <c r="O871" s="1"/>
    </row>
    <row r="872" spans="2:15" ht="15.75" customHeight="1">
      <c r="B872" s="1"/>
      <c r="D872" s="1"/>
      <c r="E872" s="1"/>
      <c r="F872" s="1"/>
      <c r="G872" s="1"/>
      <c r="O872" s="1"/>
    </row>
    <row r="873" spans="2:15" ht="15.75" customHeight="1">
      <c r="B873" s="1"/>
      <c r="D873" s="1"/>
      <c r="E873" s="1"/>
      <c r="F873" s="1"/>
      <c r="G873" s="1"/>
      <c r="O873" s="1"/>
    </row>
    <row r="874" spans="2:15" ht="15.75" customHeight="1">
      <c r="B874" s="1"/>
      <c r="D874" s="1"/>
      <c r="E874" s="1"/>
      <c r="F874" s="1"/>
      <c r="G874" s="1"/>
      <c r="O874" s="1"/>
    </row>
    <row r="875" spans="2:15" ht="15.75" customHeight="1">
      <c r="B875" s="1"/>
      <c r="D875" s="1"/>
      <c r="E875" s="1"/>
      <c r="F875" s="1"/>
      <c r="G875" s="1"/>
      <c r="O875" s="1"/>
    </row>
    <row r="876" spans="2:15" ht="15.75" customHeight="1">
      <c r="B876" s="1"/>
      <c r="D876" s="1"/>
      <c r="E876" s="1"/>
      <c r="F876" s="1"/>
      <c r="G876" s="1"/>
      <c r="O876" s="1"/>
    </row>
    <row r="877" spans="2:15" ht="15.75" customHeight="1">
      <c r="B877" s="1"/>
      <c r="D877" s="1"/>
      <c r="E877" s="1"/>
      <c r="F877" s="1"/>
      <c r="G877" s="1"/>
      <c r="O877" s="1"/>
    </row>
    <row r="878" spans="2:15" ht="15.75" customHeight="1">
      <c r="B878" s="1"/>
      <c r="D878" s="1"/>
      <c r="E878" s="1"/>
      <c r="F878" s="1"/>
      <c r="G878" s="1"/>
      <c r="O878" s="1"/>
    </row>
    <row r="879" spans="2:15" ht="15.75" customHeight="1">
      <c r="B879" s="1"/>
      <c r="D879" s="1"/>
      <c r="E879" s="1"/>
      <c r="F879" s="1"/>
      <c r="G879" s="1"/>
      <c r="O879" s="1"/>
    </row>
    <row r="880" spans="2:15" ht="15.75" customHeight="1">
      <c r="B880" s="1"/>
      <c r="D880" s="1"/>
      <c r="E880" s="1"/>
      <c r="F880" s="1"/>
      <c r="G880" s="1"/>
      <c r="O880" s="1"/>
    </row>
    <row r="881" spans="2:15" ht="15.75" customHeight="1">
      <c r="B881" s="1"/>
      <c r="D881" s="1"/>
      <c r="E881" s="1"/>
      <c r="F881" s="1"/>
      <c r="G881" s="1"/>
      <c r="O881" s="1"/>
    </row>
    <row r="882" spans="2:15" ht="15.75" customHeight="1">
      <c r="B882" s="1"/>
      <c r="D882" s="1"/>
      <c r="E882" s="1"/>
      <c r="F882" s="1"/>
      <c r="G882" s="1"/>
      <c r="O882" s="1"/>
    </row>
    <row r="883" spans="2:15" ht="15.75" customHeight="1">
      <c r="B883" s="1"/>
      <c r="D883" s="1"/>
      <c r="E883" s="1"/>
      <c r="F883" s="1"/>
      <c r="G883" s="1"/>
      <c r="O883" s="1"/>
    </row>
    <row r="884" spans="2:15" ht="15.75" customHeight="1">
      <c r="B884" s="1"/>
      <c r="D884" s="1"/>
      <c r="E884" s="1"/>
      <c r="F884" s="1"/>
      <c r="G884" s="1"/>
      <c r="O884" s="1"/>
    </row>
    <row r="885" spans="2:15" ht="15.75" customHeight="1">
      <c r="B885" s="1"/>
      <c r="D885" s="1"/>
      <c r="E885" s="1"/>
      <c r="F885" s="1"/>
      <c r="G885" s="1"/>
      <c r="O885" s="1"/>
    </row>
    <row r="886" spans="2:15" ht="15.75" customHeight="1">
      <c r="B886" s="1"/>
      <c r="D886" s="1"/>
      <c r="E886" s="1"/>
      <c r="F886" s="1"/>
      <c r="G886" s="1"/>
      <c r="O886" s="1"/>
    </row>
    <row r="887" spans="2:15" ht="15.75" customHeight="1">
      <c r="B887" s="1"/>
      <c r="D887" s="1"/>
      <c r="E887" s="1"/>
      <c r="F887" s="1"/>
      <c r="G887" s="1"/>
      <c r="O887" s="1"/>
    </row>
    <row r="888" spans="2:15" ht="15.75" customHeight="1">
      <c r="B888" s="1"/>
      <c r="D888" s="1"/>
      <c r="E888" s="1"/>
      <c r="F888" s="1"/>
      <c r="G888" s="1"/>
      <c r="O888" s="1"/>
    </row>
    <row r="889" spans="2:15" ht="15.75" customHeight="1">
      <c r="B889" s="1"/>
      <c r="D889" s="1"/>
      <c r="E889" s="1"/>
      <c r="F889" s="1"/>
      <c r="G889" s="1"/>
      <c r="O889" s="1"/>
    </row>
    <row r="890" spans="2:15" ht="15.75" customHeight="1">
      <c r="B890" s="1"/>
      <c r="D890" s="1"/>
      <c r="E890" s="1"/>
      <c r="F890" s="1"/>
      <c r="G890" s="1"/>
      <c r="O890" s="1"/>
    </row>
    <row r="891" spans="2:15" ht="15.75" customHeight="1">
      <c r="B891" s="1"/>
      <c r="D891" s="1"/>
      <c r="E891" s="1"/>
      <c r="F891" s="1"/>
      <c r="G891" s="1"/>
      <c r="O891" s="1"/>
    </row>
    <row r="892" spans="2:15" ht="15.75" customHeight="1">
      <c r="B892" s="1"/>
      <c r="D892" s="1"/>
      <c r="E892" s="1"/>
      <c r="F892" s="1"/>
      <c r="G892" s="1"/>
      <c r="O892" s="1"/>
    </row>
    <row r="893" spans="2:15" ht="15.75" customHeight="1">
      <c r="B893" s="1"/>
      <c r="D893" s="1"/>
      <c r="E893" s="1"/>
      <c r="F893" s="1"/>
      <c r="G893" s="1"/>
      <c r="O893" s="1"/>
    </row>
    <row r="894" spans="2:15" ht="15.75" customHeight="1">
      <c r="B894" s="1"/>
      <c r="D894" s="1"/>
      <c r="E894" s="1"/>
      <c r="F894" s="1"/>
      <c r="G894" s="1"/>
      <c r="O894" s="1"/>
    </row>
    <row r="895" spans="2:15" ht="15.75" customHeight="1">
      <c r="B895" s="1"/>
      <c r="D895" s="1"/>
      <c r="E895" s="1"/>
      <c r="F895" s="1"/>
      <c r="G895" s="1"/>
      <c r="O895" s="1"/>
    </row>
    <row r="896" spans="2:15" ht="15.75" customHeight="1">
      <c r="B896" s="1"/>
      <c r="D896" s="1"/>
      <c r="E896" s="1"/>
      <c r="F896" s="1"/>
      <c r="G896" s="1"/>
      <c r="O896" s="1"/>
    </row>
    <row r="897" spans="2:15" ht="15.75" customHeight="1">
      <c r="B897" s="1"/>
      <c r="D897" s="1"/>
      <c r="E897" s="1"/>
      <c r="F897" s="1"/>
      <c r="G897" s="1"/>
      <c r="O897" s="1"/>
    </row>
    <row r="898" spans="2:15" ht="15.75" customHeight="1">
      <c r="B898" s="1"/>
      <c r="D898" s="1"/>
      <c r="E898" s="1"/>
      <c r="F898" s="1"/>
      <c r="G898" s="1"/>
      <c r="O898" s="1"/>
    </row>
    <row r="899" spans="2:15" ht="15.75" customHeight="1">
      <c r="B899" s="1"/>
      <c r="D899" s="1"/>
      <c r="E899" s="1"/>
      <c r="F899" s="1"/>
      <c r="G899" s="1"/>
      <c r="O899" s="1"/>
    </row>
    <row r="900" spans="2:15" ht="15.75" customHeight="1">
      <c r="B900" s="1"/>
      <c r="D900" s="1"/>
      <c r="E900" s="1"/>
      <c r="F900" s="1"/>
      <c r="G900" s="1"/>
      <c r="O900" s="1"/>
    </row>
    <row r="901" spans="2:15" ht="15.75" customHeight="1">
      <c r="B901" s="1"/>
      <c r="D901" s="1"/>
      <c r="E901" s="1"/>
      <c r="F901" s="1"/>
      <c r="G901" s="1"/>
      <c r="O901" s="1"/>
    </row>
    <row r="902" spans="2:15" ht="15.75" customHeight="1">
      <c r="B902" s="1"/>
      <c r="D902" s="1"/>
      <c r="E902" s="1"/>
      <c r="F902" s="1"/>
      <c r="G902" s="1"/>
      <c r="O902" s="1"/>
    </row>
    <row r="903" spans="2:15" ht="15.75" customHeight="1">
      <c r="B903" s="1"/>
      <c r="D903" s="1"/>
      <c r="E903" s="1"/>
      <c r="F903" s="1"/>
      <c r="G903" s="1"/>
      <c r="O903" s="1"/>
    </row>
    <row r="904" spans="2:15" ht="15.75" customHeight="1">
      <c r="B904" s="1"/>
      <c r="D904" s="1"/>
      <c r="E904" s="1"/>
      <c r="F904" s="1"/>
      <c r="G904" s="1"/>
      <c r="O904" s="1"/>
    </row>
    <row r="905" spans="2:15" ht="15.75" customHeight="1">
      <c r="B905" s="1"/>
      <c r="D905" s="1"/>
      <c r="E905" s="1"/>
      <c r="F905" s="1"/>
      <c r="G905" s="1"/>
      <c r="O905" s="1"/>
    </row>
    <row r="906" spans="2:15" ht="15.75" customHeight="1">
      <c r="B906" s="1"/>
      <c r="D906" s="1"/>
      <c r="E906" s="1"/>
      <c r="F906" s="1"/>
      <c r="G906" s="1"/>
      <c r="O906" s="1"/>
    </row>
    <row r="907" spans="2:15" ht="15.75" customHeight="1">
      <c r="B907" s="1"/>
      <c r="D907" s="1"/>
      <c r="E907" s="1"/>
      <c r="F907" s="1"/>
      <c r="G907" s="1"/>
      <c r="O907" s="1"/>
    </row>
    <row r="908" spans="2:15" ht="15.75" customHeight="1">
      <c r="B908" s="1"/>
      <c r="D908" s="1"/>
      <c r="E908" s="1"/>
      <c r="F908" s="1"/>
      <c r="G908" s="1"/>
      <c r="O908" s="1"/>
    </row>
    <row r="909" spans="2:15" ht="15.75" customHeight="1">
      <c r="B909" s="1"/>
      <c r="D909" s="1"/>
      <c r="E909" s="1"/>
      <c r="F909" s="1"/>
      <c r="G909" s="1"/>
      <c r="O909" s="1"/>
    </row>
    <row r="910" spans="2:15" ht="15.75" customHeight="1">
      <c r="B910" s="1"/>
      <c r="D910" s="1"/>
      <c r="E910" s="1"/>
      <c r="F910" s="1"/>
      <c r="G910" s="1"/>
      <c r="O910" s="1"/>
    </row>
    <row r="911" spans="2:15" ht="15.75" customHeight="1">
      <c r="B911" s="1"/>
      <c r="D911" s="1"/>
      <c r="E911" s="1"/>
      <c r="F911" s="1"/>
      <c r="G911" s="1"/>
      <c r="O911" s="1"/>
    </row>
    <row r="912" spans="2:15" ht="15.75" customHeight="1">
      <c r="B912" s="1"/>
      <c r="D912" s="1"/>
      <c r="E912" s="1"/>
      <c r="F912" s="1"/>
      <c r="G912" s="1"/>
      <c r="O912" s="1"/>
    </row>
    <row r="913" spans="2:15" ht="15.75" customHeight="1">
      <c r="B913" s="1"/>
      <c r="D913" s="1"/>
      <c r="E913" s="1"/>
      <c r="F913" s="1"/>
      <c r="G913" s="1"/>
      <c r="O913" s="1"/>
    </row>
    <row r="914" spans="2:15" ht="15.75" customHeight="1">
      <c r="B914" s="1"/>
      <c r="D914" s="1"/>
      <c r="E914" s="1"/>
      <c r="F914" s="1"/>
      <c r="G914" s="1"/>
      <c r="O914" s="1"/>
    </row>
    <row r="915" spans="2:15" ht="15.75" customHeight="1">
      <c r="B915" s="1"/>
      <c r="D915" s="1"/>
      <c r="E915" s="1"/>
      <c r="F915" s="1"/>
      <c r="G915" s="1"/>
      <c r="O915" s="1"/>
    </row>
    <row r="916" spans="2:15" ht="15.75" customHeight="1">
      <c r="B916" s="1"/>
      <c r="D916" s="1"/>
      <c r="E916" s="1"/>
      <c r="F916" s="1"/>
      <c r="G916" s="1"/>
      <c r="O916" s="1"/>
    </row>
    <row r="917" spans="2:15" ht="15.75" customHeight="1">
      <c r="B917" s="1"/>
      <c r="D917" s="1"/>
      <c r="E917" s="1"/>
      <c r="F917" s="1"/>
      <c r="G917" s="1"/>
      <c r="O917" s="1"/>
    </row>
    <row r="918" spans="2:15" ht="15.75" customHeight="1">
      <c r="B918" s="1"/>
      <c r="D918" s="1"/>
      <c r="E918" s="1"/>
      <c r="F918" s="1"/>
      <c r="G918" s="1"/>
      <c r="O918" s="1"/>
    </row>
    <row r="919" spans="2:15" ht="15.75" customHeight="1">
      <c r="B919" s="1"/>
      <c r="D919" s="1"/>
      <c r="E919" s="1"/>
      <c r="F919" s="1"/>
      <c r="G919" s="1"/>
      <c r="O919" s="1"/>
    </row>
    <row r="920" spans="2:15" ht="15.75" customHeight="1">
      <c r="B920" s="1"/>
      <c r="D920" s="1"/>
      <c r="E920" s="1"/>
      <c r="F920" s="1"/>
      <c r="G920" s="1"/>
      <c r="O920" s="1"/>
    </row>
    <row r="921" spans="2:15" ht="15.75" customHeight="1">
      <c r="B921" s="1"/>
      <c r="D921" s="1"/>
      <c r="E921" s="1"/>
      <c r="F921" s="1"/>
      <c r="G921" s="1"/>
      <c r="O921" s="1"/>
    </row>
    <row r="922" spans="2:15" ht="15.75" customHeight="1">
      <c r="B922" s="1"/>
      <c r="D922" s="1"/>
      <c r="E922" s="1"/>
      <c r="F922" s="1"/>
      <c r="G922" s="1"/>
      <c r="O922" s="1"/>
    </row>
    <row r="923" spans="2:15" ht="15.75" customHeight="1">
      <c r="B923" s="1"/>
      <c r="D923" s="1"/>
      <c r="E923" s="1"/>
      <c r="F923" s="1"/>
      <c r="G923" s="1"/>
      <c r="O923" s="1"/>
    </row>
    <row r="924" spans="2:15" ht="15.75" customHeight="1">
      <c r="B924" s="1"/>
      <c r="D924" s="1"/>
      <c r="E924" s="1"/>
      <c r="F924" s="1"/>
      <c r="G924" s="1"/>
      <c r="O924" s="1"/>
    </row>
    <row r="925" spans="2:15" ht="15.75" customHeight="1">
      <c r="B925" s="1"/>
      <c r="D925" s="1"/>
      <c r="E925" s="1"/>
      <c r="F925" s="1"/>
      <c r="G925" s="1"/>
      <c r="O925" s="1"/>
    </row>
    <row r="926" spans="2:15" ht="15.75" customHeight="1">
      <c r="B926" s="1"/>
      <c r="D926" s="1"/>
      <c r="E926" s="1"/>
      <c r="F926" s="1"/>
      <c r="G926" s="1"/>
      <c r="O926" s="1"/>
    </row>
    <row r="927" spans="2:15" ht="15.75" customHeight="1">
      <c r="B927" s="1"/>
      <c r="D927" s="1"/>
      <c r="E927" s="1"/>
      <c r="F927" s="1"/>
      <c r="G927" s="1"/>
      <c r="O927" s="1"/>
    </row>
    <row r="928" spans="2:15" ht="15.75" customHeight="1">
      <c r="B928" s="1"/>
      <c r="D928" s="1"/>
      <c r="E928" s="1"/>
      <c r="F928" s="1"/>
      <c r="G928" s="1"/>
      <c r="O928" s="1"/>
    </row>
    <row r="929" spans="2:15" ht="15.75" customHeight="1">
      <c r="B929" s="1"/>
      <c r="D929" s="1"/>
      <c r="E929" s="1"/>
      <c r="F929" s="1"/>
      <c r="G929" s="1"/>
      <c r="O929" s="1"/>
    </row>
    <row r="930" spans="2:15" ht="15.75" customHeight="1">
      <c r="B930" s="1"/>
      <c r="D930" s="1"/>
      <c r="E930" s="1"/>
      <c r="F930" s="1"/>
      <c r="G930" s="1"/>
      <c r="O930" s="1"/>
    </row>
    <row r="931" spans="2:15" ht="15.75" customHeight="1">
      <c r="B931" s="1"/>
      <c r="D931" s="1"/>
      <c r="E931" s="1"/>
      <c r="F931" s="1"/>
      <c r="G931" s="1"/>
      <c r="O931" s="1"/>
    </row>
    <row r="932" spans="2:15" ht="15.75" customHeight="1">
      <c r="B932" s="1"/>
      <c r="D932" s="1"/>
      <c r="E932" s="1"/>
      <c r="F932" s="1"/>
      <c r="G932" s="1"/>
      <c r="O932" s="1"/>
    </row>
    <row r="933" spans="2:15" ht="15.75" customHeight="1">
      <c r="B933" s="1"/>
      <c r="D933" s="1"/>
      <c r="E933" s="1"/>
      <c r="F933" s="1"/>
      <c r="G933" s="1"/>
      <c r="O933" s="1"/>
    </row>
    <row r="934" spans="2:15" ht="15.75" customHeight="1">
      <c r="B934" s="1"/>
      <c r="D934" s="1"/>
      <c r="E934" s="1"/>
      <c r="F934" s="1"/>
      <c r="G934" s="1"/>
      <c r="O934" s="1"/>
    </row>
    <row r="935" spans="2:15" ht="15.75" customHeight="1">
      <c r="B935" s="1"/>
      <c r="D935" s="1"/>
      <c r="E935" s="1"/>
      <c r="F935" s="1"/>
      <c r="G935" s="1"/>
      <c r="O935" s="1"/>
    </row>
    <row r="936" spans="2:15" ht="15.75" customHeight="1">
      <c r="B936" s="1"/>
      <c r="D936" s="1"/>
      <c r="E936" s="1"/>
      <c r="F936" s="1"/>
      <c r="G936" s="1"/>
      <c r="O936" s="1"/>
    </row>
    <row r="937" spans="2:15" ht="15.75" customHeight="1">
      <c r="B937" s="1"/>
      <c r="D937" s="1"/>
      <c r="E937" s="1"/>
      <c r="F937" s="1"/>
      <c r="G937" s="1"/>
      <c r="O937" s="1"/>
    </row>
    <row r="938" spans="2:15" ht="15.75" customHeight="1">
      <c r="B938" s="1"/>
      <c r="D938" s="1"/>
      <c r="E938" s="1"/>
      <c r="F938" s="1"/>
      <c r="G938" s="1"/>
      <c r="O938" s="1"/>
    </row>
    <row r="939" spans="2:15" ht="15.75" customHeight="1">
      <c r="B939" s="1"/>
      <c r="D939" s="1"/>
      <c r="E939" s="1"/>
      <c r="F939" s="1"/>
      <c r="G939" s="1"/>
      <c r="O939" s="1"/>
    </row>
    <row r="940" spans="2:15" ht="15.75" customHeight="1">
      <c r="B940" s="1"/>
      <c r="D940" s="1"/>
      <c r="E940" s="1"/>
      <c r="F940" s="1"/>
      <c r="G940" s="1"/>
      <c r="O940" s="1"/>
    </row>
    <row r="941" spans="2:15" ht="15.75" customHeight="1">
      <c r="B941" s="1"/>
      <c r="D941" s="1"/>
      <c r="E941" s="1"/>
      <c r="F941" s="1"/>
      <c r="G941" s="1"/>
      <c r="O941" s="1"/>
    </row>
    <row r="942" spans="2:15" ht="15.75" customHeight="1">
      <c r="B942" s="1"/>
      <c r="D942" s="1"/>
      <c r="E942" s="1"/>
      <c r="F942" s="1"/>
      <c r="G942" s="1"/>
      <c r="O942" s="1"/>
    </row>
    <row r="943" spans="2:15" ht="15.75" customHeight="1">
      <c r="B943" s="1"/>
      <c r="D943" s="1"/>
      <c r="E943" s="1"/>
      <c r="F943" s="1"/>
      <c r="G943" s="1"/>
      <c r="O943" s="1"/>
    </row>
    <row r="944" spans="2:15" ht="15.75" customHeight="1">
      <c r="B944" s="1"/>
      <c r="D944" s="1"/>
      <c r="E944" s="1"/>
      <c r="F944" s="1"/>
      <c r="G944" s="1"/>
      <c r="O944" s="1"/>
    </row>
    <row r="945" spans="2:15" ht="15.75" customHeight="1">
      <c r="B945" s="1"/>
      <c r="D945" s="1"/>
      <c r="E945" s="1"/>
      <c r="F945" s="1"/>
      <c r="G945" s="1"/>
      <c r="O945" s="1"/>
    </row>
    <row r="946" spans="2:15" ht="15.75" customHeight="1">
      <c r="B946" s="1"/>
      <c r="D946" s="1"/>
      <c r="E946" s="1"/>
      <c r="F946" s="1"/>
      <c r="G946" s="1"/>
      <c r="O946" s="1"/>
    </row>
    <row r="947" spans="2:15" ht="15.75" customHeight="1">
      <c r="B947" s="1"/>
      <c r="D947" s="1"/>
      <c r="E947" s="1"/>
      <c r="F947" s="1"/>
      <c r="G947" s="1"/>
      <c r="O947" s="1"/>
    </row>
    <row r="948" spans="2:15" ht="15.75" customHeight="1">
      <c r="B948" s="1"/>
      <c r="D948" s="1"/>
      <c r="E948" s="1"/>
      <c r="F948" s="1"/>
      <c r="G948" s="1"/>
      <c r="O948" s="1"/>
    </row>
    <row r="949" spans="2:15" ht="15.75" customHeight="1">
      <c r="B949" s="1"/>
      <c r="D949" s="1"/>
      <c r="E949" s="1"/>
      <c r="F949" s="1"/>
      <c r="G949" s="1"/>
      <c r="O949" s="1"/>
    </row>
    <row r="950" spans="2:15" ht="15.75" customHeight="1">
      <c r="B950" s="1"/>
      <c r="D950" s="1"/>
      <c r="E950" s="1"/>
      <c r="F950" s="1"/>
      <c r="G950" s="1"/>
      <c r="O950" s="1"/>
    </row>
    <row r="951" spans="2:15" ht="15.75" customHeight="1">
      <c r="B951" s="1"/>
      <c r="D951" s="1"/>
      <c r="E951" s="1"/>
      <c r="F951" s="1"/>
      <c r="G951" s="1"/>
      <c r="O951" s="1"/>
    </row>
    <row r="952" spans="2:15" ht="15.75" customHeight="1">
      <c r="B952" s="1"/>
      <c r="D952" s="1"/>
      <c r="E952" s="1"/>
      <c r="F952" s="1"/>
      <c r="G952" s="1"/>
      <c r="O952" s="1"/>
    </row>
    <row r="953" spans="2:15" ht="15.75" customHeight="1">
      <c r="B953" s="1"/>
      <c r="D953" s="1"/>
      <c r="E953" s="1"/>
      <c r="F953" s="1"/>
      <c r="G953" s="1"/>
      <c r="O953" s="1"/>
    </row>
    <row r="954" spans="2:15" ht="15.75" customHeight="1">
      <c r="B954" s="1"/>
      <c r="D954" s="1"/>
      <c r="E954" s="1"/>
      <c r="F954" s="1"/>
      <c r="G954" s="1"/>
      <c r="O954" s="1"/>
    </row>
    <row r="955" spans="2:15" ht="15.75" customHeight="1">
      <c r="B955" s="1"/>
      <c r="D955" s="1"/>
      <c r="E955" s="1"/>
      <c r="F955" s="1"/>
      <c r="G955" s="1"/>
      <c r="O955" s="1"/>
    </row>
    <row r="956" spans="2:15" ht="15.75" customHeight="1">
      <c r="B956" s="1"/>
      <c r="D956" s="1"/>
      <c r="E956" s="1"/>
      <c r="F956" s="1"/>
      <c r="G956" s="1"/>
      <c r="O956" s="1"/>
    </row>
    <row r="957" spans="2:15" ht="15.75" customHeight="1">
      <c r="B957" s="1"/>
      <c r="D957" s="1"/>
      <c r="E957" s="1"/>
      <c r="F957" s="1"/>
      <c r="G957" s="1"/>
      <c r="O957" s="1"/>
    </row>
    <row r="958" spans="2:15" ht="15.75" customHeight="1">
      <c r="B958" s="1"/>
      <c r="D958" s="1"/>
      <c r="E958" s="1"/>
      <c r="F958" s="1"/>
      <c r="G958" s="1"/>
      <c r="O958" s="1"/>
    </row>
    <row r="959" spans="2:15" ht="15.75" customHeight="1">
      <c r="B959" s="1"/>
      <c r="D959" s="1"/>
      <c r="E959" s="1"/>
      <c r="F959" s="1"/>
      <c r="G959" s="1"/>
      <c r="O959" s="1"/>
    </row>
    <row r="960" spans="2:15" ht="15.75" customHeight="1">
      <c r="B960" s="1"/>
      <c r="D960" s="1"/>
      <c r="E960" s="1"/>
      <c r="F960" s="1"/>
      <c r="G960" s="1"/>
      <c r="O960" s="1"/>
    </row>
    <row r="961" spans="2:15" ht="15.75" customHeight="1">
      <c r="B961" s="1"/>
      <c r="D961" s="1"/>
      <c r="E961" s="1"/>
      <c r="F961" s="1"/>
      <c r="G961" s="1"/>
      <c r="O961" s="1"/>
    </row>
    <row r="962" spans="2:15" ht="15.75" customHeight="1">
      <c r="B962" s="1"/>
      <c r="D962" s="1"/>
      <c r="E962" s="1"/>
      <c r="F962" s="1"/>
      <c r="G962" s="1"/>
      <c r="O962" s="1"/>
    </row>
    <row r="963" spans="2:15" ht="15.75" customHeight="1">
      <c r="B963" s="1"/>
      <c r="D963" s="1"/>
      <c r="E963" s="1"/>
      <c r="F963" s="1"/>
      <c r="G963" s="1"/>
      <c r="O963" s="1"/>
    </row>
    <row r="964" spans="2:15" ht="15.75" customHeight="1">
      <c r="B964" s="1"/>
      <c r="D964" s="1"/>
      <c r="E964" s="1"/>
      <c r="F964" s="1"/>
      <c r="G964" s="1"/>
      <c r="O964" s="1"/>
    </row>
    <row r="965" spans="2:15" ht="15.75" customHeight="1">
      <c r="B965" s="1"/>
      <c r="D965" s="1"/>
      <c r="E965" s="1"/>
      <c r="F965" s="1"/>
      <c r="G965" s="1"/>
      <c r="O965" s="1"/>
    </row>
    <row r="966" spans="2:15" ht="15.75" customHeight="1">
      <c r="B966" s="1"/>
      <c r="D966" s="1"/>
      <c r="E966" s="1"/>
      <c r="F966" s="1"/>
      <c r="G966" s="1"/>
      <c r="O966" s="1"/>
    </row>
    <row r="967" spans="2:15" ht="15.75" customHeight="1">
      <c r="B967" s="1"/>
      <c r="D967" s="1"/>
      <c r="E967" s="1"/>
      <c r="F967" s="1"/>
      <c r="G967" s="1"/>
      <c r="O967" s="1"/>
    </row>
    <row r="968" spans="2:15" ht="15.75" customHeight="1">
      <c r="B968" s="1"/>
      <c r="D968" s="1"/>
      <c r="E968" s="1"/>
      <c r="F968" s="1"/>
      <c r="G968" s="1"/>
      <c r="O968" s="1"/>
    </row>
    <row r="969" spans="2:15" ht="15.75" customHeight="1">
      <c r="B969" s="1"/>
      <c r="D969" s="1"/>
      <c r="E969" s="1"/>
      <c r="F969" s="1"/>
      <c r="G969" s="1"/>
      <c r="O969" s="1"/>
    </row>
    <row r="970" spans="2:15" ht="15.75" customHeight="1">
      <c r="B970" s="1"/>
      <c r="D970" s="1"/>
      <c r="E970" s="1"/>
      <c r="F970" s="1"/>
      <c r="G970" s="1"/>
      <c r="O970" s="1"/>
    </row>
    <row r="971" spans="2:15" ht="15.75" customHeight="1">
      <c r="B971" s="1"/>
      <c r="D971" s="1"/>
      <c r="E971" s="1"/>
      <c r="F971" s="1"/>
      <c r="G971" s="1"/>
      <c r="O971" s="1"/>
    </row>
    <row r="972" spans="2:15" ht="15.75" customHeight="1">
      <c r="B972" s="1"/>
      <c r="D972" s="1"/>
      <c r="E972" s="1"/>
      <c r="F972" s="1"/>
      <c r="G972" s="1"/>
      <c r="O972" s="1"/>
    </row>
    <row r="973" spans="2:15" ht="15.75" customHeight="1">
      <c r="B973" s="1"/>
      <c r="D973" s="1"/>
      <c r="E973" s="1"/>
      <c r="F973" s="1"/>
      <c r="G973" s="1"/>
      <c r="O973" s="1"/>
    </row>
    <row r="974" spans="2:15" ht="15.75" customHeight="1">
      <c r="B974" s="1"/>
      <c r="D974" s="1"/>
      <c r="E974" s="1"/>
      <c r="F974" s="1"/>
      <c r="G974" s="1"/>
      <c r="O974" s="1"/>
    </row>
    <row r="975" spans="2:15" ht="15.75" customHeight="1">
      <c r="B975" s="1"/>
      <c r="D975" s="1"/>
      <c r="E975" s="1"/>
      <c r="F975" s="1"/>
      <c r="G975" s="1"/>
      <c r="O975" s="1"/>
    </row>
    <row r="976" spans="2:15" ht="15.75" customHeight="1">
      <c r="B976" s="1"/>
      <c r="D976" s="1"/>
      <c r="E976" s="1"/>
      <c r="F976" s="1"/>
      <c r="G976" s="1"/>
      <c r="O976" s="1"/>
    </row>
    <row r="977" spans="2:15" ht="15.75" customHeight="1">
      <c r="B977" s="1"/>
      <c r="D977" s="1"/>
      <c r="E977" s="1"/>
      <c r="F977" s="1"/>
      <c r="G977" s="1"/>
      <c r="O977" s="1"/>
    </row>
    <row r="978" spans="2:15" ht="15.75" customHeight="1">
      <c r="B978" s="1"/>
      <c r="D978" s="1"/>
      <c r="E978" s="1"/>
      <c r="F978" s="1"/>
      <c r="G978" s="1"/>
      <c r="O978" s="1"/>
    </row>
    <row r="979" spans="2:15" ht="15.75" customHeight="1">
      <c r="B979" s="1"/>
      <c r="D979" s="1"/>
      <c r="E979" s="1"/>
      <c r="F979" s="1"/>
      <c r="G979" s="1"/>
      <c r="O979" s="1"/>
    </row>
    <row r="980" spans="2:15" ht="15.75" customHeight="1">
      <c r="B980" s="1"/>
      <c r="D980" s="1"/>
      <c r="E980" s="1"/>
      <c r="F980" s="1"/>
      <c r="G980" s="1"/>
      <c r="O980" s="1"/>
    </row>
    <row r="981" spans="2:15" ht="15.75" customHeight="1">
      <c r="B981" s="1"/>
      <c r="D981" s="1"/>
      <c r="E981" s="1"/>
      <c r="F981" s="1"/>
      <c r="G981" s="1"/>
      <c r="O981" s="1"/>
    </row>
    <row r="982" spans="2:15" ht="15.75" customHeight="1">
      <c r="B982" s="1"/>
      <c r="D982" s="1"/>
      <c r="E982" s="1"/>
      <c r="F982" s="1"/>
      <c r="G982" s="1"/>
      <c r="O982" s="1"/>
    </row>
    <row r="983" spans="2:15" ht="15.75" customHeight="1">
      <c r="B983" s="1"/>
      <c r="D983" s="1"/>
      <c r="E983" s="1"/>
      <c r="F983" s="1"/>
      <c r="G983" s="1"/>
      <c r="O983" s="1"/>
    </row>
    <row r="984" spans="2:15" ht="15.75" customHeight="1">
      <c r="B984" s="1"/>
      <c r="D984" s="1"/>
      <c r="E984" s="1"/>
      <c r="F984" s="1"/>
      <c r="G984" s="1"/>
      <c r="O984" s="1"/>
    </row>
    <row r="985" spans="2:15" ht="15.75" customHeight="1">
      <c r="B985" s="1"/>
      <c r="D985" s="1"/>
      <c r="E985" s="1"/>
      <c r="F985" s="1"/>
      <c r="G985" s="1"/>
      <c r="O985" s="1"/>
    </row>
    <row r="986" spans="2:15" ht="15.75" customHeight="1">
      <c r="B986" s="1"/>
      <c r="D986" s="1"/>
      <c r="E986" s="1"/>
      <c r="F986" s="1"/>
      <c r="G986" s="1"/>
      <c r="O986" s="1"/>
    </row>
    <row r="987" spans="2:15" ht="15.75" customHeight="1">
      <c r="B987" s="1"/>
      <c r="D987" s="1"/>
      <c r="E987" s="1"/>
      <c r="F987" s="1"/>
      <c r="G987" s="1"/>
      <c r="O987" s="1"/>
    </row>
    <row r="988" spans="2:15" ht="15.75" customHeight="1">
      <c r="B988" s="1"/>
      <c r="D988" s="1"/>
      <c r="E988" s="1"/>
      <c r="F988" s="1"/>
      <c r="G988" s="1"/>
      <c r="O988" s="1"/>
    </row>
    <row r="989" spans="2:15" ht="15.75" customHeight="1">
      <c r="B989" s="1"/>
      <c r="D989" s="1"/>
      <c r="E989" s="1"/>
      <c r="F989" s="1"/>
      <c r="G989" s="1"/>
      <c r="O989" s="1"/>
    </row>
    <row r="990" spans="2:15" ht="15.75" customHeight="1">
      <c r="B990" s="1"/>
      <c r="D990" s="1"/>
      <c r="E990" s="1"/>
      <c r="F990" s="1"/>
      <c r="G990" s="1"/>
      <c r="O990" s="1"/>
    </row>
    <row r="991" spans="2:15" ht="15.75" customHeight="1">
      <c r="B991" s="1"/>
      <c r="D991" s="1"/>
      <c r="E991" s="1"/>
      <c r="F991" s="1"/>
      <c r="G991" s="1"/>
      <c r="O991" s="1"/>
    </row>
    <row r="992" spans="2:15" ht="15.75" customHeight="1">
      <c r="B992" s="1"/>
      <c r="D992" s="1"/>
      <c r="E992" s="1"/>
      <c r="F992" s="1"/>
      <c r="G992" s="1"/>
      <c r="O992" s="1"/>
    </row>
    <row r="993" spans="2:15" ht="15.75" customHeight="1">
      <c r="B993" s="1"/>
      <c r="D993" s="1"/>
      <c r="E993" s="1"/>
      <c r="F993" s="1"/>
      <c r="G993" s="1"/>
      <c r="O993" s="1"/>
    </row>
    <row r="994" spans="2:15" ht="15.75" customHeight="1">
      <c r="B994" s="1"/>
      <c r="D994" s="1"/>
      <c r="E994" s="1"/>
      <c r="F994" s="1"/>
      <c r="G994" s="1"/>
      <c r="O994" s="1"/>
    </row>
    <row r="995" spans="2:15" ht="15.75" customHeight="1">
      <c r="B995" s="1"/>
      <c r="D995" s="1"/>
      <c r="E995" s="1"/>
      <c r="F995" s="1"/>
      <c r="G995" s="1"/>
      <c r="O995" s="1"/>
    </row>
    <row r="996" spans="2:15" ht="15.75" customHeight="1">
      <c r="B996" s="1"/>
      <c r="D996" s="1"/>
      <c r="E996" s="1"/>
      <c r="F996" s="1"/>
      <c r="G996" s="1"/>
      <c r="O996" s="1"/>
    </row>
    <row r="997" spans="2:15" ht="15.75" customHeight="1">
      <c r="B997" s="1"/>
      <c r="D997" s="1"/>
      <c r="E997" s="1"/>
      <c r="F997" s="1"/>
      <c r="G997" s="1"/>
      <c r="O997" s="1"/>
    </row>
    <row r="998" spans="2:15" ht="15.75" customHeight="1">
      <c r="B998" s="1"/>
      <c r="D998" s="1"/>
      <c r="E998" s="1"/>
      <c r="F998" s="1"/>
      <c r="G998" s="1"/>
      <c r="O998" s="1"/>
    </row>
    <row r="999" spans="2:15" ht="15.75" customHeight="1">
      <c r="B999" s="1"/>
      <c r="D999" s="1"/>
      <c r="E999" s="1"/>
      <c r="F999" s="1"/>
      <c r="G999" s="1"/>
      <c r="O999" s="1"/>
    </row>
    <row r="1000" spans="2:15" ht="15.75" customHeight="1">
      <c r="B1000" s="1"/>
      <c r="D1000" s="1"/>
      <c r="E1000" s="1"/>
      <c r="F1000" s="1"/>
      <c r="G1000" s="1"/>
      <c r="O1000" s="1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8"/>
  <sheetViews>
    <sheetView workbookViewId="0"/>
  </sheetViews>
  <sheetFormatPr baseColWidth="10" defaultColWidth="8.83203125" defaultRowHeight="16"/>
  <cols>
    <col min="2" max="2" width="44" customWidth="1"/>
  </cols>
  <sheetData>
    <row r="1" spans="1:14">
      <c r="A1" s="65" t="s">
        <v>171</v>
      </c>
    </row>
    <row r="2" spans="1:14">
      <c r="A2" s="65" t="s">
        <v>172</v>
      </c>
      <c r="B2" s="65" t="s">
        <v>173</v>
      </c>
      <c r="C2" s="65" t="s">
        <v>47</v>
      </c>
      <c r="D2" s="65" t="s">
        <v>48</v>
      </c>
      <c r="E2" s="65" t="s">
        <v>37</v>
      </c>
      <c r="F2" s="65" t="s">
        <v>38</v>
      </c>
      <c r="G2" s="65" t="s">
        <v>39</v>
      </c>
      <c r="H2" s="65" t="s">
        <v>40</v>
      </c>
      <c r="I2" s="65" t="s">
        <v>41</v>
      </c>
      <c r="J2" s="65" t="s">
        <v>42</v>
      </c>
      <c r="K2" s="65" t="s">
        <v>43</v>
      </c>
      <c r="L2" s="65" t="s">
        <v>44</v>
      </c>
      <c r="M2" s="65" t="s">
        <v>45</v>
      </c>
      <c r="N2" s="65" t="s">
        <v>46</v>
      </c>
    </row>
    <row r="3" spans="1:14">
      <c r="A3">
        <v>671</v>
      </c>
      <c r="B3" t="s">
        <v>184</v>
      </c>
      <c r="I3" s="66">
        <v>220</v>
      </c>
    </row>
    <row r="4" spans="1:14">
      <c r="A4">
        <v>722</v>
      </c>
      <c r="B4" t="s">
        <v>185</v>
      </c>
      <c r="I4" s="66">
        <v>939.4</v>
      </c>
    </row>
    <row r="5" spans="1:14">
      <c r="A5">
        <v>1819</v>
      </c>
      <c r="B5" t="s">
        <v>186</v>
      </c>
      <c r="I5" s="66">
        <v>120</v>
      </c>
    </row>
    <row r="6" spans="1:14">
      <c r="A6">
        <v>1795</v>
      </c>
      <c r="B6" t="s">
        <v>187</v>
      </c>
      <c r="I6" s="66">
        <v>1365.83</v>
      </c>
    </row>
    <row r="7" spans="1:14">
      <c r="A7">
        <v>1078</v>
      </c>
      <c r="B7" t="s">
        <v>188</v>
      </c>
      <c r="I7" s="66">
        <v>67.099999999999994</v>
      </c>
    </row>
    <row r="8" spans="1:14">
      <c r="A8">
        <v>414</v>
      </c>
      <c r="B8" t="s">
        <v>189</v>
      </c>
      <c r="I8" s="66">
        <v>25.44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8"/>
  <sheetViews>
    <sheetView workbookViewId="0"/>
  </sheetViews>
  <sheetFormatPr baseColWidth="10" defaultColWidth="8.83203125" defaultRowHeight="16"/>
  <cols>
    <col min="2" max="2" width="44" customWidth="1"/>
    <col min="15" max="15" width="32" customWidth="1"/>
  </cols>
  <sheetData>
    <row r="1" spans="1:15">
      <c r="A1" s="65" t="s">
        <v>174</v>
      </c>
    </row>
    <row r="2" spans="1:15">
      <c r="A2" s="65" t="s">
        <v>172</v>
      </c>
      <c r="B2" s="65" t="s">
        <v>175</v>
      </c>
      <c r="C2" s="65" t="s">
        <v>47</v>
      </c>
      <c r="D2" s="65" t="s">
        <v>48</v>
      </c>
      <c r="E2" s="65" t="s">
        <v>37</v>
      </c>
      <c r="F2" s="65" t="s">
        <v>38</v>
      </c>
      <c r="G2" s="65" t="s">
        <v>39</v>
      </c>
      <c r="H2" s="65" t="s">
        <v>40</v>
      </c>
      <c r="I2" s="65" t="s">
        <v>41</v>
      </c>
      <c r="J2" s="65" t="s">
        <v>42</v>
      </c>
      <c r="K2" s="65" t="s">
        <v>43</v>
      </c>
      <c r="L2" s="65" t="s">
        <v>44</v>
      </c>
      <c r="M2" s="65" t="s">
        <v>45</v>
      </c>
      <c r="N2" s="65" t="s">
        <v>46</v>
      </c>
      <c r="O2" s="65" t="s">
        <v>176</v>
      </c>
    </row>
    <row r="3" spans="1:15">
      <c r="A3">
        <v>1033</v>
      </c>
      <c r="B3" t="s">
        <v>93</v>
      </c>
      <c r="I3" s="66">
        <v>31.99</v>
      </c>
      <c r="O3" t="s">
        <v>177</v>
      </c>
    </row>
    <row r="4" spans="1:15">
      <c r="A4">
        <v>1048</v>
      </c>
      <c r="B4" t="s">
        <v>178</v>
      </c>
      <c r="I4" s="66">
        <v>59.99</v>
      </c>
      <c r="O4" t="s">
        <v>177</v>
      </c>
    </row>
    <row r="5" spans="1:15">
      <c r="A5">
        <v>264</v>
      </c>
      <c r="B5" t="s">
        <v>179</v>
      </c>
      <c r="I5" s="66">
        <v>412036.53</v>
      </c>
      <c r="O5" t="s">
        <v>180</v>
      </c>
    </row>
    <row r="6" spans="1:15">
      <c r="A6">
        <v>796</v>
      </c>
      <c r="B6" t="s">
        <v>181</v>
      </c>
      <c r="I6" s="66">
        <v>66.010000000000005</v>
      </c>
      <c r="O6" t="s">
        <v>177</v>
      </c>
    </row>
    <row r="7" spans="1:15">
      <c r="A7">
        <v>236</v>
      </c>
      <c r="B7" t="s">
        <v>182</v>
      </c>
      <c r="I7" s="66">
        <v>97.5</v>
      </c>
      <c r="O7" t="s">
        <v>177</v>
      </c>
    </row>
    <row r="8" spans="1:15">
      <c r="A8">
        <v>85</v>
      </c>
      <c r="B8" t="s">
        <v>183</v>
      </c>
      <c r="I8" s="66">
        <v>45440</v>
      </c>
      <c r="O8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✓ Controlli</vt:lpstr>
      <vt:lpstr>Piano Finanziario</vt:lpstr>
      <vt:lpstr>Salari e Stipendi</vt:lpstr>
      <vt:lpstr>Utenze</vt:lpstr>
      <vt:lpstr>Materie Prime-Conumo </vt:lpstr>
      <vt:lpstr>Tasse e Imposte</vt:lpstr>
      <vt:lpstr>Mutui e Finaziamenti</vt:lpstr>
      <vt:lpstr>Consulenze</vt:lpstr>
      <vt:lpstr>Godimento Beni di Terzi</vt:lpstr>
      <vt:lpstr>Canoni e servizi</vt:lpstr>
      <vt:lpstr> Varie ed Eventuali</vt:lpstr>
      <vt:lpstr>Nota</vt:lpstr>
      <vt:lpstr>DA MAPPARE</vt:lpstr>
      <vt:lpstr>ESCLUSI</vt:lpstr>
      <vt:lpstr>DA MAPPARE1</vt:lpstr>
      <vt:lpstr>ESCLUSI1</vt:lpstr>
      <vt:lpstr>DA MAPPARE2</vt:lpstr>
      <vt:lpstr>ESCLUSI2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Russo</dc:creator>
  <cp:lastModifiedBy>stefano della Pietra</cp:lastModifiedBy>
  <dcterms:created xsi:type="dcterms:W3CDTF">2024-09-13T09:28:39Z</dcterms:created>
  <dcterms:modified xsi:type="dcterms:W3CDTF">2026-08-12T11:48:07Z</dcterms:modified>
</cp:coreProperties>
</file>