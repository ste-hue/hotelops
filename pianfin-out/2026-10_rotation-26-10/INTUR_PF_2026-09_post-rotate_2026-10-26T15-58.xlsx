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✓ Controlli" sheetId="1" state="visible" r:id="rId1"/>
    <sheet xmlns:r="http://schemas.openxmlformats.org/officeDocument/2006/relationships" name="Piano Finanziario" sheetId="2" state="visible" r:id="rId2"/>
    <sheet xmlns:r="http://schemas.openxmlformats.org/officeDocument/2006/relationships" name="Salari e Stipendi" sheetId="3" state="visible" r:id="rId3"/>
    <sheet xmlns:r="http://schemas.openxmlformats.org/officeDocument/2006/relationships" name="Utenze" sheetId="4" state="visible" r:id="rId4"/>
    <sheet xmlns:r="http://schemas.openxmlformats.org/officeDocument/2006/relationships" name="Materie Prime-Conumo " sheetId="5" state="visible" r:id="rId5"/>
    <sheet xmlns:r="http://schemas.openxmlformats.org/officeDocument/2006/relationships" name="Tasse e Imposte" sheetId="6" state="visible" r:id="rId6"/>
    <sheet xmlns:r="http://schemas.openxmlformats.org/officeDocument/2006/relationships" name="Mutui e Finaziamenti" sheetId="7" state="visible" r:id="rId7"/>
    <sheet xmlns:r="http://schemas.openxmlformats.org/officeDocument/2006/relationships" name="Consulenze" sheetId="8" state="visible" r:id="rId8"/>
    <sheet xmlns:r="http://schemas.openxmlformats.org/officeDocument/2006/relationships" name="Godimento Beni di Terzi" sheetId="9" state="visible" r:id="rId9"/>
    <sheet xmlns:r="http://schemas.openxmlformats.org/officeDocument/2006/relationships" name="Canoni e servizi" sheetId="10" state="visible" r:id="rId10"/>
    <sheet xmlns:r="http://schemas.openxmlformats.org/officeDocument/2006/relationships" name=" Varie ed Eventuali" sheetId="11" state="visible" r:id="rId11"/>
    <sheet xmlns:r="http://schemas.openxmlformats.org/officeDocument/2006/relationships" name="Nota" sheetId="12" state="visible" r:id="rId12"/>
    <sheet xmlns:r="http://schemas.openxmlformats.org/officeDocument/2006/relationships" name="DA MAPPARE" sheetId="13" state="visible" r:id="rId13"/>
    <sheet xmlns:r="http://schemas.openxmlformats.org/officeDocument/2006/relationships" name="ESCLUSI" sheetId="14" state="visible" r:id="rId14"/>
    <sheet xmlns:r="http://schemas.openxmlformats.org/officeDocument/2006/relationships" name="DA MAPPARE1" sheetId="15" state="visible" r:id="rId15"/>
    <sheet xmlns:r="http://schemas.openxmlformats.org/officeDocument/2006/relationships" name="ESCLUSI1" sheetId="16" state="visible" r:id="rId16"/>
    <sheet xmlns:r="http://schemas.openxmlformats.org/officeDocument/2006/relationships" name="DA MAPPARE2" sheetId="17" state="visible" r:id="rId17"/>
    <sheet xmlns:r="http://schemas.openxmlformats.org/officeDocument/2006/relationships" name="ESCLUSI2" sheetId="18" state="visible" r:id="rId18"/>
    <sheet xmlns:r="http://schemas.openxmlformats.org/officeDocument/2006/relationships" name="DA MAPPARE3" sheetId="19" state="visible" r:id="rId19"/>
    <sheet xmlns:r="http://schemas.openxmlformats.org/officeDocument/2006/relationships" name="ESCLUSI3" sheetId="20" state="visible" r:id="rId20"/>
    <sheet xmlns:r="http://schemas.openxmlformats.org/officeDocument/2006/relationships" name="DA MAPPARE4" sheetId="21" state="visible" r:id="rId21"/>
    <sheet xmlns:r="http://schemas.openxmlformats.org/officeDocument/2006/relationships" name="ESCLUSI4" sheetId="22" state="visible" r:id="rId22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_-[$€-2]\ * #,##0.00_-;\-[$€-2]\ * #,##0.00_-;_-[$€-2]\ * &quot;-&quot;??_-;_-@"/>
    <numFmt numFmtId="166" formatCode="[$€-2]\ #,##0.00"/>
  </numFmts>
  <fonts count="29">
    <font>
      <name val="Aptos Narrow"/>
      <color theme="1"/>
      <sz val="12"/>
      <scheme val="minor"/>
    </font>
    <font>
      <name val="Aptos Narrow"/>
      <color theme="1"/>
      <sz val="12"/>
    </font>
    <font>
      <name val="Aptos Narrow"/>
      <b val="1"/>
      <color rgb="FF1A1A2E"/>
      <sz val="14"/>
    </font>
    <font>
      <name val="Arial"/>
      <b val="1"/>
      <color theme="1"/>
      <sz val="27"/>
    </font>
    <font>
      <name val="Aptos Narrow"/>
      <b val="1"/>
      <color theme="1"/>
      <sz val="12"/>
    </font>
    <font>
      <name val="Arial"/>
      <b val="1"/>
      <color theme="1"/>
      <sz val="12"/>
    </font>
    <font>
      <name val="Arial"/>
      <b val="1"/>
      <color rgb="FF000000"/>
      <sz val="14"/>
    </font>
    <font>
      <name val="Aptos Narrow"/>
      <i val="1"/>
      <color rgb="FF888888"/>
      <sz val="9"/>
    </font>
    <font>
      <name val="Aptos Narrow"/>
      <b val="1"/>
      <color rgb="FFFFFFFF"/>
      <sz val="9"/>
    </font>
    <font>
      <name val="Aptos Narrow"/>
      <b val="1"/>
      <color rgb="FFC0392B"/>
      <sz val="9"/>
    </font>
    <font>
      <name val="Arial"/>
      <color rgb="FFFF0000"/>
      <sz val="12"/>
    </font>
    <font>
      <name val="Aptos Narrow"/>
      <color theme="1"/>
      <sz val="9"/>
    </font>
    <font>
      <name val="Arial"/>
      <color theme="1"/>
      <sz val="12"/>
    </font>
    <font>
      <name val="Aptos Narrow"/>
      <b val="1"/>
      <color theme="1"/>
      <sz val="9"/>
    </font>
    <font>
      <name val="Aptos Narrow"/>
      <b val="1"/>
      <color rgb="FF2980B9"/>
      <sz val="9"/>
    </font>
    <font>
      <name val="Aptos Narrow"/>
      <b val="1"/>
      <color theme="1"/>
      <sz val="12"/>
      <u val="single"/>
    </font>
    <font>
      <name val="Arial"/>
      <color theme="1"/>
      <sz val="12"/>
      <u val="single"/>
    </font>
    <font>
      <name val="Aptos Narrow"/>
      <color theme="1"/>
      <sz val="12"/>
      <u val="single"/>
    </font>
    <font>
      <name val="Aptos Narrow"/>
      <color rgb="FFFF0000"/>
      <sz val="12"/>
    </font>
    <font>
      <name val="Aptos Narrow"/>
      <color theme="1"/>
      <sz val="12"/>
      <u val="single"/>
    </font>
    <font>
      <name val="Arial"/>
      <b val="1"/>
      <color theme="1"/>
      <sz val="12"/>
      <u val="single"/>
    </font>
    <font>
      <name val="Aptos Narrow"/>
      <color rgb="FFCCCCCC"/>
      <sz val="12"/>
    </font>
    <font>
      <name val="Aptos Narrow"/>
      <b val="1"/>
      <color theme="1"/>
      <sz val="13"/>
    </font>
    <font>
      <name val="Arial"/>
      <b val="1"/>
      <color theme="1"/>
      <sz val="12"/>
      <u val="single"/>
    </font>
    <font>
      <name val="Aptos Narrow"/>
      <b val="1"/>
      <color theme="1"/>
      <sz val="12"/>
      <u val="single"/>
    </font>
    <font>
      <name val="Aptos Narrow"/>
      <b val="1"/>
      <color theme="1"/>
      <sz val="12"/>
      <u val="single"/>
    </font>
    <font>
      <name val="Aptos Narrow"/>
      <color theme="1"/>
      <sz val="12"/>
      <scheme val="minor"/>
    </font>
    <font>
      <name val="Aptos Narrow"/>
      <b val="1"/>
      <sz val="12"/>
    </font>
    <font>
      <b val="1"/>
    </font>
  </fonts>
  <fills count="1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2C3E50"/>
        <bgColor rgb="FF2C3E50"/>
      </patternFill>
    </fill>
    <fill>
      <patternFill patternType="solid">
        <fgColor rgb="FFEFEFEF"/>
        <bgColor rgb="FFEFEFEF"/>
      </patternFill>
    </fill>
    <fill>
      <patternFill patternType="solid">
        <fgColor rgb="FF8ED873"/>
        <bgColor rgb="FF8ED873"/>
      </patternFill>
    </fill>
    <fill>
      <patternFill patternType="solid">
        <fgColor rgb="FFF1A983"/>
        <bgColor rgb="FFF1A983"/>
      </patternFill>
    </fill>
    <fill>
      <patternFill patternType="solid">
        <fgColor rgb="FFD9F2D0"/>
        <bgColor rgb="FFD9F2D0"/>
      </patternFill>
    </fill>
    <fill>
      <patternFill patternType="solid">
        <fgColor rgb="FFF1CEEE"/>
        <bgColor rgb="FFF1CEEE"/>
      </patternFill>
    </fill>
    <fill>
      <patternFill patternType="solid">
        <fgColor theme="0"/>
        <bgColor rgb="FFD9D9D9"/>
      </patternFill>
    </fill>
  </fills>
  <borders count="1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26" fillId="0" borderId="4"/>
  </cellStyleXfs>
  <cellXfs count="9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4" fillId="5" borderId="3" applyAlignment="1" pivotButton="0" quotePrefix="0" xfId="0">
      <alignment horizontal="center"/>
    </xf>
    <xf numFmtId="0" fontId="4" fillId="3" borderId="3" applyAlignment="1" pivotButton="0" quotePrefix="0" xfId="0">
      <alignment horizontal="center"/>
    </xf>
    <xf numFmtId="0" fontId="5" fillId="5" borderId="3" applyAlignment="1" pivotButton="0" quotePrefix="0" xfId="0">
      <alignment horizontal="center"/>
    </xf>
    <xf numFmtId="0" fontId="8" fillId="7" borderId="4" applyAlignment="1" pivotButton="0" quotePrefix="0" xfId="0">
      <alignment horizontal="center"/>
    </xf>
    <xf numFmtId="0" fontId="8" fillId="7" borderId="4" pivotButton="0" quotePrefix="0" xfId="0"/>
    <xf numFmtId="0" fontId="5" fillId="6" borderId="3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165" fontId="1" fillId="0" borderId="0" pivotButton="0" quotePrefix="0" xfId="0"/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165" fontId="4" fillId="0" borderId="5" pivotButton="0" quotePrefix="0" xfId="0"/>
    <xf numFmtId="0" fontId="12" fillId="8" borderId="4" pivotButton="0" quotePrefix="0" xfId="0"/>
    <xf numFmtId="0" fontId="1" fillId="8" borderId="4" pivotButton="0" quotePrefix="0" xfId="0"/>
    <xf numFmtId="165" fontId="12" fillId="8" borderId="4" pivotButton="0" quotePrefix="0" xfId="0"/>
    <xf numFmtId="0" fontId="5" fillId="0" borderId="0" pivotButton="0" quotePrefix="0" xfId="0"/>
    <xf numFmtId="165" fontId="12" fillId="8" borderId="6" pivotButton="0" quotePrefix="0" xfId="0"/>
    <xf numFmtId="165" fontId="12" fillId="0" borderId="7" pivotButton="0" quotePrefix="0" xfId="0"/>
    <xf numFmtId="0" fontId="13" fillId="0" borderId="0" applyAlignment="1" pivotButton="0" quotePrefix="0" xfId="0">
      <alignment horizontal="center"/>
    </xf>
    <xf numFmtId="165" fontId="1" fillId="0" borderId="7" pivotButton="0" quotePrefix="0" xfId="0"/>
    <xf numFmtId="0" fontId="11" fillId="0" borderId="0" applyAlignment="1" pivotButton="0" quotePrefix="0" xfId="0">
      <alignment wrapText="1"/>
    </xf>
    <xf numFmtId="0" fontId="12" fillId="0" borderId="0" pivotButton="0" quotePrefix="0" xfId="0"/>
    <xf numFmtId="165" fontId="1" fillId="0" borderId="8" pivotButton="0" quotePrefix="0" xfId="0"/>
    <xf numFmtId="0" fontId="1" fillId="0" borderId="0" applyAlignment="1" pivotButton="0" quotePrefix="0" xfId="0">
      <alignment wrapText="1"/>
    </xf>
    <xf numFmtId="0" fontId="14" fillId="0" borderId="0" pivotButton="0" quotePrefix="0" xfId="0"/>
    <xf numFmtId="165" fontId="15" fillId="9" borderId="9" pivotButton="0" quotePrefix="0" xfId="0"/>
    <xf numFmtId="0" fontId="16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2" fillId="2" borderId="4" applyAlignment="1" pivotButton="0" quotePrefix="0" xfId="0">
      <alignment horizontal="left"/>
    </xf>
    <xf numFmtId="165" fontId="12" fillId="2" borderId="8" pivotButton="0" quotePrefix="0" xfId="0"/>
    <xf numFmtId="0" fontId="18" fillId="0" borderId="0" pivotButton="0" quotePrefix="0" xfId="0"/>
    <xf numFmtId="165" fontId="18" fillId="0" borderId="8" pivotButton="0" quotePrefix="0" xfId="0"/>
    <xf numFmtId="165" fontId="4" fillId="0" borderId="10" pivotButton="0" quotePrefix="0" xfId="0"/>
    <xf numFmtId="165" fontId="19" fillId="10" borderId="11" pivotButton="0" quotePrefix="0" xfId="0"/>
    <xf numFmtId="165" fontId="1" fillId="10" borderId="11" pivotButton="0" quotePrefix="0" xfId="0"/>
    <xf numFmtId="165" fontId="20" fillId="0" borderId="12" pivotButton="0" quotePrefix="0" xfId="0"/>
    <xf numFmtId="165" fontId="4" fillId="0" borderId="12" pivotButton="0" quotePrefix="0" xfId="0"/>
    <xf numFmtId="165" fontId="12" fillId="0" borderId="8" applyAlignment="1" pivotButton="0" quotePrefix="0" xfId="0">
      <alignment horizontal="right"/>
    </xf>
    <xf numFmtId="165" fontId="12" fillId="0" borderId="10" pivotButton="0" quotePrefix="0" xfId="0"/>
    <xf numFmtId="165" fontId="1" fillId="0" borderId="10" pivotButton="0" quotePrefix="0" xfId="0"/>
    <xf numFmtId="0" fontId="21" fillId="0" borderId="0" pivotButton="0" quotePrefix="0" xfId="0"/>
    <xf numFmtId="165" fontId="23" fillId="11" borderId="11" pivotButton="0" quotePrefix="0" xfId="0"/>
    <xf numFmtId="165" fontId="4" fillId="11" borderId="11" pivotButton="0" quotePrefix="0" xfId="0"/>
    <xf numFmtId="165" fontId="5" fillId="0" borderId="12" pivotButton="0" quotePrefix="0" xfId="0"/>
    <xf numFmtId="165" fontId="24" fillId="0" borderId="12" pivotButton="0" quotePrefix="0" xfId="0"/>
    <xf numFmtId="165" fontId="25" fillId="12" borderId="11" pivotButton="0" quotePrefix="0" xfId="0"/>
    <xf numFmtId="165" fontId="1" fillId="12" borderId="11" pivotButton="0" quotePrefix="0" xfId="0"/>
    <xf numFmtId="166" fontId="1" fillId="0" borderId="0" applyAlignment="1" pivotButton="0" quotePrefix="0" xfId="0">
      <alignment horizontal="center"/>
    </xf>
    <xf numFmtId="166" fontId="4" fillId="0" borderId="0" pivotButton="0" quotePrefix="0" xfId="0"/>
    <xf numFmtId="166" fontId="1" fillId="0" borderId="0" pivotButton="0" quotePrefix="0" xfId="0"/>
    <xf numFmtId="165" fontId="12" fillId="0" borderId="7" applyAlignment="1" pivotButton="0" quotePrefix="0" xfId="0">
      <alignment horizontal="right"/>
    </xf>
    <xf numFmtId="166" fontId="12" fillId="0" borderId="0" pivotButton="0" quotePrefix="0" xfId="0"/>
    <xf numFmtId="165" fontId="12" fillId="0" borderId="8" pivotButton="0" quotePrefix="0" xfId="0"/>
    <xf numFmtId="166" fontId="12" fillId="0" borderId="0" applyAlignment="1" pivotButton="0" quotePrefix="0" xfId="0">
      <alignment horizontal="center"/>
    </xf>
    <xf numFmtId="0" fontId="5" fillId="2" borderId="4" pivotButton="0" quotePrefix="0" xfId="0"/>
    <xf numFmtId="165" fontId="12" fillId="2" borderId="8" applyAlignment="1" pivotButton="0" quotePrefix="0" xfId="0">
      <alignment horizontal="right"/>
    </xf>
    <xf numFmtId="4" fontId="1" fillId="0" borderId="0" pivotButton="0" quotePrefix="0" xfId="0"/>
    <xf numFmtId="0" fontId="26" fillId="0" borderId="0" pivotButton="0" quotePrefix="0" xfId="0"/>
    <xf numFmtId="0" fontId="0" fillId="0" borderId="0" pivotButton="0" quotePrefix="0" xfId="0"/>
    <xf numFmtId="0" fontId="27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7" fillId="0" borderId="0" pivotButton="0" quotePrefix="0" xfId="0"/>
    <xf numFmtId="0" fontId="22" fillId="0" borderId="0" pivotButton="0" quotePrefix="0" xfId="0"/>
    <xf numFmtId="0" fontId="6" fillId="4" borderId="5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6" fillId="4" borderId="14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/>
    </xf>
    <xf numFmtId="0" fontId="4" fillId="6" borderId="5" applyAlignment="1" pivotButton="0" quotePrefix="0" xfId="0">
      <alignment horizontal="center"/>
    </xf>
    <xf numFmtId="0" fontId="5" fillId="5" borderId="14" applyAlignment="1" pivotButton="0" quotePrefix="0" xfId="0">
      <alignment horizontal="center"/>
    </xf>
    <xf numFmtId="0" fontId="5" fillId="3" borderId="14" applyAlignment="1" pivotButton="0" quotePrefix="0" xfId="0">
      <alignment horizontal="center"/>
    </xf>
    <xf numFmtId="0" fontId="12" fillId="0" borderId="0" pivotButton="0" quotePrefix="0" xfId="0"/>
    <xf numFmtId="165" fontId="1" fillId="13" borderId="13" pivotButton="0" quotePrefix="0" xfId="0"/>
    <xf numFmtId="165" fontId="12" fillId="13" borderId="13" pivotButton="0" quotePrefix="0" xfId="0"/>
    <xf numFmtId="165" fontId="12" fillId="13" borderId="8" pivotButton="0" quotePrefix="0" xfId="0"/>
    <xf numFmtId="165" fontId="1" fillId="13" borderId="8" pivotButton="0" quotePrefix="0" xfId="0"/>
    <xf numFmtId="0" fontId="2" fillId="0" borderId="4" pivotButton="0" quotePrefix="0" xfId="0"/>
    <xf numFmtId="0" fontId="7" fillId="0" borderId="4" pivotButton="0" quotePrefix="0" xfId="0"/>
    <xf numFmtId="0" fontId="22" fillId="0" borderId="4" pivotButton="0" quotePrefix="0" xfId="0"/>
    <xf numFmtId="0" fontId="12" fillId="0" borderId="4" pivotButton="0" quotePrefix="0" xfId="0"/>
    <xf numFmtId="0" fontId="28" fillId="0" borderId="0" pivotButton="0" quotePrefix="0" xfId="0"/>
  </cellXfs>
  <cellStyles count="1">
    <cellStyle name="Normale" xfId="0" builtinId="0"/>
  </cellStyles>
  <dxfs count="2"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None</author>
  </authors>
  <commentList>
    <comment ref="A10" authorId="0" shapeId="0">
      <text>
        <t>======
ID#AAAB-Ph7kRI
Antonio Russo    (2024-10-07 08:39:38)
Hotel+Residence+CVM</t>
      </text>
    </comment>
    <comment ref="A18" authorId="0" shapeId="0">
      <text>
        <t>======
ID#AAAB-Ph7kRM
Antonio Russo    (2024-09-20 08:26:48)
Corretto</t>
      </text>
    </comment>
    <comment ref="C31" authorId="0" shapeId="0">
      <text>
        <t>======
ID#AAAB-PVxQyI
Amministrazione    (2026-01-04 08:30:13)
Saldi al 31/03/2026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E5" authorId="0" shapeId="0">
      <text>
        <t>======
ID#AAAB-PVxQyM
Antonio Russo    (2025-10-08 07:18:45)
in attesa F24 da consulente
------
ID#AAAB-PVxQyQ
Amministrazione    (2025-10-15 06:13:43)
Avuto F24 il 15/10 (la nostra stima era di 4.000)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E4" authorId="0" shapeId="0">
      <text>
        <t>======
ID#AAAB-PVxQyA
Antonio Russo    (2025-10-08 07:46:04)
Comp. Agosto</t>
      </text>
    </comment>
    <comment ref="E6" authorId="0" shapeId="0">
      <text>
        <t>======
ID#AAAB-PVxQyE
Antonio Russo    (2025-10-08 07:41:31)
Comp. Luglio/Agosto (su fatt)</t>
      </text>
    </comment>
    <comment ref="G6" authorId="0" shapeId="0">
      <text>
        <t>Fattura conguaglio del 11.11.2025 n. 3 rate di € 7.891,75
======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9"/>
  <sheetViews>
    <sheetView tabSelected="1" workbookViewId="0">
      <pane ySplit="4" topLeftCell="A5" activePane="bottomLeft" state="frozen"/>
      <selection pane="bottomLeft" activeCell="B6" sqref="B6"/>
    </sheetView>
  </sheetViews>
  <sheetFormatPr baseColWidth="8" defaultColWidth="11.25" defaultRowHeight="15" customHeight="1"/>
  <cols>
    <col width="3.5" customWidth="1" style="69" min="1" max="1"/>
    <col width="7" customWidth="1" style="69" min="2" max="2"/>
    <col width="30.25" customWidth="1" style="69" min="3" max="3"/>
    <col width="16" customWidth="1" style="69" min="4" max="4"/>
    <col width="9" customWidth="1" style="69" min="5" max="5"/>
    <col width="6.375" customWidth="1" style="69" min="6" max="6"/>
    <col width="6.875" customWidth="1" style="69" min="7" max="23"/>
    <col width="8.625" customWidth="1" style="69" min="24" max="26"/>
  </cols>
  <sheetData>
    <row r="1" ht="15.75" customHeight="1" s="69">
      <c r="A1" s="85" t="inlineStr">
        <is>
          <t>🔍 AUDIT PIANO FINANZIARIO INTUR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69">
      <c r="A2" s="86" t="inlineStr">
        <is>
          <t>Controlli live — per il mese dopo: aggiorna saldi banche e cancella i mesi passati dai fogli dettaglio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69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69">
      <c r="A4" s="9" t="inlineStr">
        <is>
          <t>#</t>
        </is>
      </c>
      <c r="B4" s="9" t="inlineStr">
        <is>
          <t>ESITO</t>
        </is>
      </c>
      <c r="C4" s="10" t="inlineStr">
        <is>
          <t>CONTROLLO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69">
      <c r="A5" s="12" t="inlineStr">
        <is>
          <t>ERRORI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69">
      <c r="A6" s="16" t="n">
        <v>1</v>
      </c>
      <c r="B6" s="24">
        <f t="array" ref="B6">IF(SUMPRODUCT(ISERROR('Piano Finanziario'!C3:S46)*1)=0,"OK","ERRORE")</f>
        <v/>
      </c>
      <c r="C6" s="26" t="inlineStr">
        <is>
          <t>Zero errori nel Piano Finanziario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69">
      <c r="A7" s="16" t="n">
        <v>2</v>
      </c>
      <c r="B7" s="24">
        <f t="array" ref="B7">IF(SUMPRODUCT(ISERROR('Salari e Stipendi'!C3:Y5)*1)+SUMPRODUCT(ISERROR(Utenze!C3:Y61)*1)+SUMPRODUCT(ISERROR('Materie Prime-Conumo '!C3:Y29)*1)+SUMPRODUCT(ISERROR('Tasse e Imposte'!C3:Y59)*1)+SUMPRODUCT(ISERROR('Mutui e Finaziamenti'!C3:Y62)*1)+SUMPRODUCT(ISERROR(Consulenze!C3:Y62)*1)+SUMPRODUCT(ISERROR('Godimento Beni di Terzi'!C3:Y62)*1)+SUMPRODUCT(ISERROR(' Varie ed Eventuali'!C3:Y19)*1)+SUMPRODUCT(ISERROR('Canoni e servizi'!C3:Y61)*1)=0,"OK","ERRORE")</f>
        <v/>
      </c>
      <c r="C7" s="26" t="inlineStr">
        <is>
          <t>Zero errori in tutti i fogli dettaglio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69">
      <c r="A8" s="2" t="n"/>
      <c r="B8" s="2" t="n"/>
      <c r="C8" s="29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69">
      <c r="A9" s="30" t="inlineStr">
        <is>
          <t>ENTRATE</t>
        </is>
      </c>
      <c r="B9" s="2" t="n"/>
      <c r="C9" s="29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69">
      <c r="A10" s="16" t="n">
        <v>3</v>
      </c>
      <c r="B10" s="24">
        <f>IF(ABS(SUM('Piano Finanziario'!D12:S12)-SUM('Piano Finanziario'!D5:S11))&lt;0.01,"OK","ERRORE")</f>
        <v/>
      </c>
      <c r="C10" s="26" t="inlineStr">
        <is>
          <t>Totale Entrate = somma righe (tutti i mesi)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69">
      <c r="A11" s="16" t="n">
        <v>4</v>
      </c>
      <c r="B11" s="24">
        <f>IF(ABS(SUM('Piano Finanziario'!D27:S27)-SUM('Piano Finanziario'!D14:S26))&lt;0.01,"OK","ERRORE")</f>
        <v/>
      </c>
      <c r="C11" s="26" t="inlineStr">
        <is>
          <t>Totale Uscite = somma dettaglio (tutti i mesi)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69">
      <c r="A12" s="16" t="n">
        <v>5</v>
      </c>
      <c r="B12" s="24">
        <f>IF(ABS(SUM('Piano Finanziario'!D29:S29)-(SUM('Piano Finanziario'!D12:S12)-SUM('Piano Finanziario'!D27:S27)))&lt;0.01,"OK","ERRORE")</f>
        <v/>
      </c>
      <c r="C12" s="26" t="inlineStr">
        <is>
          <t>Cash Flow = Entrate - Uscite (tutti i mesi)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69">
      <c r="A13" s="2" t="n"/>
      <c r="B13" s="2" t="n"/>
      <c r="C13" s="29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69">
      <c r="A14" s="30" t="inlineStr">
        <is>
          <t>LINK FOGLI</t>
        </is>
      </c>
      <c r="B14" s="2" t="n"/>
      <c r="C14" s="29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69">
      <c r="A15" s="16" t="n">
        <v>6</v>
      </c>
      <c r="B15" s="24">
        <f t="array" ref="B15">IF(ABS(SUM('Piano Finanziario'!D14:S14)-SUMPRODUCT(('Salari e Stipendi'!D3:Y3)*(COLUMN('Salari e Stipendi'!D3:Y3)&gt;=MATCH('Piano Finanziario'!D2,'Salari e Stipendi'!D2:Y2,0)+3)))&lt;0.01,"OK","ERRORE")</f>
        <v/>
      </c>
      <c r="C15" s="26" t="inlineStr">
        <is>
          <t>Salari e Stipendi: Piano = foglio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69">
      <c r="A16" s="16" t="n">
        <v>7</v>
      </c>
      <c r="B16" s="24">
        <f t="array" ref="B16">IF(ABS(SUM('Piano Finanziario'!D15:S15)-SUMPRODUCT((Utenze!D3:Y3)*(COLUMN(Utenze!D3:Y3)&gt;=MATCH('Piano Finanziario'!D2,Utenze!D2:Y2,0)+3)))&lt;0.01,"OK","ERRORE")</f>
        <v/>
      </c>
      <c r="C16" s="26" t="inlineStr">
        <is>
          <t>Utenze: Piano = foglio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69">
      <c r="A17" s="16" t="n">
        <v>8</v>
      </c>
      <c r="B17" s="24">
        <f t="array" ref="B17">IF(ABS(SUM('Piano Finanziario'!D16:S16)-SUMPRODUCT(('Materie Prime-Conumo '!D3:Y3)*(COLUMN('Materie Prime-Conumo '!D3:Y3)&gt;=MATCH('Piano Finanziario'!D2,'Materie Prime-Conumo '!D2:Y2,0)+3)))&lt;0.01,"OK","ERRORE")</f>
        <v/>
      </c>
      <c r="C17" s="26" t="inlineStr">
        <is>
          <t>Materie Prime: Piano = foglio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69">
      <c r="A18" s="16" t="n">
        <v>9</v>
      </c>
      <c r="B18" s="24">
        <f t="array" ref="B18">IF(ABS(SUM('Piano Finanziario'!D17:S17)-SUMPRODUCT(('Tasse e Imposte'!D3:Y3)*(COLUMN('Tasse e Imposte'!D3:Y3)&gt;=MATCH('Piano Finanziario'!D2,'Tasse e Imposte'!D2:Y2,0)+3)))&lt;0.01,"OK","ERRORE")</f>
        <v/>
      </c>
      <c r="C18" s="26" t="inlineStr">
        <is>
          <t>Tasse e Imposte: Piano = foglio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69">
      <c r="A19" s="16" t="n">
        <v>10</v>
      </c>
      <c r="B19" s="24">
        <f t="array" ref="B19">IF(ABS(SUM('Piano Finanziario'!D18:S18)-SUMPRODUCT(('Mutui e Finaziamenti'!D3:Y3)*(COLUMN('Mutui e Finaziamenti'!D3:Y3)&gt;=MATCH('Piano Finanziario'!D2,'Mutui e Finaziamenti'!D2:Y2,0)+3)))&lt;0.01,"OK","ERRORE")</f>
        <v/>
      </c>
      <c r="C19" s="26" t="inlineStr">
        <is>
          <t>Mutui e Finanziamenti: Piano = foglio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69">
      <c r="A20" s="16" t="n">
        <v>11</v>
      </c>
      <c r="B20" s="24">
        <f t="array" ref="B20">IF(ABS(SUM('Piano Finanziario'!D19:S19)-SUMPRODUCT((Consulenze!D3:Y3)*(COLUMN(Consulenze!D3:Y3)&gt;=MATCH('Piano Finanziario'!D2,Consulenze!D2:Y2,0)+3)))&lt;0.01,"OK","ERRORE")</f>
        <v/>
      </c>
      <c r="C20" s="26" t="inlineStr">
        <is>
          <t>Consulenze: Piano = foglio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69">
      <c r="A21" s="16" t="n">
        <v>12</v>
      </c>
      <c r="B21" s="24">
        <f t="array" ref="B21">IF(ABS(SUM('Piano Finanziario'!D20:S20)-SUMPRODUCT(('Godimento Beni di Terzi'!D3:Y3)*(COLUMN('Godimento Beni di Terzi'!D3:Y3)&gt;=MATCH('Piano Finanziario'!D2,'Godimento Beni di Terzi'!D2:Y2,0)+3)))&lt;0.01,"OK","ERRORE")</f>
        <v/>
      </c>
      <c r="C21" s="26" t="inlineStr">
        <is>
          <t>Godimento Beni di Terzi: Piano = foglio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69">
      <c r="A22" s="16" t="n">
        <v>13</v>
      </c>
      <c r="B22" s="24">
        <f t="array" ref="B22">IF(ABS(SUM('Piano Finanziario'!D21:S21)-SUMPRODUCT((' Varie ed Eventuali'!D3:Y3)*(COLUMN(' Varie ed Eventuali'!D3:Y3)&gt;=MATCH('Piano Finanziario'!D2,' Varie ed Eventuali'!D2:Y2,0)+3)))&lt;0.01,"OK","ERRORE")</f>
        <v/>
      </c>
      <c r="C22" s="26" t="inlineStr">
        <is>
          <t>Varie ed Eventuali: Piano = foglio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69">
      <c r="A23" s="16" t="n">
        <v>14</v>
      </c>
      <c r="B23" s="24">
        <f t="array" ref="B23">IF(ABS(SUM('Piano Finanziario'!D22:S22)-SUMPRODUCT(('Canoni e servizi'!D3:Y3)*(COLUMN('Canoni e servizi'!D3:Y3)&gt;=MATCH('Piano Finanziario'!D2,'Canoni e servizi'!D2:Y2,0)+3)))&lt;0.01,"OK","ERRORE")</f>
        <v/>
      </c>
      <c r="C23" s="26" t="inlineStr">
        <is>
          <t>Canoni e servizi: Piano = foglio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69">
      <c r="A24" s="2" t="n"/>
      <c r="B24" s="2" t="n"/>
      <c r="C24" s="29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69">
      <c r="A25" s="30" t="inlineStr">
        <is>
          <t>SALDI</t>
        </is>
      </c>
      <c r="B25" s="2" t="n"/>
      <c r="C25" s="29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69">
      <c r="A26" s="16" t="n">
        <v>15</v>
      </c>
      <c r="B26" s="24">
        <f>IF(ABS('Piano Finanziario'!D3-'Piano Finanziario'!C35)&lt;0.01,"OK","ERRORE")</f>
        <v/>
      </c>
      <c r="C26" s="26" t="inlineStr">
        <is>
          <t>Saldo iniziale = Totale Banche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69">
      <c r="A27" s="16" t="n">
        <v>16</v>
      </c>
      <c r="B27" s="24">
        <f t="array" ref="B27">IF(SUMPRODUCT(ABS('Piano Finanziario'!D38:S38-('Piano Finanziario'!D3:S3+'Piano Finanziario'!D29:S29+'Piano Finanziario'!D35:S35)))&lt;0.01,"OK","ERRORE")</f>
        <v/>
      </c>
      <c r="C27" s="26" t="inlineStr">
        <is>
          <t>Saldo Periodo = Prec + CF + Banche (ogni mese)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69">
      <c r="A28" s="16" t="n">
        <v>17</v>
      </c>
      <c r="B28" s="24">
        <f t="array" ref="B28">IF(SUMPRODUCT(ABS('Piano Finanziario'!D46:S46-('Piano Finanziario'!D38:S38+'Piano Finanziario'!D44:S44)))&lt;0.01,"OK","ERRORE")</f>
        <v/>
      </c>
      <c r="C28" s="26" t="inlineStr">
        <is>
          <t>CF con Affidamenti = Saldo + Affidamenti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69">
      <c r="A29" s="2" t="n"/>
      <c r="B29" s="2" t="n"/>
      <c r="C29" s="29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69">
      <c r="A30" s="30" t="inlineStr">
        <is>
          <t>FOGLI INTERNI</t>
        </is>
      </c>
      <c r="B30" s="2" t="n"/>
      <c r="C30" s="29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69">
      <c r="A31" s="16" t="n">
        <v>18</v>
      </c>
      <c r="B31" s="24">
        <f>IF(ABS('Salari e Stipendi'!C3-SUM('Salari e Stipendi'!D3:Y3))&lt;0.01,"OK","ERRORE")</f>
        <v/>
      </c>
      <c r="C31" s="26" t="inlineStr">
        <is>
          <t>Salari: totale = somma mesi</t>
        </is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69">
      <c r="A32" s="16" t="n">
        <v>19</v>
      </c>
      <c r="B32" s="24">
        <f>IF(ABS(Utenze!C3-SUM(Utenze!D3:Y3))&lt;0.01,"OK","ERRORE")</f>
        <v/>
      </c>
      <c r="C32" s="26" t="inlineStr">
        <is>
          <t>Utenze: totale = somma mesi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69">
      <c r="A33" s="16" t="n">
        <v>20</v>
      </c>
      <c r="B33" s="24">
        <f>IF(ABS('Tasse e Imposte'!C3-SUM('Tasse e Imposte'!D3:Y3))&lt;0.01,"OK","ERRORE")</f>
        <v/>
      </c>
      <c r="C33" s="26" t="inlineStr">
        <is>
          <t>Tasse: totale = somma mesi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69">
      <c r="A34" s="16" t="n">
        <v>21</v>
      </c>
      <c r="B34" s="24">
        <f>IF(ABS('Mutui e Finaziamenti'!C3-SUM('Mutui e Finaziamenti'!D3:Y3))&lt;0.01,"OK","ERRORE")</f>
        <v/>
      </c>
      <c r="C34" s="26" t="inlineStr">
        <is>
          <t>Mutui: totale = somma mesi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69">
      <c r="A35" s="16" t="n">
        <v>22</v>
      </c>
      <c r="B35" s="24">
        <f>IF(ABS(Consulenze!C3-SUM(Consulenze!D3:Y3))&lt;0.01,"OK","ERRORE")</f>
        <v/>
      </c>
      <c r="C35" s="26" t="inlineStr">
        <is>
          <t>Consulenze: totale = somma mesi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69">
      <c r="A36" s="16" t="n">
        <v>23</v>
      </c>
      <c r="B36" s="24">
        <f>IF(ABS(' Varie ed Eventuali'!C3-SUM(' Varie ed Eventuali'!D3:Y3))+ABS('Canoni e servizi'!C3-SUM('Canoni e servizi'!D3:Y3))+ABS('Godimento Beni di Terzi'!C3-SUM('Godimento Beni di Terzi'!D3:Y3))+ABS('Materie Prime-Conumo '!C3-SUM('Materie Prime-Conumo '!D3:Y3))&lt;0.01,"OK","ERRORE")</f>
        <v/>
      </c>
      <c r="C36" s="26" t="inlineStr">
        <is>
          <t>Varie + Canoni + Godimento + Mat.Prime: totale = somma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6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69">
      <c r="A38" s="47" t="inlineStr">
        <is>
          <t>══════════════════════════════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69">
      <c r="A39" s="2" t="n"/>
      <c r="B39" s="87">
        <f>IF(COUNTIF(B6:B36,"ERRORE")=0,"✓ TUTTI I CONTROLLI OK (×"&amp;COUNTIF(B6:B36,"OK")&amp;" verifiche)","✗ "&amp;COUNTIF(B6:B36,"ERRORE")&amp;" ERRORI su "&amp;(COUNTIF(B6:B36,"OK")+COUNTIF(B6:B36,"ERRORE"))&amp;" verifiche")</f>
        <v/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69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69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69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69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69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69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69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69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69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6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69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69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69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69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69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69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69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69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69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6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69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69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69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69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69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69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69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69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69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69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69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69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69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69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69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69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69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69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6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69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69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69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69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69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69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69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69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69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6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69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69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69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69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69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69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69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69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69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6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69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69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69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69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69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69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69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69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69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6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69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69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69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69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69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69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69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69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69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6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69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69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69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69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69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69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69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69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69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6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69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69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69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69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69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69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69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69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69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6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69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69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69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69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69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69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69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69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69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6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69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69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69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69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69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69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69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69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69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6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69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69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69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69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69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69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69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69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69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69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69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69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69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69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69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69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69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69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6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69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69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69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69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69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69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69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69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69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6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69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69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69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69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69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69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69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69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69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6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69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69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69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69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69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69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69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69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69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6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69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69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69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69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69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69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69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69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69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6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69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69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69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69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69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69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69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69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69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6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69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69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69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69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69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69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69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69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69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6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3">
    <mergeCell ref="A1:C1"/>
    <mergeCell ref="A2:C2"/>
    <mergeCell ref="B39:C3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00FFFF"/>
    <outlinePr summaryBelow="1" summaryRight="1"/>
    <pageSetUpPr/>
  </sheetPr>
  <dimension ref="A1:U24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21" sqref="I21"/>
    </sheetView>
  </sheetViews>
  <sheetFormatPr baseColWidth="8" defaultColWidth="11.25" defaultRowHeight="15" customHeight="1"/>
  <cols>
    <col width="28.25" bestFit="1" customWidth="1" style="69" min="1" max="1"/>
    <col width="0.875" customWidth="1" style="69" min="2" max="2"/>
    <col width="15.75" bestFit="1" customWidth="1" style="69" min="3" max="3"/>
    <col hidden="1" width="12.5" customWidth="1" style="69" min="4" max="7"/>
    <col hidden="1" width="13" customWidth="1" style="69" min="5" max="5"/>
    <col hidden="1" width="13" customWidth="1" style="69" min="6" max="6"/>
    <col hidden="1" width="13" customWidth="1" style="69" min="7" max="7"/>
    <col hidden="1" width="12.5" bestFit="1" customWidth="1" style="69" min="8" max="8"/>
    <col hidden="1" width="12.875" bestFit="1" customWidth="1" style="69" min="9" max="9"/>
    <col width="13.875" bestFit="1" customWidth="1" style="69" min="10" max="10"/>
    <col width="14.125" bestFit="1" customWidth="1" style="69" min="11" max="11"/>
    <col width="12.875" bestFit="1" customWidth="1" style="69" min="12" max="12"/>
    <col width="14.125" bestFit="1" customWidth="1" style="69" min="13" max="13"/>
    <col width="12.5" bestFit="1" customWidth="1" style="69" min="14" max="18"/>
    <col width="14.125" bestFit="1" customWidth="1" style="69" min="19" max="19"/>
    <col width="6.875" customWidth="1" style="69" min="20" max="21"/>
    <col width="8.625" customWidth="1" style="69" min="22" max="26"/>
  </cols>
  <sheetData>
    <row r="1" ht="15.75" customHeight="1" s="69">
      <c r="A1" s="76" t="inlineStr">
        <is>
          <t>INTUR</t>
        </is>
      </c>
      <c r="B1" s="1" t="n"/>
      <c r="C1" s="4" t="inlineStr">
        <is>
          <t>DATA RILEVAZ</t>
        </is>
      </c>
      <c r="D1" s="75" t="n">
        <v>2026</v>
      </c>
      <c r="E1" s="73" t="n"/>
      <c r="F1" s="73" t="n"/>
      <c r="G1" s="73" t="n"/>
      <c r="H1" s="73" t="n"/>
      <c r="I1" s="73" t="n"/>
      <c r="J1" s="73" t="n"/>
      <c r="K1" s="73" t="n"/>
      <c r="L1" s="73" t="n"/>
      <c r="M1" s="73" t="n"/>
      <c r="N1" s="72" t="n">
        <v>2027</v>
      </c>
      <c r="O1" s="73" t="n"/>
      <c r="P1" s="73" t="n"/>
      <c r="Q1" s="73" t="n"/>
      <c r="R1" s="73" t="n"/>
      <c r="S1" s="74" t="n"/>
      <c r="T1" s="2" t="n"/>
      <c r="U1" s="2" t="n"/>
    </row>
    <row r="2" ht="15.75" customHeight="1" s="69">
      <c r="B2" s="1" t="n"/>
      <c r="C2" s="5" t="inlineStr">
        <is>
          <t>31/08/2026</t>
        </is>
      </c>
      <c r="D2" s="6" t="inlineStr">
        <is>
          <t>MARZO</t>
        </is>
      </c>
      <c r="E2" s="6" t="inlineStr">
        <is>
          <t>APRILE</t>
        </is>
      </c>
      <c r="F2" s="8" t="inlineStr">
        <is>
          <t>MAGGIO</t>
        </is>
      </c>
      <c r="G2" s="8" t="inlineStr">
        <is>
          <t>GIUGNO</t>
        </is>
      </c>
      <c r="H2" s="8" t="inlineStr">
        <is>
          <t>LUGLIO</t>
        </is>
      </c>
      <c r="I2" s="8" t="inlineStr">
        <is>
          <t>AGOSTO</t>
        </is>
      </c>
      <c r="J2" s="8" t="inlineStr">
        <is>
          <t>SETTEMBRE</t>
        </is>
      </c>
      <c r="K2" s="8" t="inlineStr">
        <is>
          <t>OTTOBRE</t>
        </is>
      </c>
      <c r="L2" s="8" t="inlineStr">
        <is>
          <t>NOVEMBRE</t>
        </is>
      </c>
      <c r="M2" s="8" t="inlineStr">
        <is>
          <t>DICEMBRE</t>
        </is>
      </c>
      <c r="N2" s="8" t="inlineStr">
        <is>
          <t>GENNAIO</t>
        </is>
      </c>
      <c r="O2" s="8" t="inlineStr">
        <is>
          <t>FEBBRAIO</t>
        </is>
      </c>
      <c r="P2" s="8" t="inlineStr">
        <is>
          <t>MARZO</t>
        </is>
      </c>
      <c r="Q2" s="8" t="inlineStr">
        <is>
          <t>APRILE</t>
        </is>
      </c>
      <c r="R2" s="8" t="inlineStr">
        <is>
          <t>MAGGIO</t>
        </is>
      </c>
      <c r="S2" s="8" t="inlineStr">
        <is>
          <t>GIUGNO</t>
        </is>
      </c>
      <c r="T2" s="2" t="n"/>
      <c r="U2" s="2" t="n"/>
    </row>
    <row r="3" ht="15.75" customHeight="1" s="69">
      <c r="A3" s="13" t="inlineStr">
        <is>
          <t>SALDO MESE PRECED.</t>
        </is>
      </c>
      <c r="B3" s="2" t="n"/>
      <c r="C3" s="14" t="n"/>
      <c r="D3" s="14">
        <f>C35</f>
        <v/>
      </c>
      <c r="E3" s="14">
        <f>D38</f>
        <v/>
      </c>
      <c r="F3" s="14">
        <f>E38</f>
        <v/>
      </c>
      <c r="G3" s="14">
        <f>F38</f>
        <v/>
      </c>
      <c r="H3" s="14">
        <f>G38</f>
        <v/>
      </c>
      <c r="I3" s="14">
        <f>H38</f>
        <v/>
      </c>
      <c r="J3" s="14">
        <f>I38</f>
        <v/>
      </c>
      <c r="K3" s="14">
        <f>J38</f>
        <v/>
      </c>
      <c r="L3" s="14">
        <f>K38</f>
        <v/>
      </c>
      <c r="M3" s="14">
        <f>L38</f>
        <v/>
      </c>
      <c r="N3" s="14">
        <f>M38</f>
        <v/>
      </c>
      <c r="O3" s="14">
        <f>N38</f>
        <v/>
      </c>
      <c r="P3" s="14">
        <f>O38</f>
        <v/>
      </c>
      <c r="Q3" s="14">
        <f>P38</f>
        <v/>
      </c>
      <c r="R3" s="14">
        <f>Q38</f>
        <v/>
      </c>
      <c r="S3" s="14">
        <f>R38</f>
        <v/>
      </c>
      <c r="T3" s="2" t="n"/>
      <c r="U3" s="2" t="n"/>
    </row>
    <row r="4" ht="15.75" customHeight="1" s="69">
      <c r="A4" s="18" t="n"/>
      <c r="B4" s="19" t="n"/>
      <c r="C4" s="20" t="n"/>
      <c r="D4" s="20" t="n"/>
      <c r="E4" s="22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" t="n"/>
      <c r="U4" s="2" t="n"/>
    </row>
    <row r="5" ht="15.75" customHeight="1" s="69">
      <c r="A5" s="80" t="inlineStr">
        <is>
          <t xml:space="preserve">Fitto Hotel </t>
        </is>
      </c>
      <c r="B5" s="2" t="n"/>
      <c r="C5" s="59" t="n"/>
      <c r="D5" s="59" t="n"/>
      <c r="E5" s="59" t="n"/>
      <c r="F5" s="59" t="n"/>
      <c r="G5" s="59" t="n"/>
      <c r="H5" s="59" t="n"/>
      <c r="I5" s="59" t="n"/>
      <c r="J5" s="59" t="n">
        <v>244000</v>
      </c>
      <c r="K5" s="59" t="n">
        <v>0</v>
      </c>
      <c r="L5" s="59" t="n"/>
      <c r="M5" s="59" t="n">
        <v>488000</v>
      </c>
      <c r="N5" s="59" t="n"/>
      <c r="O5" s="59" t="n"/>
      <c r="P5" s="59" t="n"/>
      <c r="Q5" s="59" t="n"/>
      <c r="R5" s="59" t="n"/>
      <c r="S5" s="59" t="n">
        <v>244000</v>
      </c>
      <c r="T5" s="2" t="n"/>
      <c r="U5" s="2" t="n"/>
    </row>
    <row r="6" ht="15.75" customHeight="1" s="69">
      <c r="A6" s="80" t="inlineStr">
        <is>
          <t>Fitto AR</t>
        </is>
      </c>
      <c r="B6" s="2" t="n"/>
      <c r="C6" s="59" t="n"/>
      <c r="D6" s="59" t="n"/>
      <c r="E6" s="59" t="n"/>
      <c r="F6" s="59" t="n"/>
      <c r="G6" s="59" t="n"/>
      <c r="H6" s="59" t="n"/>
      <c r="I6" s="59" t="n"/>
      <c r="J6" s="59" t="n"/>
      <c r="K6" s="59" t="n"/>
      <c r="L6" s="59" t="n"/>
      <c r="M6" s="59" t="n"/>
      <c r="N6" s="59" t="n"/>
      <c r="O6" s="59" t="n"/>
      <c r="P6" s="59" t="n"/>
      <c r="Q6" s="59" t="n"/>
      <c r="R6" s="59" t="n"/>
      <c r="S6" s="59" t="n"/>
      <c r="T6" s="2" t="n"/>
      <c r="U6" s="2" t="n"/>
    </row>
    <row r="7" ht="15.75" customHeight="1" s="69">
      <c r="A7" s="2" t="inlineStr">
        <is>
          <t>Entrate Residence</t>
        </is>
      </c>
      <c r="B7" s="2" t="n"/>
      <c r="C7" s="59" t="n"/>
      <c r="D7" s="59" t="n">
        <v>0</v>
      </c>
      <c r="E7" s="59" t="n"/>
      <c r="F7" s="59" t="n"/>
      <c r="G7" s="59" t="n"/>
      <c r="H7" s="59" t="n"/>
      <c r="I7" s="59" t="n"/>
      <c r="J7" s="59" t="n">
        <v>0</v>
      </c>
      <c r="K7" s="59" t="n">
        <v>0</v>
      </c>
      <c r="L7" s="59" t="n">
        <v>0</v>
      </c>
      <c r="M7" s="59" t="n">
        <v>0</v>
      </c>
      <c r="N7" s="59" t="n"/>
      <c r="O7" s="59" t="n"/>
      <c r="P7" s="59" t="n"/>
      <c r="Q7" s="59" t="n"/>
      <c r="R7" s="59" t="n"/>
      <c r="S7" s="59" t="n"/>
      <c r="T7" s="2" t="n"/>
      <c r="U7" s="2" t="n"/>
    </row>
    <row r="8" ht="15.75" customHeight="1" s="69">
      <c r="A8" s="80" t="inlineStr">
        <is>
          <t>Ribaltamento Costi a Orti</t>
        </is>
      </c>
      <c r="B8" s="2" t="n"/>
      <c r="C8" s="59" t="n"/>
      <c r="D8" s="59" t="n"/>
      <c r="E8" s="59" t="n"/>
      <c r="F8" s="59" t="n"/>
      <c r="G8" s="59" t="n"/>
      <c r="H8" s="59" t="n"/>
      <c r="I8" s="59" t="n"/>
      <c r="J8" s="59" t="n"/>
      <c r="K8" s="59" t="n"/>
      <c r="L8" s="59" t="n"/>
      <c r="M8" s="59" t="n"/>
      <c r="N8" s="59" t="n"/>
      <c r="O8" s="59" t="n"/>
      <c r="P8" s="59" t="n"/>
      <c r="Q8" s="59" t="n"/>
      <c r="R8" s="59" t="n"/>
      <c r="S8" s="59" t="n"/>
      <c r="T8" s="2" t="n"/>
      <c r="U8" s="2" t="n"/>
    </row>
    <row r="9" ht="15.75" customHeight="1" s="69">
      <c r="A9" s="2" t="inlineStr">
        <is>
          <t>Entrate Farmacia</t>
        </is>
      </c>
      <c r="B9" s="2" t="n"/>
      <c r="C9" s="59" t="n"/>
      <c r="D9" s="59" t="n"/>
      <c r="E9" s="59" t="n"/>
      <c r="F9" s="59" t="n"/>
      <c r="G9" s="59" t="n"/>
      <c r="H9" s="59" t="n"/>
      <c r="I9" s="59" t="n"/>
      <c r="J9" s="59" t="n">
        <v>3750</v>
      </c>
      <c r="K9" s="59" t="n">
        <v>3750</v>
      </c>
      <c r="L9" s="59" t="n">
        <v>3750</v>
      </c>
      <c r="M9" s="59" t="n">
        <v>3750</v>
      </c>
      <c r="N9" s="59" t="n"/>
      <c r="O9" s="59" t="n"/>
      <c r="P9" s="59" t="n"/>
      <c r="Q9" s="59" t="n"/>
      <c r="R9" s="59" t="n"/>
      <c r="S9" s="59" t="n"/>
      <c r="T9" s="2" t="n"/>
      <c r="U9" s="2" t="n"/>
    </row>
    <row r="10" ht="15.75" customHeight="1" s="69">
      <c r="A10" s="80" t="inlineStr">
        <is>
          <t>Entrate Spiaggia</t>
        </is>
      </c>
      <c r="B10" s="2" t="n"/>
      <c r="C10" s="59" t="n"/>
      <c r="D10" s="59" t="n"/>
      <c r="E10" s="59" t="n"/>
      <c r="F10" s="59" t="n"/>
      <c r="G10" s="59" t="n"/>
      <c r="H10" s="59" t="n"/>
      <c r="I10" s="59" t="n"/>
      <c r="J10" s="59" t="n">
        <v>35000</v>
      </c>
      <c r="K10" s="59" t="n"/>
      <c r="L10" s="59" t="n"/>
      <c r="M10" s="59" t="n"/>
      <c r="N10" s="59" t="n"/>
      <c r="O10" s="59" t="n"/>
      <c r="P10" s="59" t="n"/>
      <c r="Q10" s="59" t="n"/>
      <c r="R10" s="59" t="n"/>
      <c r="S10" s="59" t="n"/>
      <c r="T10" s="2" t="n"/>
      <c r="U10" s="2" t="n"/>
    </row>
    <row r="11" ht="15.75" customHeight="1" s="69">
      <c r="A11" s="80" t="n"/>
      <c r="B11" s="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2" t="n"/>
      <c r="U11" s="2" t="n"/>
    </row>
    <row r="12" ht="15.75" customHeight="1" s="69">
      <c r="A12" s="31" t="inlineStr">
        <is>
          <t>TOTALE ENTRATE</t>
        </is>
      </c>
      <c r="B12" s="31" t="n"/>
      <c r="C12" s="31">
        <f>SUM(C5:C9)</f>
        <v/>
      </c>
      <c r="D12" s="31">
        <f>SUM(D5:D11)</f>
        <v/>
      </c>
      <c r="E12" s="31">
        <f>SUM(E5:E11)</f>
        <v/>
      </c>
      <c r="F12" s="31">
        <f>SUM(F5:F11)</f>
        <v/>
      </c>
      <c r="G12" s="31">
        <f>SUM(G5:G11)</f>
        <v/>
      </c>
      <c r="H12" s="31">
        <f>SUM(H5:H11)</f>
        <v/>
      </c>
      <c r="I12" s="31">
        <f>SUM(I5:I11)</f>
        <v/>
      </c>
      <c r="J12" s="31">
        <f>SUM(J5:J11)</f>
        <v/>
      </c>
      <c r="K12" s="31">
        <f>SUM(K5:K11)</f>
        <v/>
      </c>
      <c r="L12" s="31">
        <f>SUM(L5:L11)</f>
        <v/>
      </c>
      <c r="M12" s="31">
        <f>SUM(M5:M11)</f>
        <v/>
      </c>
      <c r="N12" s="31">
        <f>SUM(N5:N11)</f>
        <v/>
      </c>
      <c r="O12" s="31">
        <f>SUM(O5:O11)</f>
        <v/>
      </c>
      <c r="P12" s="31">
        <f>SUM(P5:P11)</f>
        <v/>
      </c>
      <c r="Q12" s="31">
        <f>SUM(Q5:Q11)</f>
        <v/>
      </c>
      <c r="R12" s="31">
        <f>SUM(R5:R11)</f>
        <v/>
      </c>
      <c r="S12" s="31">
        <f>SUM(S5:S11)</f>
        <v/>
      </c>
      <c r="T12" s="2" t="n"/>
      <c r="U12" s="2" t="n"/>
    </row>
    <row r="13" ht="15.75" customHeight="1" s="69">
      <c r="A13" s="2" t="n"/>
      <c r="B13" s="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2" t="n"/>
      <c r="U13" s="2" t="n"/>
    </row>
    <row r="14" ht="15.75" customHeight="1" s="69">
      <c r="A14" s="32" t="inlineStr">
        <is>
          <t>Salari e Stipendi</t>
        </is>
      </c>
      <c r="B14" s="2" t="n"/>
      <c r="C14" s="28" t="n"/>
      <c r="D14" s="28">
        <f>'Salari e Stipendi'!J3</f>
        <v/>
      </c>
      <c r="E14" s="28">
        <f>'Salari e Stipendi'!K3</f>
        <v/>
      </c>
      <c r="F14" s="28">
        <f>'Salari e Stipendi'!L3</f>
        <v/>
      </c>
      <c r="G14" s="28">
        <f>'Salari e Stipendi'!M3</f>
        <v/>
      </c>
      <c r="H14" s="28">
        <f>'Salari e Stipendi'!N3</f>
        <v/>
      </c>
      <c r="I14" s="28">
        <f>'Salari e Stipendi'!O3</f>
        <v/>
      </c>
      <c r="J14" s="28">
        <f>'Salari e Stipendi'!P3</f>
        <v/>
      </c>
      <c r="K14" s="28">
        <f>'Salari e Stipendi'!Q3</f>
        <v/>
      </c>
      <c r="L14" s="28">
        <f>'Salari e Stipendi'!R3</f>
        <v/>
      </c>
      <c r="M14" s="28">
        <f>'Salari e Stipendi'!S3</f>
        <v/>
      </c>
      <c r="N14" s="28">
        <f>'Salari e Stipendi'!T3</f>
        <v/>
      </c>
      <c r="O14" s="28">
        <f>'Salari e Stipendi'!U3</f>
        <v/>
      </c>
      <c r="P14" s="28">
        <f>'Salari e Stipendi'!V3</f>
        <v/>
      </c>
      <c r="Q14" s="28">
        <f>'Salari e Stipendi'!W3</f>
        <v/>
      </c>
      <c r="R14" s="28">
        <f>'Salari e Stipendi'!X3</f>
        <v/>
      </c>
      <c r="S14" s="28">
        <f>'Salari e Stipendi'!Y3</f>
        <v/>
      </c>
      <c r="T14" s="2" t="n"/>
      <c r="U14" s="2" t="n"/>
    </row>
    <row r="15" ht="15.75" customHeight="1" s="69">
      <c r="A15" s="33" t="inlineStr">
        <is>
          <t>Utenze</t>
        </is>
      </c>
      <c r="B15" s="2" t="n"/>
      <c r="C15" s="28" t="n"/>
      <c r="D15" s="28">
        <f>Utenze!J3</f>
        <v/>
      </c>
      <c r="E15" s="28">
        <f>Utenze!K3</f>
        <v/>
      </c>
      <c r="F15" s="28">
        <f>Utenze!L3</f>
        <v/>
      </c>
      <c r="G15" s="28">
        <f>Utenze!M3</f>
        <v/>
      </c>
      <c r="H15" s="28">
        <f>Utenze!N3</f>
        <v/>
      </c>
      <c r="I15" s="28">
        <f>Utenze!O3</f>
        <v/>
      </c>
      <c r="J15" s="28">
        <f>Utenze!P3</f>
        <v/>
      </c>
      <c r="K15" s="28">
        <f>Utenze!Q3</f>
        <v/>
      </c>
      <c r="L15" s="28">
        <f>Utenze!R3</f>
        <v/>
      </c>
      <c r="M15" s="28">
        <f>Utenze!S3</f>
        <v/>
      </c>
      <c r="N15" s="28">
        <f>Utenze!T3</f>
        <v/>
      </c>
      <c r="O15" s="28">
        <f>Utenze!U3</f>
        <v/>
      </c>
      <c r="P15" s="28">
        <f>Utenze!V3</f>
        <v/>
      </c>
      <c r="Q15" s="28">
        <f>Utenze!W3</f>
        <v/>
      </c>
      <c r="R15" s="28">
        <f>Utenze!X3</f>
        <v/>
      </c>
      <c r="S15" s="28">
        <f>Utenze!Y3</f>
        <v/>
      </c>
      <c r="T15" s="2" t="n"/>
      <c r="U15" s="2" t="n"/>
    </row>
    <row r="16" ht="15.75" customHeight="1" s="69">
      <c r="A16" s="32" t="inlineStr">
        <is>
          <t>Materie Prime/Consumo</t>
        </is>
      </c>
      <c r="B16" s="2" t="n"/>
      <c r="C16" s="28" t="n"/>
      <c r="D16" s="28">
        <f>'Materie Prime-Conumo '!J3</f>
        <v/>
      </c>
      <c r="E16" s="28">
        <f>'Materie Prime-Conumo '!K3</f>
        <v/>
      </c>
      <c r="F16" s="28">
        <f>'Materie Prime-Conumo '!L3</f>
        <v/>
      </c>
      <c r="G16" s="28">
        <f>'Materie Prime-Conumo '!M3</f>
        <v/>
      </c>
      <c r="H16" s="28">
        <f>'Materie Prime-Conumo '!N3</f>
        <v/>
      </c>
      <c r="I16" s="28">
        <f>'Materie Prime-Conumo '!O3</f>
        <v/>
      </c>
      <c r="J16" s="28">
        <f>'Materie Prime-Conumo '!P3</f>
        <v/>
      </c>
      <c r="K16" s="28">
        <f>'Materie Prime-Conumo '!Q3</f>
        <v/>
      </c>
      <c r="L16" s="28">
        <f>'Materie Prime-Conumo '!R3</f>
        <v/>
      </c>
      <c r="M16" s="28">
        <f>'Materie Prime-Conumo '!S3</f>
        <v/>
      </c>
      <c r="N16" s="28">
        <f>'Materie Prime-Conumo '!T3</f>
        <v/>
      </c>
      <c r="O16" s="28">
        <f>'Materie Prime-Conumo '!U3</f>
        <v/>
      </c>
      <c r="P16" s="28">
        <f>'Materie Prime-Conumo '!V3</f>
        <v/>
      </c>
      <c r="Q16" s="28">
        <f>'Materie Prime-Conumo '!W3</f>
        <v/>
      </c>
      <c r="R16" s="28">
        <f>'Materie Prime-Conumo '!X3</f>
        <v/>
      </c>
      <c r="S16" s="28">
        <f>'Materie Prime-Conumo '!Y3</f>
        <v/>
      </c>
      <c r="T16" s="2" t="n"/>
      <c r="U16" s="2" t="n"/>
    </row>
    <row r="17" ht="15.75" customHeight="1" s="69">
      <c r="A17" s="34" t="inlineStr">
        <is>
          <t>Tasse e Imposte</t>
        </is>
      </c>
      <c r="B17" s="2" t="n"/>
      <c r="C17" s="28" t="n"/>
      <c r="D17" s="59">
        <f>'Tasse e Imposte'!J3</f>
        <v/>
      </c>
      <c r="E17" s="28">
        <f>'Tasse e Imposte'!K3</f>
        <v/>
      </c>
      <c r="F17" s="28">
        <f>'Tasse e Imposte'!L3</f>
        <v/>
      </c>
      <c r="G17" s="28">
        <f>'Tasse e Imposte'!M3</f>
        <v/>
      </c>
      <c r="H17" s="28">
        <f>'Tasse e Imposte'!N3</f>
        <v/>
      </c>
      <c r="I17" s="28">
        <f>'Tasse e Imposte'!O3</f>
        <v/>
      </c>
      <c r="J17" s="28">
        <f>'Tasse e Imposte'!P3</f>
        <v/>
      </c>
      <c r="K17" s="28">
        <f>'Tasse e Imposte'!Q3</f>
        <v/>
      </c>
      <c r="L17" s="28">
        <f>'Tasse e Imposte'!R3</f>
        <v/>
      </c>
      <c r="M17" s="28">
        <f>'Tasse e Imposte'!S3</f>
        <v/>
      </c>
      <c r="N17" s="28">
        <f>'Tasse e Imposte'!T3</f>
        <v/>
      </c>
      <c r="O17" s="28">
        <f>'Tasse e Imposte'!U3</f>
        <v/>
      </c>
      <c r="P17" s="28">
        <f>'Tasse e Imposte'!V3</f>
        <v/>
      </c>
      <c r="Q17" s="28">
        <f>'Tasse e Imposte'!W3</f>
        <v/>
      </c>
      <c r="R17" s="28">
        <f>'Tasse e Imposte'!X3</f>
        <v/>
      </c>
      <c r="S17" s="28">
        <f>'Tasse e Imposte'!Y3</f>
        <v/>
      </c>
      <c r="T17" s="2" t="n"/>
      <c r="U17" s="2" t="n"/>
    </row>
    <row r="18" ht="15.75" customHeight="1" s="69">
      <c r="A18" s="32" t="inlineStr">
        <is>
          <t>Mutui e Finaziamenti</t>
        </is>
      </c>
      <c r="B18" s="2" t="n"/>
      <c r="C18" s="28" t="n"/>
      <c r="D18" s="28">
        <f>'Mutui e Finaziamenti'!J3</f>
        <v/>
      </c>
      <c r="E18" s="28">
        <f>'Mutui e Finaziamenti'!K3</f>
        <v/>
      </c>
      <c r="F18" s="28">
        <f>'Mutui e Finaziamenti'!L3</f>
        <v/>
      </c>
      <c r="G18" s="28">
        <f>'Mutui e Finaziamenti'!M3</f>
        <v/>
      </c>
      <c r="H18" s="28">
        <f>'Mutui e Finaziamenti'!N3</f>
        <v/>
      </c>
      <c r="I18" s="28">
        <f>'Mutui e Finaziamenti'!O3</f>
        <v/>
      </c>
      <c r="J18" s="28">
        <f>'Mutui e Finaziamenti'!P3</f>
        <v/>
      </c>
      <c r="K18" s="28">
        <f>'Mutui e Finaziamenti'!Q3</f>
        <v/>
      </c>
      <c r="L18" s="28">
        <f>'Mutui e Finaziamenti'!R3</f>
        <v/>
      </c>
      <c r="M18" s="28">
        <f>'Mutui e Finaziamenti'!S3</f>
        <v/>
      </c>
      <c r="N18" s="28">
        <f>'Mutui e Finaziamenti'!T3</f>
        <v/>
      </c>
      <c r="O18" s="28">
        <f>'Mutui e Finaziamenti'!U3</f>
        <v/>
      </c>
      <c r="P18" s="28">
        <f>'Mutui e Finaziamenti'!V3</f>
        <v/>
      </c>
      <c r="Q18" s="28">
        <f>'Mutui e Finaziamenti'!W3</f>
        <v/>
      </c>
      <c r="R18" s="28">
        <f>'Mutui e Finaziamenti'!X3</f>
        <v/>
      </c>
      <c r="S18" s="28">
        <f>'Mutui e Finaziamenti'!Y3</f>
        <v/>
      </c>
      <c r="T18" s="2" t="n"/>
      <c r="U18" s="2" t="n"/>
    </row>
    <row r="19" ht="15.75" customHeight="1" s="69">
      <c r="A19" s="32" t="inlineStr">
        <is>
          <t>Consulenze</t>
        </is>
      </c>
      <c r="B19" s="2" t="n"/>
      <c r="C19" s="28" t="n"/>
      <c r="D19" s="28">
        <f>Consulenze!J3</f>
        <v/>
      </c>
      <c r="E19" s="28">
        <f>Consulenze!K3</f>
        <v/>
      </c>
      <c r="F19" s="28">
        <f>Consulenze!L3</f>
        <v/>
      </c>
      <c r="G19" s="28">
        <f>Consulenze!M3</f>
        <v/>
      </c>
      <c r="H19" s="28">
        <f>Consulenze!N3</f>
        <v/>
      </c>
      <c r="I19" s="28">
        <f>Consulenze!O3</f>
        <v/>
      </c>
      <c r="J19" s="28">
        <f>Consulenze!P3</f>
        <v/>
      </c>
      <c r="K19" s="28">
        <f>Consulenze!Q3</f>
        <v/>
      </c>
      <c r="L19" s="28">
        <f>Consulenze!R3</f>
        <v/>
      </c>
      <c r="M19" s="28">
        <f>Consulenze!S3</f>
        <v/>
      </c>
      <c r="N19" s="28">
        <f>Consulenze!T3</f>
        <v/>
      </c>
      <c r="O19" s="28">
        <f>Consulenze!U3</f>
        <v/>
      </c>
      <c r="P19" s="28">
        <f>Consulenze!V3</f>
        <v/>
      </c>
      <c r="Q19" s="28">
        <f>Consulenze!W3</f>
        <v/>
      </c>
      <c r="R19" s="28">
        <f>Consulenze!X3</f>
        <v/>
      </c>
      <c r="S19" s="28">
        <f>Consulenze!Y3</f>
        <v/>
      </c>
      <c r="T19" s="2" t="n"/>
      <c r="U19" s="2" t="n"/>
    </row>
    <row r="20" ht="15.75" customHeight="1" s="69">
      <c r="A20" s="32" t="inlineStr">
        <is>
          <t>Godimento Benidi Terzi</t>
        </is>
      </c>
      <c r="B20" s="2" t="n"/>
      <c r="C20" s="28" t="n"/>
      <c r="D20" s="28">
        <f>'Godimento Beni di Terzi'!J3</f>
        <v/>
      </c>
      <c r="E20" s="28">
        <f>'Godimento Beni di Terzi'!K3</f>
        <v/>
      </c>
      <c r="F20" s="28">
        <f>'Godimento Beni di Terzi'!L3</f>
        <v/>
      </c>
      <c r="G20" s="28">
        <f>'Godimento Beni di Terzi'!M3</f>
        <v/>
      </c>
      <c r="H20" s="28">
        <f>'Godimento Beni di Terzi'!N3</f>
        <v/>
      </c>
      <c r="I20" s="28">
        <f>'Godimento Beni di Terzi'!O3</f>
        <v/>
      </c>
      <c r="J20" s="28">
        <f>'Godimento Beni di Terzi'!P3</f>
        <v/>
      </c>
      <c r="K20" s="28">
        <f>'Godimento Beni di Terzi'!Q3</f>
        <v/>
      </c>
      <c r="L20" s="28">
        <f>'Godimento Beni di Terzi'!R3</f>
        <v/>
      </c>
      <c r="M20" s="28">
        <f>'Godimento Beni di Terzi'!S3</f>
        <v/>
      </c>
      <c r="N20" s="28">
        <f>'Godimento Beni di Terzi'!T3</f>
        <v/>
      </c>
      <c r="O20" s="28">
        <f>'Godimento Beni di Terzi'!U3</f>
        <v/>
      </c>
      <c r="P20" s="28">
        <f>'Godimento Beni di Terzi'!V3</f>
        <v/>
      </c>
      <c r="Q20" s="28">
        <f>'Godimento Beni di Terzi'!W3</f>
        <v/>
      </c>
      <c r="R20" s="28">
        <f>'Godimento Beni di Terzi'!X3</f>
        <v/>
      </c>
      <c r="S20" s="28">
        <f>'Godimento Beni di Terzi'!Y3</f>
        <v/>
      </c>
      <c r="T20" s="2" t="n"/>
      <c r="U20" s="2" t="n"/>
    </row>
    <row r="21" ht="15.75" customHeight="1" s="69">
      <c r="A21" s="34" t="inlineStr">
        <is>
          <t>Varie ed Eventuali</t>
        </is>
      </c>
      <c r="B21" s="2" t="n"/>
      <c r="C21" s="28" t="n"/>
      <c r="D21" s="28">
        <f>' Varie ed Eventuali'!J3</f>
        <v/>
      </c>
      <c r="E21" s="28">
        <f>' Varie ed Eventuali'!K3</f>
        <v/>
      </c>
      <c r="F21" s="28">
        <f>' Varie ed Eventuali'!L3</f>
        <v/>
      </c>
      <c r="G21" s="28">
        <f>' Varie ed Eventuali'!M3</f>
        <v/>
      </c>
      <c r="H21" s="28">
        <f>' Varie ed Eventuali'!N3</f>
        <v/>
      </c>
      <c r="I21" s="28">
        <f>' Varie ed Eventuali'!O3</f>
        <v/>
      </c>
      <c r="J21" s="28">
        <f>' Varie ed Eventuali'!P3</f>
        <v/>
      </c>
      <c r="K21" s="28">
        <f>' Varie ed Eventuali'!Q3</f>
        <v/>
      </c>
      <c r="L21" s="28">
        <f>' Varie ed Eventuali'!R3</f>
        <v/>
      </c>
      <c r="M21" s="28">
        <f>' Varie ed Eventuali'!S3</f>
        <v/>
      </c>
      <c r="N21" s="28">
        <f>' Varie ed Eventuali'!T3</f>
        <v/>
      </c>
      <c r="O21" s="28">
        <f>' Varie ed Eventuali'!U3</f>
        <v/>
      </c>
      <c r="P21" s="28">
        <f>' Varie ed Eventuali'!V3</f>
        <v/>
      </c>
      <c r="Q21" s="28">
        <f>' Varie ed Eventuali'!W3</f>
        <v/>
      </c>
      <c r="R21" s="28">
        <f>' Varie ed Eventuali'!X3</f>
        <v/>
      </c>
      <c r="S21" s="28">
        <f>' Varie ed Eventuali'!Y3</f>
        <v/>
      </c>
      <c r="T21" s="2" t="n"/>
      <c r="U21" s="2" t="n"/>
    </row>
    <row r="22" ht="15.75" customHeight="1" s="69">
      <c r="A22" s="80" t="inlineStr">
        <is>
          <t>Canoni e servizi</t>
        </is>
      </c>
      <c r="B22" s="2" t="n"/>
      <c r="C22" s="28" t="n"/>
      <c r="D22" s="28">
        <f>'Canoni e servizi'!J3</f>
        <v/>
      </c>
      <c r="E22" s="28">
        <f>'Canoni e servizi'!K3</f>
        <v/>
      </c>
      <c r="F22" s="28">
        <f>'Canoni e servizi'!L3</f>
        <v/>
      </c>
      <c r="G22" s="28">
        <f>'Canoni e servizi'!M3</f>
        <v/>
      </c>
      <c r="H22" s="28">
        <f>'Canoni e servizi'!N3</f>
        <v/>
      </c>
      <c r="I22" s="28">
        <f>'Canoni e servizi'!O3</f>
        <v/>
      </c>
      <c r="J22" s="28">
        <f>'Canoni e servizi'!P3</f>
        <v/>
      </c>
      <c r="K22" s="28">
        <f>'Canoni e servizi'!Q3</f>
        <v/>
      </c>
      <c r="L22" s="28">
        <f>'Canoni e servizi'!R3</f>
        <v/>
      </c>
      <c r="M22" s="28">
        <f>'Canoni e servizi'!S3</f>
        <v/>
      </c>
      <c r="N22" s="28">
        <f>'Canoni e servizi'!T3</f>
        <v/>
      </c>
      <c r="O22" s="28">
        <f>'Canoni e servizi'!U3</f>
        <v/>
      </c>
      <c r="P22" s="28">
        <f>'Canoni e servizi'!V3</f>
        <v/>
      </c>
      <c r="Q22" s="28">
        <f>'Canoni e servizi'!W3</f>
        <v/>
      </c>
      <c r="R22" s="28">
        <f>'Canoni e servizi'!X3</f>
        <v/>
      </c>
      <c r="S22" s="28">
        <f>'Canoni e servizi'!Y3</f>
        <v/>
      </c>
      <c r="T22" s="2" t="n"/>
      <c r="U22" s="2" t="n"/>
    </row>
    <row r="23" ht="15.75" customHeight="1" s="69">
      <c r="A23" s="35" t="inlineStr">
        <is>
          <t>Caparre da girocantare aOrti</t>
        </is>
      </c>
      <c r="B23" s="2" t="n"/>
      <c r="C23" s="36">
        <f>Nota!B4</f>
        <v/>
      </c>
      <c r="D23" s="28" t="n">
        <v>0</v>
      </c>
      <c r="E23" s="28" t="n">
        <v>0</v>
      </c>
      <c r="F23" s="28" t="n">
        <v>0</v>
      </c>
      <c r="G23" s="28" t="n">
        <v>0</v>
      </c>
      <c r="H23" s="28" t="n">
        <v>0</v>
      </c>
      <c r="I23" s="28" t="n">
        <v>0</v>
      </c>
      <c r="J23" s="28" t="n">
        <v>0</v>
      </c>
      <c r="K23" s="28" t="n">
        <v>0</v>
      </c>
      <c r="L23" s="28" t="n">
        <v>0</v>
      </c>
      <c r="M23" s="28" t="n">
        <v>0</v>
      </c>
      <c r="N23" s="28" t="n"/>
      <c r="O23" s="28" t="n"/>
      <c r="P23" s="28" t="n"/>
      <c r="Q23" s="28" t="n"/>
      <c r="R23" s="28" t="n"/>
      <c r="S23" s="28" t="n"/>
      <c r="T23" s="2" t="n"/>
      <c r="U23" s="2" t="n"/>
    </row>
    <row r="24" ht="15.75" customHeight="1" s="69">
      <c r="A24" s="80" t="n"/>
      <c r="B24" s="37" t="n"/>
      <c r="C24" s="3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" t="n"/>
      <c r="U24" s="2" t="n"/>
    </row>
    <row r="25" ht="15.75" customHeight="1" s="69">
      <c r="A25" s="2" t="n"/>
      <c r="B25" s="2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" t="n"/>
      <c r="U25" s="2" t="n"/>
    </row>
    <row r="26" ht="15.75" customHeight="1" s="69">
      <c r="A26" s="21" t="n"/>
      <c r="B26" s="15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2" t="n"/>
      <c r="U26" s="2" t="n"/>
    </row>
    <row r="27" ht="15.75" customHeight="1" s="69">
      <c r="A27" s="40" t="inlineStr">
        <is>
          <t xml:space="preserve">TOTALE USCITE </t>
        </is>
      </c>
      <c r="B27" s="41" t="n"/>
      <c r="C27" s="41" t="n"/>
      <c r="D27" s="41">
        <f>SUM(D14:D26)</f>
        <v/>
      </c>
      <c r="E27" s="41">
        <f>SUM(E14:E26)</f>
        <v/>
      </c>
      <c r="F27" s="41">
        <f>SUM(F14:F26)</f>
        <v/>
      </c>
      <c r="G27" s="41">
        <f>SUM(G14:G26)</f>
        <v/>
      </c>
      <c r="H27" s="41">
        <f>SUM(H14:H26)</f>
        <v/>
      </c>
      <c r="I27" s="41">
        <f>SUM(I14:I26)</f>
        <v/>
      </c>
      <c r="J27" s="41">
        <f>SUM(J14:J26)</f>
        <v/>
      </c>
      <c r="K27" s="41">
        <f>SUM(K14:K26)</f>
        <v/>
      </c>
      <c r="L27" s="41">
        <f>SUM(L14:L26)</f>
        <v/>
      </c>
      <c r="M27" s="41">
        <f>SUM(M14:M26)</f>
        <v/>
      </c>
      <c r="N27" s="41">
        <f>SUM(N14:N26)</f>
        <v/>
      </c>
      <c r="O27" s="41">
        <f>SUM(O14:O26)</f>
        <v/>
      </c>
      <c r="P27" s="41">
        <f>SUM(P14:P26)</f>
        <v/>
      </c>
      <c r="Q27" s="41">
        <f>SUM(Q14:Q26)</f>
        <v/>
      </c>
      <c r="R27" s="41">
        <f>SUM(R14:R26)</f>
        <v/>
      </c>
      <c r="S27" s="41">
        <f>SUM(S14:S26)</f>
        <v/>
      </c>
      <c r="T27" s="2" t="n"/>
      <c r="U27" s="2" t="n"/>
    </row>
    <row r="28" ht="15.75" customHeight="1" s="69">
      <c r="A28" s="2" t="n"/>
      <c r="B28" s="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2" t="n"/>
      <c r="U28" s="2" t="n"/>
    </row>
    <row r="29" ht="15.75" customHeight="1" s="69">
      <c r="A29" s="42" t="inlineStr">
        <is>
          <t>CASH FLOW</t>
        </is>
      </c>
      <c r="B29" s="43" t="n"/>
      <c r="C29" s="43">
        <f>C12-C27</f>
        <v/>
      </c>
      <c r="D29" s="43">
        <f>D12-D27</f>
        <v/>
      </c>
      <c r="E29" s="43">
        <f>E12-E27</f>
        <v/>
      </c>
      <c r="F29" s="43">
        <f>F12-F27</f>
        <v/>
      </c>
      <c r="G29" s="43">
        <f>G12-G27</f>
        <v/>
      </c>
      <c r="H29" s="43">
        <f>H12-H27</f>
        <v/>
      </c>
      <c r="I29" s="43">
        <f>I12-I27</f>
        <v/>
      </c>
      <c r="J29" s="43">
        <f>J12-J27</f>
        <v/>
      </c>
      <c r="K29" s="43">
        <f>K12-K27</f>
        <v/>
      </c>
      <c r="L29" s="43">
        <f>L12-L27</f>
        <v/>
      </c>
      <c r="M29" s="43">
        <f>M12-M27</f>
        <v/>
      </c>
      <c r="N29" s="43">
        <f>N12-N27</f>
        <v/>
      </c>
      <c r="O29" s="43">
        <f>O12-O27</f>
        <v/>
      </c>
      <c r="P29" s="43">
        <f>P12-P27</f>
        <v/>
      </c>
      <c r="Q29" s="43">
        <f>Q12-Q27</f>
        <v/>
      </c>
      <c r="R29" s="43">
        <f>R12-R27</f>
        <v/>
      </c>
      <c r="S29" s="43">
        <f>S12-S27</f>
        <v/>
      </c>
      <c r="T29" s="2" t="n"/>
      <c r="U29" s="2" t="n"/>
    </row>
    <row r="30" ht="15.75" customHeight="1" s="69">
      <c r="A30" s="2" t="n"/>
      <c r="B30" s="2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2" t="n"/>
      <c r="U30" s="2" t="n"/>
    </row>
    <row r="31" ht="15.75" customHeight="1" s="69">
      <c r="A31" s="2" t="inlineStr">
        <is>
          <t>Saldo Banca Sella</t>
        </is>
      </c>
      <c r="B31" s="2" t="n"/>
      <c r="C31" s="44" t="n">
        <v>42651.06</v>
      </c>
      <c r="D31" s="59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" t="n"/>
      <c r="U31" s="2" t="n"/>
    </row>
    <row r="32" ht="15.75" customHeight="1" s="69">
      <c r="A32" s="2" t="inlineStr">
        <is>
          <t>Saldo MPS</t>
        </is>
      </c>
      <c r="B32" s="2" t="n"/>
      <c r="C32" s="44" t="n">
        <v>166377.42</v>
      </c>
      <c r="D32" s="59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" t="n"/>
      <c r="U32" s="2" t="n"/>
    </row>
    <row r="33" ht="15.75" customHeight="1" s="69">
      <c r="A33" s="2" t="inlineStr">
        <is>
          <t>Saldo Intesa</t>
        </is>
      </c>
      <c r="B33" s="2" t="n"/>
      <c r="C33" s="44" t="n">
        <v>3093.86</v>
      </c>
      <c r="D33" s="59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" t="n"/>
      <c r="U33" s="2" t="n"/>
    </row>
    <row r="34" ht="15.75" customHeight="1" s="69">
      <c r="A34" s="2" t="n"/>
      <c r="B34" s="2" t="n"/>
      <c r="C34" s="45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  <c r="M34" s="46" t="n"/>
      <c r="N34" s="46" t="n"/>
      <c r="O34" s="46" t="n"/>
      <c r="P34" s="46" t="n"/>
      <c r="Q34" s="46" t="n"/>
      <c r="R34" s="46" t="n"/>
      <c r="S34" s="46" t="n"/>
      <c r="T34" s="2" t="n"/>
      <c r="U34" s="2" t="n"/>
    </row>
    <row r="35" ht="15.75" customHeight="1" s="69">
      <c r="A35" s="48" t="inlineStr">
        <is>
          <t xml:space="preserve">TOTALE BANCHE </t>
        </is>
      </c>
      <c r="B35" s="49" t="n"/>
      <c r="C35" s="49">
        <f>SUM(C31:C34)</f>
        <v/>
      </c>
      <c r="D35" s="49">
        <f>SUM(D31:D34)</f>
        <v/>
      </c>
      <c r="E35" s="49">
        <f>SUM(E31:E34)</f>
        <v/>
      </c>
      <c r="F35" s="49">
        <f>SUM(F31:F34)</f>
        <v/>
      </c>
      <c r="G35" s="49">
        <f>SUM(G31:G34)</f>
        <v/>
      </c>
      <c r="H35" s="49">
        <f>SUM(H31:H34)</f>
        <v/>
      </c>
      <c r="I35" s="49">
        <f>SUM(I31:I34)</f>
        <v/>
      </c>
      <c r="J35" s="49">
        <f>SUM(J31:J34)</f>
        <v/>
      </c>
      <c r="K35" s="49">
        <f>SUM(K31:K34)</f>
        <v/>
      </c>
      <c r="L35" s="49">
        <f>SUM(L31:L34)</f>
        <v/>
      </c>
      <c r="M35" s="49">
        <f>SUM(M31:M34)</f>
        <v/>
      </c>
      <c r="N35" s="49">
        <f>SUM(N31:N34)</f>
        <v/>
      </c>
      <c r="O35" s="49">
        <f>SUM(O31:O34)</f>
        <v/>
      </c>
      <c r="P35" s="49">
        <f>SUM(P31:P34)</f>
        <v/>
      </c>
      <c r="Q35" s="49">
        <f>SUM(Q31:Q34)</f>
        <v/>
      </c>
      <c r="R35" s="49">
        <f>SUM(R31:R34)</f>
        <v/>
      </c>
      <c r="S35" s="49">
        <f>SUM(S31:S34)</f>
        <v/>
      </c>
      <c r="T35" s="2" t="n"/>
      <c r="U35" s="2" t="n"/>
    </row>
    <row r="36" ht="15.75" customHeight="1" s="69">
      <c r="A36" s="2" t="n"/>
      <c r="B36" s="2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2" t="n"/>
      <c r="U36" s="2" t="n"/>
    </row>
    <row r="37" ht="15.75" customHeight="1" s="69">
      <c r="A37" s="13" t="n"/>
      <c r="B37" s="2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2" t="n"/>
      <c r="U37" s="2" t="n"/>
    </row>
    <row r="38" ht="15.75" customHeight="1" s="69">
      <c r="A38" s="50" t="inlineStr">
        <is>
          <t xml:space="preserve">Saldo di Periodo/Proiettato </t>
        </is>
      </c>
      <c r="B38" s="51" t="n"/>
      <c r="C38" s="43">
        <f>C35</f>
        <v/>
      </c>
      <c r="D38" s="43">
        <f>D3+(D29+D35)</f>
        <v/>
      </c>
      <c r="E38" s="43">
        <f>E3+(E29+E35)</f>
        <v/>
      </c>
      <c r="F38" s="43">
        <f>F3+(F29+F35)</f>
        <v/>
      </c>
      <c r="G38" s="43">
        <f>G3+(G29+G35)</f>
        <v/>
      </c>
      <c r="H38" s="43">
        <f>H3+(H29+H35)</f>
        <v/>
      </c>
      <c r="I38" s="43">
        <f>I3+(I29+I35)</f>
        <v/>
      </c>
      <c r="J38" s="43">
        <f>J3+(J29+J35)</f>
        <v/>
      </c>
      <c r="K38" s="43">
        <f>K3+(K29+K35)</f>
        <v/>
      </c>
      <c r="L38" s="43">
        <f>L3+(L29+L35)</f>
        <v/>
      </c>
      <c r="M38" s="43">
        <f>M3+(M29+M35)</f>
        <v/>
      </c>
      <c r="N38" s="43">
        <f>N3+(N29+N35)</f>
        <v/>
      </c>
      <c r="O38" s="43">
        <f>O3+(O29+O35)</f>
        <v/>
      </c>
      <c r="P38" s="43">
        <f>P3+(P29+P35)</f>
        <v/>
      </c>
      <c r="Q38" s="43">
        <f>Q3+(Q29+Q35)</f>
        <v/>
      </c>
      <c r="R38" s="43">
        <f>R3+(R29+R35)</f>
        <v/>
      </c>
      <c r="S38" s="43">
        <f>S3+(S29+S35)</f>
        <v/>
      </c>
      <c r="T38" s="2" t="n"/>
      <c r="U38" s="2" t="n"/>
    </row>
    <row r="39" ht="15.75" customHeight="1" s="69">
      <c r="A39" s="13" t="n"/>
      <c r="B39" s="2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2" t="n"/>
      <c r="U39" s="2" t="n"/>
    </row>
    <row r="40" ht="15.75" customHeight="1" s="69">
      <c r="A40" s="2" t="inlineStr">
        <is>
          <t xml:space="preserve">Affidamento Sella </t>
        </is>
      </c>
      <c r="B40" s="2" t="n"/>
      <c r="C40" s="28" t="n">
        <v>150000</v>
      </c>
      <c r="D40" s="28" t="n">
        <v>150000</v>
      </c>
      <c r="E40" s="28" t="n">
        <v>150000</v>
      </c>
      <c r="F40" s="28" t="n">
        <v>150000</v>
      </c>
      <c r="G40" s="28" t="n">
        <v>150000</v>
      </c>
      <c r="H40" s="28" t="n">
        <v>150000</v>
      </c>
      <c r="I40" s="28" t="n">
        <v>150000</v>
      </c>
      <c r="J40" s="28" t="n">
        <v>150000</v>
      </c>
      <c r="K40" s="28" t="n">
        <v>100000</v>
      </c>
      <c r="L40" s="28" t="n">
        <v>100000</v>
      </c>
      <c r="M40" s="28" t="n">
        <v>100000</v>
      </c>
      <c r="N40" s="28" t="n"/>
      <c r="O40" s="28" t="n"/>
      <c r="P40" s="28" t="n"/>
      <c r="Q40" s="28" t="n"/>
      <c r="R40" s="28" t="n"/>
      <c r="S40" s="28" t="n"/>
      <c r="T40" s="2" t="n"/>
      <c r="U40" s="2" t="n"/>
    </row>
    <row r="41" hidden="1" ht="15.75" customHeight="1" s="69">
      <c r="A41" s="2" t="n"/>
      <c r="B41" s="2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" t="n"/>
      <c r="U41" s="2" t="n"/>
    </row>
    <row r="42" hidden="1" ht="15.75" customHeight="1" s="69">
      <c r="A42" s="2" t="n"/>
      <c r="B42" s="2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" t="n"/>
      <c r="U42" s="2" t="n"/>
    </row>
    <row r="43" hidden="1" ht="15.75" customHeight="1" s="69">
      <c r="A43" s="2" t="n"/>
      <c r="B43" s="2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" t="n"/>
      <c r="U43" s="2" t="n"/>
    </row>
    <row r="44" ht="15.75" customHeight="1" s="69">
      <c r="A44" s="52" t="inlineStr">
        <is>
          <t xml:space="preserve">TOTALE AFFIDAMENTI  </t>
        </is>
      </c>
      <c r="B44" s="53" t="n"/>
      <c r="C44" s="53">
        <f>SUM(C40:C43)</f>
        <v/>
      </c>
      <c r="D44" s="53">
        <f>SUM(D40:D43)</f>
        <v/>
      </c>
      <c r="E44" s="53">
        <f>SUM(E40:E43)</f>
        <v/>
      </c>
      <c r="F44" s="53">
        <f>SUM(F40:F43)</f>
        <v/>
      </c>
      <c r="G44" s="53">
        <f>SUM(G40:G43)</f>
        <v/>
      </c>
      <c r="H44" s="53">
        <f>SUM(H40:H43)</f>
        <v/>
      </c>
      <c r="I44" s="53">
        <f>SUM(I40:I43)</f>
        <v/>
      </c>
      <c r="J44" s="53">
        <f>SUM(J40:J43)</f>
        <v/>
      </c>
      <c r="K44" s="53">
        <f>SUM(K40:K43)</f>
        <v/>
      </c>
      <c r="L44" s="53">
        <f>SUM(L40:L43)</f>
        <v/>
      </c>
      <c r="M44" s="53">
        <f>SUM(M40:M43)</f>
        <v/>
      </c>
      <c r="N44" s="53">
        <f>SUM(N40:N43)</f>
        <v/>
      </c>
      <c r="O44" s="53">
        <f>SUM(O40:O43)</f>
        <v/>
      </c>
      <c r="P44" s="53">
        <f>SUM(P40:P43)</f>
        <v/>
      </c>
      <c r="Q44" s="53">
        <f>SUM(Q40:Q43)</f>
        <v/>
      </c>
      <c r="R44" s="53">
        <f>SUM(R40:R43)</f>
        <v/>
      </c>
      <c r="S44" s="53">
        <f>SUM(S40:S43)</f>
        <v/>
      </c>
      <c r="T44" s="2" t="n"/>
      <c r="U44" s="2" t="n"/>
    </row>
    <row r="45" ht="15.75" customHeight="1" s="69">
      <c r="A45" s="2" t="n"/>
      <c r="B45" s="2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2" t="n"/>
      <c r="U45" s="2" t="n"/>
    </row>
    <row r="46" ht="15.75" customHeight="1" s="69">
      <c r="A46" s="50" t="inlineStr">
        <is>
          <t>CASH FLOW CON AFFID.</t>
        </is>
      </c>
      <c r="B46" s="51" t="n"/>
      <c r="C46" s="43">
        <f>C38+C44</f>
        <v/>
      </c>
      <c r="D46" s="43">
        <f>D38+D44</f>
        <v/>
      </c>
      <c r="E46" s="43">
        <f>E38+E44</f>
        <v/>
      </c>
      <c r="F46" s="43">
        <f>F38+F44</f>
        <v/>
      </c>
      <c r="G46" s="43">
        <f>G38+G44</f>
        <v/>
      </c>
      <c r="H46" s="43">
        <f>H38+H44</f>
        <v/>
      </c>
      <c r="I46" s="43">
        <f>I38+I44</f>
        <v/>
      </c>
      <c r="J46" s="43">
        <f>J38+J44</f>
        <v/>
      </c>
      <c r="K46" s="43">
        <f>K38+K44</f>
        <v/>
      </c>
      <c r="L46" s="43">
        <f>L38+L44</f>
        <v/>
      </c>
      <c r="M46" s="43">
        <f>M38+M44</f>
        <v/>
      </c>
      <c r="N46" s="43">
        <f>N38+N44</f>
        <v/>
      </c>
      <c r="O46" s="43">
        <f>O38+O44</f>
        <v/>
      </c>
      <c r="P46" s="43">
        <f>P38+P44</f>
        <v/>
      </c>
      <c r="Q46" s="43">
        <f>Q38+Q44</f>
        <v/>
      </c>
      <c r="R46" s="43">
        <f>R38+R44</f>
        <v/>
      </c>
      <c r="S46" s="43">
        <f>S38+S44</f>
        <v/>
      </c>
      <c r="T46" s="2" t="n"/>
      <c r="U46" s="2" t="n"/>
    </row>
    <row r="47" ht="15.75" customHeight="1" s="69">
      <c r="A47" s="2" t="n"/>
      <c r="B47" s="2" t="n"/>
      <c r="C47" s="14" t="n"/>
      <c r="D47" s="14" t="n"/>
      <c r="E47" s="14" t="n"/>
      <c r="F47" s="14" t="n"/>
      <c r="G47" s="14" t="n"/>
      <c r="H47" s="14" t="n"/>
      <c r="I47" s="14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</row>
    <row r="48" ht="15.75" customHeight="1" s="69">
      <c r="A48" s="2" t="n"/>
      <c r="B48" s="2" t="n"/>
      <c r="C48" s="14" t="n"/>
      <c r="D48" s="14" t="n"/>
      <c r="E48" s="14" t="n"/>
      <c r="F48" s="14" t="n"/>
      <c r="G48" s="14" t="n"/>
      <c r="H48" s="14" t="n"/>
      <c r="I48" s="14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</row>
    <row r="49" ht="15.75" customHeight="1" s="69">
      <c r="A49" s="2" t="n"/>
      <c r="B49" s="2" t="n"/>
      <c r="C49" s="14" t="n"/>
      <c r="D49" s="14" t="n"/>
      <c r="E49" s="14" t="n"/>
      <c r="F49" s="14" t="n"/>
      <c r="G49" s="14" t="n"/>
      <c r="H49" s="14" t="n"/>
      <c r="I49" s="14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 ht="15.75" customHeight="1" s="69">
      <c r="A50" s="2" t="n"/>
      <c r="B50" s="2" t="n"/>
      <c r="C50" s="14" t="n"/>
      <c r="D50" s="14" t="n"/>
      <c r="E50" s="14" t="n"/>
      <c r="F50" s="14" t="n"/>
      <c r="G50" s="14" t="n"/>
      <c r="H50" s="14" t="n"/>
      <c r="I50" s="14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 ht="15.75" customHeight="1" s="69">
      <c r="A51" s="2" t="n"/>
      <c r="B51" s="2" t="n"/>
      <c r="C51" s="14" t="n"/>
      <c r="D51" s="14" t="n"/>
      <c r="E51" s="14" t="n"/>
      <c r="F51" s="14" t="n"/>
      <c r="G51" s="14" t="n"/>
      <c r="H51" s="14" t="n"/>
      <c r="I51" s="14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</row>
    <row r="52" ht="15.75" customHeight="1" s="69">
      <c r="A52" s="2" t="n"/>
      <c r="B52" s="2" t="n"/>
      <c r="C52" s="14" t="n"/>
      <c r="D52" s="14" t="n"/>
      <c r="E52" s="14" t="n"/>
      <c r="F52" s="14" t="n"/>
      <c r="G52" s="14" t="n"/>
      <c r="H52" s="14" t="n"/>
      <c r="I52" s="14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</row>
    <row r="53" ht="15.75" customHeight="1" s="69">
      <c r="A53" s="2" t="n"/>
      <c r="B53" s="2" t="n"/>
      <c r="C53" s="14" t="n"/>
      <c r="D53" s="14" t="n"/>
      <c r="E53" s="14" t="n"/>
      <c r="F53" s="14" t="n"/>
      <c r="G53" s="14" t="n"/>
      <c r="H53" s="14" t="n"/>
      <c r="I53" s="14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</row>
    <row r="54" ht="15.75" customHeight="1" s="69">
      <c r="A54" s="2" t="n"/>
      <c r="B54" s="2" t="n"/>
      <c r="C54" s="14" t="n"/>
      <c r="D54" s="14" t="n"/>
      <c r="E54" s="14" t="n"/>
      <c r="F54" s="14" t="n"/>
      <c r="G54" s="14" t="n"/>
      <c r="H54" s="14" t="n"/>
      <c r="I54" s="14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</row>
    <row r="55" ht="15.75" customHeight="1" s="69">
      <c r="A55" s="2" t="n"/>
      <c r="B55" s="2" t="n"/>
      <c r="C55" s="14" t="n"/>
      <c r="D55" s="14" t="n"/>
      <c r="E55" s="14" t="n"/>
      <c r="F55" s="14" t="n"/>
      <c r="G55" s="14" t="n"/>
      <c r="H55" s="14" t="n"/>
      <c r="I55" s="14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</row>
    <row r="56" ht="15.75" customHeight="1" s="69">
      <c r="A56" s="2" t="n"/>
      <c r="B56" s="2" t="n"/>
      <c r="C56" s="14" t="n"/>
      <c r="D56" s="14" t="n"/>
      <c r="E56" s="14" t="n"/>
      <c r="F56" s="14" t="n"/>
      <c r="G56" s="14" t="n"/>
      <c r="H56" s="14" t="n"/>
      <c r="I56" s="14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</row>
    <row r="57" ht="15.75" customHeight="1" s="69">
      <c r="A57" s="2" t="n"/>
      <c r="B57" s="2" t="n"/>
      <c r="C57" s="14" t="n"/>
      <c r="D57" s="14" t="n"/>
      <c r="E57" s="14" t="n"/>
      <c r="F57" s="14" t="n"/>
      <c r="G57" s="14" t="n"/>
      <c r="H57" s="14" t="n"/>
      <c r="I57" s="14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</row>
    <row r="58" ht="15.75" customHeight="1" s="69">
      <c r="A58" s="2" t="n"/>
      <c r="B58" s="2" t="n"/>
      <c r="C58" s="14" t="n"/>
      <c r="D58" s="14" t="n"/>
      <c r="E58" s="14" t="n"/>
      <c r="F58" s="14" t="n"/>
      <c r="G58" s="14" t="n"/>
      <c r="H58" s="14" t="n"/>
      <c r="I58" s="14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</row>
    <row r="59" ht="15.75" customHeight="1" s="69">
      <c r="A59" s="2" t="n"/>
      <c r="B59" s="2" t="n"/>
      <c r="C59" s="14" t="n"/>
      <c r="D59" s="14" t="n"/>
      <c r="E59" s="14" t="n"/>
      <c r="F59" s="14" t="n"/>
      <c r="G59" s="14" t="n"/>
      <c r="H59" s="14" t="n"/>
      <c r="I59" s="14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</row>
    <row r="60" ht="15.75" customHeight="1" s="69">
      <c r="A60" s="2" t="n"/>
      <c r="B60" s="2" t="n"/>
      <c r="C60" s="14" t="n"/>
      <c r="D60" s="14" t="n"/>
      <c r="E60" s="14" t="n"/>
      <c r="F60" s="14" t="n"/>
      <c r="G60" s="14" t="n"/>
      <c r="H60" s="14" t="n"/>
      <c r="I60" s="14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</row>
    <row r="61" ht="15.75" customHeight="1" s="69">
      <c r="A61" s="2" t="n"/>
      <c r="B61" s="2" t="n"/>
      <c r="C61" s="14" t="n"/>
      <c r="D61" s="14" t="n"/>
      <c r="E61" s="14" t="n"/>
      <c r="F61" s="14" t="n"/>
      <c r="G61" s="14" t="n"/>
      <c r="H61" s="14" t="n"/>
      <c r="I61" s="14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</row>
    <row r="62" ht="15.75" customHeight="1" s="69">
      <c r="A62" s="2" t="n"/>
      <c r="B62" s="2" t="n"/>
      <c r="C62" s="14" t="n"/>
      <c r="D62" s="14" t="n"/>
      <c r="E62" s="14" t="n"/>
      <c r="F62" s="14" t="n"/>
      <c r="G62" s="14" t="n"/>
      <c r="H62" s="14" t="n"/>
      <c r="I62" s="14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</row>
    <row r="63" ht="15.75" customHeight="1" s="69">
      <c r="A63" s="2" t="n"/>
      <c r="B63" s="2" t="n"/>
      <c r="C63" s="14" t="n"/>
      <c r="D63" s="14" t="n"/>
      <c r="E63" s="14" t="n"/>
      <c r="F63" s="14" t="n"/>
      <c r="G63" s="14" t="n"/>
      <c r="H63" s="14" t="n"/>
      <c r="I63" s="14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 ht="15.75" customHeight="1" s="69">
      <c r="A64" s="2" t="n"/>
      <c r="B64" s="2" t="n"/>
      <c r="C64" s="14" t="n"/>
      <c r="D64" s="14" t="n"/>
      <c r="E64" s="14" t="n"/>
      <c r="F64" s="14" t="n"/>
      <c r="G64" s="14" t="n"/>
      <c r="H64" s="14" t="n"/>
      <c r="I64" s="14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  <row r="65" ht="15.75" customHeight="1" s="69">
      <c r="A65" s="2" t="n"/>
      <c r="B65" s="2" t="n"/>
      <c r="C65" s="14" t="n"/>
      <c r="D65" s="14" t="n"/>
      <c r="E65" s="14" t="n"/>
      <c r="F65" s="14" t="n"/>
      <c r="G65" s="14" t="n"/>
      <c r="H65" s="14" t="n"/>
      <c r="I65" s="14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</row>
    <row r="66" ht="15.75" customHeight="1" s="69">
      <c r="A66" s="2" t="n"/>
      <c r="B66" s="2" t="n"/>
      <c r="C66" s="14" t="n"/>
      <c r="D66" s="14" t="n"/>
      <c r="E66" s="14" t="n"/>
      <c r="F66" s="14" t="n"/>
      <c r="G66" s="14" t="n"/>
      <c r="H66" s="14" t="n"/>
      <c r="I66" s="14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</row>
    <row r="67" ht="15.75" customHeight="1" s="69">
      <c r="A67" s="2" t="n"/>
      <c r="B67" s="2" t="n"/>
      <c r="C67" s="14" t="n"/>
      <c r="D67" s="14" t="n"/>
      <c r="E67" s="14" t="n"/>
      <c r="F67" s="14" t="n"/>
      <c r="G67" s="14" t="n"/>
      <c r="H67" s="14" t="n"/>
      <c r="I67" s="14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</row>
    <row r="68" ht="15.75" customHeight="1" s="69">
      <c r="A68" s="2" t="n"/>
      <c r="B68" s="2" t="n"/>
      <c r="C68" s="14" t="n"/>
      <c r="D68" s="14" t="n"/>
      <c r="E68" s="14" t="n"/>
      <c r="F68" s="14" t="n"/>
      <c r="G68" s="14" t="n"/>
      <c r="H68" s="14" t="n"/>
      <c r="I68" s="14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</row>
    <row r="69" ht="15.75" customHeight="1" s="69">
      <c r="A69" s="2" t="n"/>
      <c r="B69" s="2" t="n"/>
      <c r="C69" s="14" t="n"/>
      <c r="D69" s="14" t="n"/>
      <c r="E69" s="14" t="n"/>
      <c r="F69" s="14" t="n"/>
      <c r="G69" s="14" t="n"/>
      <c r="H69" s="14" t="n"/>
      <c r="I69" s="14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</row>
    <row r="70" ht="15.75" customHeight="1" s="69">
      <c r="A70" s="2" t="n"/>
      <c r="B70" s="2" t="n"/>
      <c r="C70" s="14" t="n"/>
      <c r="D70" s="14" t="n"/>
      <c r="E70" s="14" t="n"/>
      <c r="F70" s="14" t="n"/>
      <c r="G70" s="14" t="n"/>
      <c r="H70" s="14" t="n"/>
      <c r="I70" s="14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</row>
    <row r="71" ht="15.75" customHeight="1" s="69">
      <c r="A71" s="2" t="n"/>
      <c r="B71" s="2" t="n"/>
      <c r="C71" s="14" t="n"/>
      <c r="D71" s="14" t="n"/>
      <c r="E71" s="14" t="n"/>
      <c r="F71" s="14" t="n"/>
      <c r="G71" s="14" t="n"/>
      <c r="H71" s="14" t="n"/>
      <c r="I71" s="14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</row>
    <row r="72" ht="15.75" customHeight="1" s="69">
      <c r="A72" s="2" t="n"/>
      <c r="B72" s="2" t="n"/>
      <c r="C72" s="14" t="n"/>
      <c r="D72" s="14" t="n"/>
      <c r="E72" s="14" t="n"/>
      <c r="F72" s="14" t="n"/>
      <c r="G72" s="14" t="n"/>
      <c r="H72" s="14" t="n"/>
      <c r="I72" s="14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</row>
    <row r="73" ht="15.75" customHeight="1" s="69">
      <c r="A73" s="2" t="n"/>
      <c r="B73" s="2" t="n"/>
      <c r="C73" s="14" t="n"/>
      <c r="D73" s="14" t="n"/>
      <c r="E73" s="14" t="n"/>
      <c r="F73" s="14" t="n"/>
      <c r="G73" s="14" t="n"/>
      <c r="H73" s="14" t="n"/>
      <c r="I73" s="14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</row>
    <row r="74" ht="15.75" customHeight="1" s="69">
      <c r="A74" s="2" t="n"/>
      <c r="B74" s="2" t="n"/>
      <c r="C74" s="14" t="n"/>
      <c r="D74" s="14" t="n"/>
      <c r="E74" s="14" t="n"/>
      <c r="F74" s="14" t="n"/>
      <c r="G74" s="14" t="n"/>
      <c r="H74" s="14" t="n"/>
      <c r="I74" s="14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</row>
    <row r="75" ht="15.75" customHeight="1" s="69">
      <c r="A75" s="2" t="n"/>
      <c r="B75" s="2" t="n"/>
      <c r="C75" s="14" t="n"/>
      <c r="D75" s="14" t="n"/>
      <c r="E75" s="14" t="n"/>
      <c r="F75" s="14" t="n"/>
      <c r="G75" s="14" t="n"/>
      <c r="H75" s="14" t="n"/>
      <c r="I75" s="14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</row>
    <row r="76" ht="15.75" customHeight="1" s="69">
      <c r="A76" s="2" t="n"/>
      <c r="B76" s="2" t="n"/>
      <c r="C76" s="14" t="n"/>
      <c r="D76" s="14" t="n"/>
      <c r="E76" s="14" t="n"/>
      <c r="F76" s="14" t="n"/>
      <c r="G76" s="14" t="n"/>
      <c r="H76" s="14" t="n"/>
      <c r="I76" s="14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</row>
    <row r="77" ht="15.75" customHeight="1" s="69">
      <c r="A77" s="2" t="n"/>
      <c r="B77" s="2" t="n"/>
      <c r="C77" s="14" t="n"/>
      <c r="D77" s="14" t="n"/>
      <c r="E77" s="14" t="n"/>
      <c r="F77" s="14" t="n"/>
      <c r="G77" s="14" t="n"/>
      <c r="H77" s="14" t="n"/>
      <c r="I77" s="14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</row>
    <row r="78" ht="15.75" customHeight="1" s="69">
      <c r="A78" s="2" t="n"/>
      <c r="B78" s="2" t="n"/>
      <c r="C78" s="14" t="n"/>
      <c r="D78" s="14" t="n"/>
      <c r="E78" s="14" t="n"/>
      <c r="F78" s="14" t="n"/>
      <c r="G78" s="14" t="n"/>
      <c r="H78" s="14" t="n"/>
      <c r="I78" s="14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</row>
    <row r="79" ht="15.75" customHeight="1" s="69">
      <c r="A79" s="2" t="n"/>
      <c r="B79" s="2" t="n"/>
      <c r="C79" s="14" t="n"/>
      <c r="D79" s="14" t="n"/>
      <c r="E79" s="14" t="n"/>
      <c r="F79" s="14" t="n"/>
      <c r="G79" s="14" t="n"/>
      <c r="H79" s="14" t="n"/>
      <c r="I79" s="14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</row>
    <row r="80" ht="15.75" customHeight="1" s="69">
      <c r="A80" s="2" t="n"/>
      <c r="B80" s="2" t="n"/>
      <c r="C80" s="14" t="n"/>
      <c r="D80" s="14" t="n"/>
      <c r="E80" s="14" t="n"/>
      <c r="F80" s="14" t="n"/>
      <c r="G80" s="14" t="n"/>
      <c r="H80" s="14" t="n"/>
      <c r="I80" s="14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</row>
    <row r="81" ht="15.75" customHeight="1" s="69">
      <c r="A81" s="2" t="n"/>
      <c r="B81" s="2" t="n"/>
      <c r="C81" s="14" t="n"/>
      <c r="D81" s="14" t="n"/>
      <c r="E81" s="14" t="n"/>
      <c r="F81" s="14" t="n"/>
      <c r="G81" s="14" t="n"/>
      <c r="H81" s="14" t="n"/>
      <c r="I81" s="14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</row>
    <row r="82" ht="15.75" customHeight="1" s="69">
      <c r="A82" s="2" t="n"/>
      <c r="B82" s="2" t="n"/>
      <c r="C82" s="14" t="n"/>
      <c r="D82" s="14" t="n"/>
      <c r="E82" s="14" t="n"/>
      <c r="F82" s="14" t="n"/>
      <c r="G82" s="14" t="n"/>
      <c r="H82" s="14" t="n"/>
      <c r="I82" s="14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</row>
    <row r="83" ht="15.75" customHeight="1" s="69">
      <c r="A83" s="2" t="n"/>
      <c r="B83" s="2" t="n"/>
      <c r="C83" s="14" t="n"/>
      <c r="D83" s="14" t="n"/>
      <c r="E83" s="14" t="n"/>
      <c r="F83" s="14" t="n"/>
      <c r="G83" s="14" t="n"/>
      <c r="H83" s="14" t="n"/>
      <c r="I83" s="14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</row>
    <row r="84" ht="15.75" customHeight="1" s="69">
      <c r="A84" s="2" t="n"/>
      <c r="B84" s="2" t="n"/>
      <c r="C84" s="14" t="n"/>
      <c r="D84" s="14" t="n"/>
      <c r="E84" s="14" t="n"/>
      <c r="F84" s="14" t="n"/>
      <c r="G84" s="14" t="n"/>
      <c r="H84" s="14" t="n"/>
      <c r="I84" s="14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</row>
    <row r="85" ht="15.75" customHeight="1" s="69">
      <c r="A85" s="2" t="n"/>
      <c r="B85" s="2" t="n"/>
      <c r="C85" s="14" t="n"/>
      <c r="D85" s="14" t="n"/>
      <c r="E85" s="14" t="n"/>
      <c r="F85" s="14" t="n"/>
      <c r="G85" s="14" t="n"/>
      <c r="H85" s="14" t="n"/>
      <c r="I85" s="14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</row>
    <row r="86" ht="15.75" customHeight="1" s="69">
      <c r="A86" s="2" t="n"/>
      <c r="B86" s="2" t="n"/>
      <c r="C86" s="14" t="n"/>
      <c r="D86" s="14" t="n"/>
      <c r="E86" s="14" t="n"/>
      <c r="F86" s="14" t="n"/>
      <c r="G86" s="14" t="n"/>
      <c r="H86" s="14" t="n"/>
      <c r="I86" s="14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</row>
    <row r="87" ht="15.75" customHeight="1" s="69">
      <c r="A87" s="2" t="n"/>
      <c r="B87" s="2" t="n"/>
      <c r="C87" s="14" t="n"/>
      <c r="D87" s="14" t="n"/>
      <c r="E87" s="14" t="n"/>
      <c r="F87" s="14" t="n"/>
      <c r="G87" s="14" t="n"/>
      <c r="H87" s="14" t="n"/>
      <c r="I87" s="14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</row>
    <row r="88" ht="15.75" customHeight="1" s="69">
      <c r="A88" s="2" t="n"/>
      <c r="B88" s="2" t="n"/>
      <c r="C88" s="14" t="n"/>
      <c r="D88" s="14" t="n"/>
      <c r="E88" s="14" t="n"/>
      <c r="F88" s="14" t="n"/>
      <c r="G88" s="14" t="n"/>
      <c r="H88" s="14" t="n"/>
      <c r="I88" s="14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</row>
    <row r="89" ht="15.75" customHeight="1" s="69">
      <c r="A89" s="2" t="n"/>
      <c r="B89" s="2" t="n"/>
      <c r="C89" s="14" t="n"/>
      <c r="D89" s="14" t="n"/>
      <c r="E89" s="14" t="n"/>
      <c r="F89" s="14" t="n"/>
      <c r="G89" s="14" t="n"/>
      <c r="H89" s="14" t="n"/>
      <c r="I89" s="14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</row>
    <row r="90" ht="15.75" customHeight="1" s="69">
      <c r="A90" s="2" t="n"/>
      <c r="B90" s="2" t="n"/>
      <c r="C90" s="14" t="n"/>
      <c r="D90" s="14" t="n"/>
      <c r="E90" s="14" t="n"/>
      <c r="F90" s="14" t="n"/>
      <c r="G90" s="14" t="n"/>
      <c r="H90" s="14" t="n"/>
      <c r="I90" s="14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</row>
    <row r="91" ht="15.75" customHeight="1" s="69">
      <c r="A91" s="2" t="n"/>
      <c r="B91" s="2" t="n"/>
      <c r="C91" s="14" t="n"/>
      <c r="D91" s="14" t="n"/>
      <c r="E91" s="14" t="n"/>
      <c r="F91" s="14" t="n"/>
      <c r="G91" s="14" t="n"/>
      <c r="H91" s="14" t="n"/>
      <c r="I91" s="14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</row>
    <row r="92" ht="15.75" customHeight="1" s="69">
      <c r="A92" s="2" t="n"/>
      <c r="B92" s="2" t="n"/>
      <c r="C92" s="14" t="n"/>
      <c r="D92" s="14" t="n"/>
      <c r="E92" s="14" t="n"/>
      <c r="F92" s="14" t="n"/>
      <c r="G92" s="14" t="n"/>
      <c r="H92" s="14" t="n"/>
      <c r="I92" s="14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</row>
    <row r="93" ht="15.75" customHeight="1" s="69">
      <c r="A93" s="2" t="n"/>
      <c r="B93" s="2" t="n"/>
      <c r="C93" s="14" t="n"/>
      <c r="D93" s="14" t="n"/>
      <c r="E93" s="14" t="n"/>
      <c r="F93" s="14" t="n"/>
      <c r="G93" s="14" t="n"/>
      <c r="H93" s="14" t="n"/>
      <c r="I93" s="14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</row>
    <row r="94" ht="15.75" customHeight="1" s="69">
      <c r="A94" s="2" t="n"/>
      <c r="B94" s="2" t="n"/>
      <c r="C94" s="14" t="n"/>
      <c r="D94" s="14" t="n"/>
      <c r="E94" s="14" t="n"/>
      <c r="F94" s="14" t="n"/>
      <c r="G94" s="14" t="n"/>
      <c r="H94" s="14" t="n"/>
      <c r="I94" s="14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</row>
    <row r="95" ht="15.75" customHeight="1" s="69">
      <c r="A95" s="2" t="n"/>
      <c r="B95" s="2" t="n"/>
      <c r="C95" s="14" t="n"/>
      <c r="D95" s="14" t="n"/>
      <c r="E95" s="14" t="n"/>
      <c r="F95" s="14" t="n"/>
      <c r="G95" s="14" t="n"/>
      <c r="H95" s="14" t="n"/>
      <c r="I95" s="14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</row>
    <row r="96" ht="15.75" customHeight="1" s="69">
      <c r="A96" s="2" t="n"/>
      <c r="B96" s="2" t="n"/>
      <c r="C96" s="14" t="n"/>
      <c r="D96" s="14" t="n"/>
      <c r="E96" s="14" t="n"/>
      <c r="F96" s="14" t="n"/>
      <c r="G96" s="14" t="n"/>
      <c r="H96" s="14" t="n"/>
      <c r="I96" s="14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</row>
    <row r="97" ht="15.75" customHeight="1" s="69">
      <c r="A97" s="2" t="n"/>
      <c r="B97" s="2" t="n"/>
      <c r="C97" s="14" t="n"/>
      <c r="D97" s="14" t="n"/>
      <c r="E97" s="14" t="n"/>
      <c r="F97" s="14" t="n"/>
      <c r="G97" s="14" t="n"/>
      <c r="H97" s="14" t="n"/>
      <c r="I97" s="14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</row>
    <row r="98" ht="15.75" customHeight="1" s="69">
      <c r="A98" s="2" t="n"/>
      <c r="B98" s="2" t="n"/>
      <c r="C98" s="14" t="n"/>
      <c r="D98" s="14" t="n"/>
      <c r="E98" s="14" t="n"/>
      <c r="F98" s="14" t="n"/>
      <c r="G98" s="14" t="n"/>
      <c r="H98" s="14" t="n"/>
      <c r="I98" s="14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</row>
    <row r="99" ht="15.75" customHeight="1" s="69">
      <c r="A99" s="2" t="n"/>
      <c r="B99" s="2" t="n"/>
      <c r="C99" s="14" t="n"/>
      <c r="D99" s="14" t="n"/>
      <c r="E99" s="14" t="n"/>
      <c r="F99" s="14" t="n"/>
      <c r="G99" s="14" t="n"/>
      <c r="H99" s="14" t="n"/>
      <c r="I99" s="14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</row>
    <row r="100" ht="15.75" customHeight="1" s="69">
      <c r="A100" s="2" t="n"/>
      <c r="B100" s="2" t="n"/>
      <c r="C100" s="14" t="n"/>
      <c r="D100" s="14" t="n"/>
      <c r="E100" s="14" t="n"/>
      <c r="F100" s="14" t="n"/>
      <c r="G100" s="14" t="n"/>
      <c r="H100" s="14" t="n"/>
      <c r="I100" s="14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</row>
    <row r="101" ht="15.75" customHeight="1" s="69">
      <c r="A101" s="2" t="n"/>
      <c r="B101" s="2" t="n"/>
      <c r="C101" s="14" t="n"/>
      <c r="D101" s="14" t="n"/>
      <c r="E101" s="14" t="n"/>
      <c r="F101" s="14" t="n"/>
      <c r="G101" s="14" t="n"/>
      <c r="H101" s="14" t="n"/>
      <c r="I101" s="14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</row>
    <row r="102" ht="15.75" customHeight="1" s="69">
      <c r="A102" s="2" t="n"/>
      <c r="B102" s="2" t="n"/>
      <c r="C102" s="14" t="n"/>
      <c r="D102" s="14" t="n"/>
      <c r="E102" s="14" t="n"/>
      <c r="F102" s="14" t="n"/>
      <c r="G102" s="14" t="n"/>
      <c r="H102" s="14" t="n"/>
      <c r="I102" s="14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</row>
    <row r="103" ht="15.75" customHeight="1" s="69">
      <c r="A103" s="2" t="n"/>
      <c r="B103" s="2" t="n"/>
      <c r="C103" s="14" t="n"/>
      <c r="D103" s="14" t="n"/>
      <c r="E103" s="14" t="n"/>
      <c r="F103" s="14" t="n"/>
      <c r="G103" s="14" t="n"/>
      <c r="H103" s="14" t="n"/>
      <c r="I103" s="14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</row>
    <row r="104" ht="15.75" customHeight="1" s="69">
      <c r="A104" s="2" t="n"/>
      <c r="B104" s="2" t="n"/>
      <c r="C104" s="14" t="n"/>
      <c r="D104" s="14" t="n"/>
      <c r="E104" s="14" t="n"/>
      <c r="F104" s="14" t="n"/>
      <c r="G104" s="14" t="n"/>
      <c r="H104" s="14" t="n"/>
      <c r="I104" s="14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</row>
    <row r="105" ht="15.75" customHeight="1" s="69">
      <c r="A105" s="2" t="n"/>
      <c r="B105" s="2" t="n"/>
      <c r="C105" s="14" t="n"/>
      <c r="D105" s="14" t="n"/>
      <c r="E105" s="14" t="n"/>
      <c r="F105" s="14" t="n"/>
      <c r="G105" s="14" t="n"/>
      <c r="H105" s="14" t="n"/>
      <c r="I105" s="14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</row>
    <row r="106" ht="15.75" customHeight="1" s="69">
      <c r="A106" s="2" t="n"/>
      <c r="B106" s="2" t="n"/>
      <c r="C106" s="14" t="n"/>
      <c r="D106" s="14" t="n"/>
      <c r="E106" s="14" t="n"/>
      <c r="F106" s="14" t="n"/>
      <c r="G106" s="14" t="n"/>
      <c r="H106" s="14" t="n"/>
      <c r="I106" s="14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</row>
    <row r="107" ht="15.75" customHeight="1" s="69">
      <c r="A107" s="2" t="n"/>
      <c r="B107" s="2" t="n"/>
      <c r="C107" s="14" t="n"/>
      <c r="D107" s="14" t="n"/>
      <c r="E107" s="14" t="n"/>
      <c r="F107" s="14" t="n"/>
      <c r="G107" s="14" t="n"/>
      <c r="H107" s="14" t="n"/>
      <c r="I107" s="14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</row>
    <row r="108" ht="15.75" customHeight="1" s="69">
      <c r="A108" s="2" t="n"/>
      <c r="B108" s="2" t="n"/>
      <c r="C108" s="14" t="n"/>
      <c r="D108" s="14" t="n"/>
      <c r="E108" s="14" t="n"/>
      <c r="F108" s="14" t="n"/>
      <c r="G108" s="14" t="n"/>
      <c r="H108" s="14" t="n"/>
      <c r="I108" s="14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</row>
    <row r="109" ht="15.75" customHeight="1" s="69">
      <c r="A109" s="2" t="n"/>
      <c r="B109" s="2" t="n"/>
      <c r="C109" s="14" t="n"/>
      <c r="D109" s="14" t="n"/>
      <c r="E109" s="14" t="n"/>
      <c r="F109" s="14" t="n"/>
      <c r="G109" s="14" t="n"/>
      <c r="H109" s="14" t="n"/>
      <c r="I109" s="14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</row>
    <row r="110" ht="15.75" customHeight="1" s="69">
      <c r="A110" s="2" t="n"/>
      <c r="B110" s="2" t="n"/>
      <c r="C110" s="14" t="n"/>
      <c r="D110" s="14" t="n"/>
      <c r="E110" s="14" t="n"/>
      <c r="F110" s="14" t="n"/>
      <c r="G110" s="14" t="n"/>
      <c r="H110" s="14" t="n"/>
      <c r="I110" s="14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</row>
    <row r="111" ht="15.75" customHeight="1" s="69">
      <c r="A111" s="2" t="n"/>
      <c r="B111" s="2" t="n"/>
      <c r="C111" s="14" t="n"/>
      <c r="D111" s="14" t="n"/>
      <c r="E111" s="14" t="n"/>
      <c r="F111" s="14" t="n"/>
      <c r="G111" s="14" t="n"/>
      <c r="H111" s="14" t="n"/>
      <c r="I111" s="14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</row>
    <row r="112" ht="15.75" customHeight="1" s="69">
      <c r="A112" s="2" t="n"/>
      <c r="B112" s="2" t="n"/>
      <c r="C112" s="14" t="n"/>
      <c r="D112" s="14" t="n"/>
      <c r="E112" s="14" t="n"/>
      <c r="F112" s="14" t="n"/>
      <c r="G112" s="14" t="n"/>
      <c r="H112" s="14" t="n"/>
      <c r="I112" s="14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</row>
    <row r="113" ht="15.75" customHeight="1" s="69">
      <c r="A113" s="2" t="n"/>
      <c r="B113" s="2" t="n"/>
      <c r="C113" s="14" t="n"/>
      <c r="D113" s="14" t="n"/>
      <c r="E113" s="14" t="n"/>
      <c r="F113" s="14" t="n"/>
      <c r="G113" s="14" t="n"/>
      <c r="H113" s="14" t="n"/>
      <c r="I113" s="14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</row>
    <row r="114" ht="15.75" customHeight="1" s="69">
      <c r="A114" s="2" t="n"/>
      <c r="B114" s="2" t="n"/>
      <c r="C114" s="14" t="n"/>
      <c r="D114" s="14" t="n"/>
      <c r="E114" s="14" t="n"/>
      <c r="F114" s="14" t="n"/>
      <c r="G114" s="14" t="n"/>
      <c r="H114" s="14" t="n"/>
      <c r="I114" s="14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</row>
    <row r="115" ht="15.75" customHeight="1" s="69">
      <c r="A115" s="2" t="n"/>
      <c r="B115" s="2" t="n"/>
      <c r="C115" s="14" t="n"/>
      <c r="D115" s="14" t="n"/>
      <c r="E115" s="14" t="n"/>
      <c r="F115" s="14" t="n"/>
      <c r="G115" s="14" t="n"/>
      <c r="H115" s="14" t="n"/>
      <c r="I115" s="14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</row>
    <row r="116" ht="15.75" customHeight="1" s="69">
      <c r="A116" s="2" t="n"/>
      <c r="B116" s="2" t="n"/>
      <c r="C116" s="14" t="n"/>
      <c r="D116" s="14" t="n"/>
      <c r="E116" s="14" t="n"/>
      <c r="F116" s="14" t="n"/>
      <c r="G116" s="14" t="n"/>
      <c r="H116" s="14" t="n"/>
      <c r="I116" s="14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</row>
    <row r="117" ht="15.75" customHeight="1" s="69">
      <c r="A117" s="2" t="n"/>
      <c r="B117" s="2" t="n"/>
      <c r="C117" s="14" t="n"/>
      <c r="D117" s="14" t="n"/>
      <c r="E117" s="14" t="n"/>
      <c r="F117" s="14" t="n"/>
      <c r="G117" s="14" t="n"/>
      <c r="H117" s="14" t="n"/>
      <c r="I117" s="14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</row>
    <row r="118" ht="15.75" customHeight="1" s="69">
      <c r="A118" s="2" t="n"/>
      <c r="B118" s="2" t="n"/>
      <c r="C118" s="14" t="n"/>
      <c r="D118" s="14" t="n"/>
      <c r="E118" s="14" t="n"/>
      <c r="F118" s="14" t="n"/>
      <c r="G118" s="14" t="n"/>
      <c r="H118" s="14" t="n"/>
      <c r="I118" s="14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</row>
    <row r="119" ht="15.75" customHeight="1" s="69">
      <c r="A119" s="2" t="n"/>
      <c r="B119" s="2" t="n"/>
      <c r="C119" s="14" t="n"/>
      <c r="D119" s="14" t="n"/>
      <c r="E119" s="14" t="n"/>
      <c r="F119" s="14" t="n"/>
      <c r="G119" s="14" t="n"/>
      <c r="H119" s="14" t="n"/>
      <c r="I119" s="14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</row>
    <row r="120" ht="15.75" customHeight="1" s="69">
      <c r="A120" s="2" t="n"/>
      <c r="B120" s="2" t="n"/>
      <c r="C120" s="14" t="n"/>
      <c r="D120" s="14" t="n"/>
      <c r="E120" s="14" t="n"/>
      <c r="F120" s="14" t="n"/>
      <c r="G120" s="14" t="n"/>
      <c r="H120" s="14" t="n"/>
      <c r="I120" s="14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</row>
    <row r="121" ht="15.75" customHeight="1" s="69">
      <c r="A121" s="2" t="n"/>
      <c r="B121" s="2" t="n"/>
      <c r="C121" s="14" t="n"/>
      <c r="D121" s="14" t="n"/>
      <c r="E121" s="14" t="n"/>
      <c r="F121" s="14" t="n"/>
      <c r="G121" s="14" t="n"/>
      <c r="H121" s="14" t="n"/>
      <c r="I121" s="14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</row>
    <row r="122" ht="15.75" customHeight="1" s="69">
      <c r="A122" s="2" t="n"/>
      <c r="B122" s="2" t="n"/>
      <c r="C122" s="14" t="n"/>
      <c r="D122" s="14" t="n"/>
      <c r="E122" s="14" t="n"/>
      <c r="F122" s="14" t="n"/>
      <c r="G122" s="14" t="n"/>
      <c r="H122" s="14" t="n"/>
      <c r="I122" s="14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</row>
    <row r="123" ht="15.75" customHeight="1" s="69">
      <c r="A123" s="2" t="n"/>
      <c r="B123" s="2" t="n"/>
      <c r="C123" s="14" t="n"/>
      <c r="D123" s="14" t="n"/>
      <c r="E123" s="14" t="n"/>
      <c r="F123" s="14" t="n"/>
      <c r="G123" s="14" t="n"/>
      <c r="H123" s="14" t="n"/>
      <c r="I123" s="14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</row>
    <row r="124" ht="15.75" customHeight="1" s="69">
      <c r="A124" s="2" t="n"/>
      <c r="B124" s="2" t="n"/>
      <c r="C124" s="14" t="n"/>
      <c r="D124" s="14" t="n"/>
      <c r="E124" s="14" t="n"/>
      <c r="F124" s="14" t="n"/>
      <c r="G124" s="14" t="n"/>
      <c r="H124" s="14" t="n"/>
      <c r="I124" s="14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</row>
    <row r="125" ht="15.75" customHeight="1" s="69">
      <c r="A125" s="2" t="n"/>
      <c r="B125" s="2" t="n"/>
      <c r="C125" s="14" t="n"/>
      <c r="D125" s="14" t="n"/>
      <c r="E125" s="14" t="n"/>
      <c r="F125" s="14" t="n"/>
      <c r="G125" s="14" t="n"/>
      <c r="H125" s="14" t="n"/>
      <c r="I125" s="14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</row>
    <row r="126" ht="15.75" customHeight="1" s="69">
      <c r="A126" s="2" t="n"/>
      <c r="B126" s="2" t="n"/>
      <c r="C126" s="14" t="n"/>
      <c r="D126" s="14" t="n"/>
      <c r="E126" s="14" t="n"/>
      <c r="F126" s="14" t="n"/>
      <c r="G126" s="14" t="n"/>
      <c r="H126" s="14" t="n"/>
      <c r="I126" s="14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</row>
    <row r="127" ht="15.75" customHeight="1" s="69">
      <c r="A127" s="2" t="n"/>
      <c r="B127" s="2" t="n"/>
      <c r="C127" s="14" t="n"/>
      <c r="D127" s="14" t="n"/>
      <c r="E127" s="14" t="n"/>
      <c r="F127" s="14" t="n"/>
      <c r="G127" s="14" t="n"/>
      <c r="H127" s="14" t="n"/>
      <c r="I127" s="14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</row>
    <row r="128" ht="15.75" customHeight="1" s="69">
      <c r="A128" s="2" t="n"/>
      <c r="B128" s="2" t="n"/>
      <c r="C128" s="14" t="n"/>
      <c r="D128" s="14" t="n"/>
      <c r="E128" s="14" t="n"/>
      <c r="F128" s="14" t="n"/>
      <c r="G128" s="14" t="n"/>
      <c r="H128" s="14" t="n"/>
      <c r="I128" s="14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</row>
    <row r="129" ht="15.75" customHeight="1" s="69">
      <c r="A129" s="2" t="n"/>
      <c r="B129" s="2" t="n"/>
      <c r="C129" s="14" t="n"/>
      <c r="D129" s="14" t="n"/>
      <c r="E129" s="14" t="n"/>
      <c r="F129" s="14" t="n"/>
      <c r="G129" s="14" t="n"/>
      <c r="H129" s="14" t="n"/>
      <c r="I129" s="14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</row>
    <row r="130" ht="15.75" customHeight="1" s="69">
      <c r="A130" s="2" t="n"/>
      <c r="B130" s="2" t="n"/>
      <c r="C130" s="14" t="n"/>
      <c r="D130" s="14" t="n"/>
      <c r="E130" s="14" t="n"/>
      <c r="F130" s="14" t="n"/>
      <c r="G130" s="14" t="n"/>
      <c r="H130" s="14" t="n"/>
      <c r="I130" s="14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</row>
    <row r="131" ht="15.75" customHeight="1" s="69">
      <c r="A131" s="2" t="n"/>
      <c r="B131" s="2" t="n"/>
      <c r="C131" s="14" t="n"/>
      <c r="D131" s="14" t="n"/>
      <c r="E131" s="14" t="n"/>
      <c r="F131" s="14" t="n"/>
      <c r="G131" s="14" t="n"/>
      <c r="H131" s="14" t="n"/>
      <c r="I131" s="14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</row>
    <row r="132" ht="15.75" customHeight="1" s="69">
      <c r="A132" s="2" t="n"/>
      <c r="B132" s="2" t="n"/>
      <c r="C132" s="14" t="n"/>
      <c r="D132" s="14" t="n"/>
      <c r="E132" s="14" t="n"/>
      <c r="F132" s="14" t="n"/>
      <c r="G132" s="14" t="n"/>
      <c r="H132" s="14" t="n"/>
      <c r="I132" s="14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</row>
    <row r="133" ht="15.75" customHeight="1" s="69">
      <c r="A133" s="2" t="n"/>
      <c r="B133" s="2" t="n"/>
      <c r="C133" s="14" t="n"/>
      <c r="D133" s="14" t="n"/>
      <c r="E133" s="14" t="n"/>
      <c r="F133" s="14" t="n"/>
      <c r="G133" s="14" t="n"/>
      <c r="H133" s="14" t="n"/>
      <c r="I133" s="14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</row>
    <row r="134" ht="15.75" customHeight="1" s="69">
      <c r="A134" s="2" t="n"/>
      <c r="B134" s="2" t="n"/>
      <c r="C134" s="14" t="n"/>
      <c r="D134" s="14" t="n"/>
      <c r="E134" s="14" t="n"/>
      <c r="F134" s="14" t="n"/>
      <c r="G134" s="14" t="n"/>
      <c r="H134" s="14" t="n"/>
      <c r="I134" s="14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</row>
    <row r="135" ht="15.75" customHeight="1" s="69">
      <c r="A135" s="2" t="n"/>
      <c r="B135" s="2" t="n"/>
      <c r="C135" s="14" t="n"/>
      <c r="D135" s="14" t="n"/>
      <c r="E135" s="14" t="n"/>
      <c r="F135" s="14" t="n"/>
      <c r="G135" s="14" t="n"/>
      <c r="H135" s="14" t="n"/>
      <c r="I135" s="14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</row>
    <row r="136" ht="15.75" customHeight="1" s="69">
      <c r="A136" s="2" t="n"/>
      <c r="B136" s="2" t="n"/>
      <c r="C136" s="14" t="n"/>
      <c r="D136" s="14" t="n"/>
      <c r="E136" s="14" t="n"/>
      <c r="F136" s="14" t="n"/>
      <c r="G136" s="14" t="n"/>
      <c r="H136" s="14" t="n"/>
      <c r="I136" s="14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</row>
    <row r="137" ht="15.75" customHeight="1" s="69">
      <c r="A137" s="2" t="n"/>
      <c r="B137" s="2" t="n"/>
      <c r="C137" s="14" t="n"/>
      <c r="D137" s="14" t="n"/>
      <c r="E137" s="14" t="n"/>
      <c r="F137" s="14" t="n"/>
      <c r="G137" s="14" t="n"/>
      <c r="H137" s="14" t="n"/>
      <c r="I137" s="14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</row>
    <row r="138" ht="15.75" customHeight="1" s="69">
      <c r="A138" s="2" t="n"/>
      <c r="B138" s="2" t="n"/>
      <c r="C138" s="14" t="n"/>
      <c r="D138" s="14" t="n"/>
      <c r="E138" s="14" t="n"/>
      <c r="F138" s="14" t="n"/>
      <c r="G138" s="14" t="n"/>
      <c r="H138" s="14" t="n"/>
      <c r="I138" s="14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</row>
    <row r="139" ht="15.75" customHeight="1" s="69">
      <c r="A139" s="2" t="n"/>
      <c r="B139" s="2" t="n"/>
      <c r="C139" s="14" t="n"/>
      <c r="D139" s="14" t="n"/>
      <c r="E139" s="14" t="n"/>
      <c r="F139" s="14" t="n"/>
      <c r="G139" s="14" t="n"/>
      <c r="H139" s="14" t="n"/>
      <c r="I139" s="14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</row>
    <row r="140" ht="15.75" customHeight="1" s="69">
      <c r="A140" s="2" t="n"/>
      <c r="B140" s="2" t="n"/>
      <c r="C140" s="14" t="n"/>
      <c r="D140" s="14" t="n"/>
      <c r="E140" s="14" t="n"/>
      <c r="F140" s="14" t="n"/>
      <c r="G140" s="14" t="n"/>
      <c r="H140" s="14" t="n"/>
      <c r="I140" s="14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</row>
    <row r="141" ht="15.75" customHeight="1" s="69">
      <c r="A141" s="2" t="n"/>
      <c r="B141" s="2" t="n"/>
      <c r="C141" s="14" t="n"/>
      <c r="D141" s="14" t="n"/>
      <c r="E141" s="14" t="n"/>
      <c r="F141" s="14" t="n"/>
      <c r="G141" s="14" t="n"/>
      <c r="H141" s="14" t="n"/>
      <c r="I141" s="14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</row>
    <row r="142" ht="15.75" customHeight="1" s="69">
      <c r="A142" s="2" t="n"/>
      <c r="B142" s="2" t="n"/>
      <c r="C142" s="14" t="n"/>
      <c r="D142" s="14" t="n"/>
      <c r="E142" s="14" t="n"/>
      <c r="F142" s="14" t="n"/>
      <c r="G142" s="14" t="n"/>
      <c r="H142" s="14" t="n"/>
      <c r="I142" s="14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</row>
    <row r="143" ht="15.75" customHeight="1" s="69">
      <c r="A143" s="2" t="n"/>
      <c r="B143" s="2" t="n"/>
      <c r="C143" s="14" t="n"/>
      <c r="D143" s="14" t="n"/>
      <c r="E143" s="14" t="n"/>
      <c r="F143" s="14" t="n"/>
      <c r="G143" s="14" t="n"/>
      <c r="H143" s="14" t="n"/>
      <c r="I143" s="14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</row>
    <row r="144" ht="15.75" customHeight="1" s="69">
      <c r="A144" s="2" t="n"/>
      <c r="B144" s="2" t="n"/>
      <c r="C144" s="14" t="n"/>
      <c r="D144" s="14" t="n"/>
      <c r="E144" s="14" t="n"/>
      <c r="F144" s="14" t="n"/>
      <c r="G144" s="14" t="n"/>
      <c r="H144" s="14" t="n"/>
      <c r="I144" s="14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</row>
    <row r="145" ht="15.75" customHeight="1" s="69">
      <c r="A145" s="2" t="n"/>
      <c r="B145" s="2" t="n"/>
      <c r="C145" s="14" t="n"/>
      <c r="D145" s="14" t="n"/>
      <c r="E145" s="14" t="n"/>
      <c r="F145" s="14" t="n"/>
      <c r="G145" s="14" t="n"/>
      <c r="H145" s="14" t="n"/>
      <c r="I145" s="14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</row>
    <row r="146" ht="15.75" customHeight="1" s="69">
      <c r="A146" s="2" t="n"/>
      <c r="B146" s="2" t="n"/>
      <c r="C146" s="14" t="n"/>
      <c r="D146" s="14" t="n"/>
      <c r="E146" s="14" t="n"/>
      <c r="F146" s="14" t="n"/>
      <c r="G146" s="14" t="n"/>
      <c r="H146" s="14" t="n"/>
      <c r="I146" s="14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</row>
    <row r="147" ht="15.75" customHeight="1" s="69">
      <c r="A147" s="2" t="n"/>
      <c r="B147" s="2" t="n"/>
      <c r="C147" s="14" t="n"/>
      <c r="D147" s="14" t="n"/>
      <c r="E147" s="14" t="n"/>
      <c r="F147" s="14" t="n"/>
      <c r="G147" s="14" t="n"/>
      <c r="H147" s="14" t="n"/>
      <c r="I147" s="14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</row>
    <row r="148" ht="15.75" customHeight="1" s="69">
      <c r="A148" s="2" t="n"/>
      <c r="B148" s="2" t="n"/>
      <c r="C148" s="14" t="n"/>
      <c r="D148" s="14" t="n"/>
      <c r="E148" s="14" t="n"/>
      <c r="F148" s="14" t="n"/>
      <c r="G148" s="14" t="n"/>
      <c r="H148" s="14" t="n"/>
      <c r="I148" s="14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</row>
    <row r="149" ht="15.75" customHeight="1" s="69">
      <c r="A149" s="2" t="n"/>
      <c r="B149" s="2" t="n"/>
      <c r="C149" s="14" t="n"/>
      <c r="D149" s="14" t="n"/>
      <c r="E149" s="14" t="n"/>
      <c r="F149" s="14" t="n"/>
      <c r="G149" s="14" t="n"/>
      <c r="H149" s="14" t="n"/>
      <c r="I149" s="14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</row>
    <row r="150" ht="15.75" customHeight="1" s="69">
      <c r="A150" s="2" t="n"/>
      <c r="B150" s="2" t="n"/>
      <c r="C150" s="14" t="n"/>
      <c r="D150" s="14" t="n"/>
      <c r="E150" s="14" t="n"/>
      <c r="F150" s="14" t="n"/>
      <c r="G150" s="14" t="n"/>
      <c r="H150" s="14" t="n"/>
      <c r="I150" s="14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</row>
    <row r="151" ht="15.75" customHeight="1" s="69">
      <c r="A151" s="2" t="n"/>
      <c r="B151" s="2" t="n"/>
      <c r="C151" s="14" t="n"/>
      <c r="D151" s="14" t="n"/>
      <c r="E151" s="14" t="n"/>
      <c r="F151" s="14" t="n"/>
      <c r="G151" s="14" t="n"/>
      <c r="H151" s="14" t="n"/>
      <c r="I151" s="14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</row>
    <row r="152" ht="15.75" customHeight="1" s="69">
      <c r="A152" s="2" t="n"/>
      <c r="B152" s="2" t="n"/>
      <c r="C152" s="14" t="n"/>
      <c r="D152" s="14" t="n"/>
      <c r="E152" s="14" t="n"/>
      <c r="F152" s="14" t="n"/>
      <c r="G152" s="14" t="n"/>
      <c r="H152" s="14" t="n"/>
      <c r="I152" s="14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</row>
    <row r="153" ht="15.75" customHeight="1" s="69">
      <c r="A153" s="2" t="n"/>
      <c r="B153" s="2" t="n"/>
      <c r="C153" s="14" t="n"/>
      <c r="D153" s="14" t="n"/>
      <c r="E153" s="14" t="n"/>
      <c r="F153" s="14" t="n"/>
      <c r="G153" s="14" t="n"/>
      <c r="H153" s="14" t="n"/>
      <c r="I153" s="14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</row>
    <row r="154" ht="15.75" customHeight="1" s="69">
      <c r="A154" s="2" t="n"/>
      <c r="B154" s="2" t="n"/>
      <c r="C154" s="14" t="n"/>
      <c r="D154" s="14" t="n"/>
      <c r="E154" s="14" t="n"/>
      <c r="F154" s="14" t="n"/>
      <c r="G154" s="14" t="n"/>
      <c r="H154" s="14" t="n"/>
      <c r="I154" s="14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</row>
    <row r="155" ht="15.75" customHeight="1" s="69">
      <c r="A155" s="2" t="n"/>
      <c r="B155" s="2" t="n"/>
      <c r="C155" s="14" t="n"/>
      <c r="D155" s="14" t="n"/>
      <c r="E155" s="14" t="n"/>
      <c r="F155" s="14" t="n"/>
      <c r="G155" s="14" t="n"/>
      <c r="H155" s="14" t="n"/>
      <c r="I155" s="14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</row>
    <row r="156" ht="15.75" customHeight="1" s="69">
      <c r="A156" s="2" t="n"/>
      <c r="B156" s="2" t="n"/>
      <c r="C156" s="14" t="n"/>
      <c r="D156" s="14" t="n"/>
      <c r="E156" s="14" t="n"/>
      <c r="F156" s="14" t="n"/>
      <c r="G156" s="14" t="n"/>
      <c r="H156" s="14" t="n"/>
      <c r="I156" s="14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</row>
    <row r="157" ht="15.75" customHeight="1" s="69">
      <c r="A157" s="2" t="n"/>
      <c r="B157" s="2" t="n"/>
      <c r="C157" s="14" t="n"/>
      <c r="D157" s="14" t="n"/>
      <c r="E157" s="14" t="n"/>
      <c r="F157" s="14" t="n"/>
      <c r="G157" s="14" t="n"/>
      <c r="H157" s="14" t="n"/>
      <c r="I157" s="14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</row>
    <row r="158" ht="15.75" customHeight="1" s="69">
      <c r="A158" s="2" t="n"/>
      <c r="B158" s="2" t="n"/>
      <c r="C158" s="14" t="n"/>
      <c r="D158" s="14" t="n"/>
      <c r="E158" s="14" t="n"/>
      <c r="F158" s="14" t="n"/>
      <c r="G158" s="14" t="n"/>
      <c r="H158" s="14" t="n"/>
      <c r="I158" s="14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</row>
    <row r="159" ht="15.75" customHeight="1" s="69">
      <c r="A159" s="2" t="n"/>
      <c r="B159" s="2" t="n"/>
      <c r="C159" s="14" t="n"/>
      <c r="D159" s="14" t="n"/>
      <c r="E159" s="14" t="n"/>
      <c r="F159" s="14" t="n"/>
      <c r="G159" s="14" t="n"/>
      <c r="H159" s="14" t="n"/>
      <c r="I159" s="14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</row>
    <row r="160" ht="15.75" customHeight="1" s="69">
      <c r="A160" s="2" t="n"/>
      <c r="B160" s="2" t="n"/>
      <c r="C160" s="14" t="n"/>
      <c r="D160" s="14" t="n"/>
      <c r="E160" s="14" t="n"/>
      <c r="F160" s="14" t="n"/>
      <c r="G160" s="14" t="n"/>
      <c r="H160" s="14" t="n"/>
      <c r="I160" s="14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</row>
    <row r="161" ht="15.75" customHeight="1" s="69">
      <c r="A161" s="2" t="n"/>
      <c r="B161" s="2" t="n"/>
      <c r="C161" s="14" t="n"/>
      <c r="D161" s="14" t="n"/>
      <c r="E161" s="14" t="n"/>
      <c r="F161" s="14" t="n"/>
      <c r="G161" s="14" t="n"/>
      <c r="H161" s="14" t="n"/>
      <c r="I161" s="14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</row>
    <row r="162" ht="15.75" customHeight="1" s="69">
      <c r="A162" s="2" t="n"/>
      <c r="B162" s="2" t="n"/>
      <c r="C162" s="14" t="n"/>
      <c r="D162" s="14" t="n"/>
      <c r="E162" s="14" t="n"/>
      <c r="F162" s="14" t="n"/>
      <c r="G162" s="14" t="n"/>
      <c r="H162" s="14" t="n"/>
      <c r="I162" s="14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</row>
    <row r="163" ht="15.75" customHeight="1" s="69">
      <c r="A163" s="2" t="n"/>
      <c r="B163" s="2" t="n"/>
      <c r="C163" s="14" t="n"/>
      <c r="D163" s="14" t="n"/>
      <c r="E163" s="14" t="n"/>
      <c r="F163" s="14" t="n"/>
      <c r="G163" s="14" t="n"/>
      <c r="H163" s="14" t="n"/>
      <c r="I163" s="14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</row>
    <row r="164" ht="15.75" customHeight="1" s="69">
      <c r="A164" s="2" t="n"/>
      <c r="B164" s="2" t="n"/>
      <c r="C164" s="14" t="n"/>
      <c r="D164" s="14" t="n"/>
      <c r="E164" s="14" t="n"/>
      <c r="F164" s="14" t="n"/>
      <c r="G164" s="14" t="n"/>
      <c r="H164" s="14" t="n"/>
      <c r="I164" s="14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</row>
    <row r="165" ht="15.75" customHeight="1" s="69">
      <c r="A165" s="2" t="n"/>
      <c r="B165" s="2" t="n"/>
      <c r="C165" s="14" t="n"/>
      <c r="D165" s="14" t="n"/>
      <c r="E165" s="14" t="n"/>
      <c r="F165" s="14" t="n"/>
      <c r="G165" s="14" t="n"/>
      <c r="H165" s="14" t="n"/>
      <c r="I165" s="14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</row>
    <row r="166" ht="15.75" customHeight="1" s="69">
      <c r="A166" s="2" t="n"/>
      <c r="B166" s="2" t="n"/>
      <c r="C166" s="14" t="n"/>
      <c r="D166" s="14" t="n"/>
      <c r="E166" s="14" t="n"/>
      <c r="F166" s="14" t="n"/>
      <c r="G166" s="14" t="n"/>
      <c r="H166" s="14" t="n"/>
      <c r="I166" s="14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</row>
    <row r="167" ht="15.75" customHeight="1" s="69">
      <c r="A167" s="2" t="n"/>
      <c r="B167" s="2" t="n"/>
      <c r="C167" s="14" t="n"/>
      <c r="D167" s="14" t="n"/>
      <c r="E167" s="14" t="n"/>
      <c r="F167" s="14" t="n"/>
      <c r="G167" s="14" t="n"/>
      <c r="H167" s="14" t="n"/>
      <c r="I167" s="14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</row>
    <row r="168" ht="15.75" customHeight="1" s="69">
      <c r="A168" s="2" t="n"/>
      <c r="B168" s="2" t="n"/>
      <c r="C168" s="14" t="n"/>
      <c r="D168" s="14" t="n"/>
      <c r="E168" s="14" t="n"/>
      <c r="F168" s="14" t="n"/>
      <c r="G168" s="14" t="n"/>
      <c r="H168" s="14" t="n"/>
      <c r="I168" s="14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</row>
    <row r="169" ht="15.75" customHeight="1" s="69">
      <c r="A169" s="2" t="n"/>
      <c r="B169" s="2" t="n"/>
      <c r="C169" s="14" t="n"/>
      <c r="D169" s="14" t="n"/>
      <c r="E169" s="14" t="n"/>
      <c r="F169" s="14" t="n"/>
      <c r="G169" s="14" t="n"/>
      <c r="H169" s="14" t="n"/>
      <c r="I169" s="14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</row>
    <row r="170" ht="15.75" customHeight="1" s="69">
      <c r="A170" s="2" t="n"/>
      <c r="B170" s="2" t="n"/>
      <c r="C170" s="14" t="n"/>
      <c r="D170" s="14" t="n"/>
      <c r="E170" s="14" t="n"/>
      <c r="F170" s="14" t="n"/>
      <c r="G170" s="14" t="n"/>
      <c r="H170" s="14" t="n"/>
      <c r="I170" s="14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</row>
    <row r="171" ht="15.75" customHeight="1" s="69">
      <c r="A171" s="2" t="n"/>
      <c r="B171" s="2" t="n"/>
      <c r="C171" s="14" t="n"/>
      <c r="D171" s="14" t="n"/>
      <c r="E171" s="14" t="n"/>
      <c r="F171" s="14" t="n"/>
      <c r="G171" s="14" t="n"/>
      <c r="H171" s="14" t="n"/>
      <c r="I171" s="14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</row>
    <row r="172" ht="15.75" customHeight="1" s="69">
      <c r="A172" s="2" t="n"/>
      <c r="B172" s="2" t="n"/>
      <c r="C172" s="14" t="n"/>
      <c r="D172" s="14" t="n"/>
      <c r="E172" s="14" t="n"/>
      <c r="F172" s="14" t="n"/>
      <c r="G172" s="14" t="n"/>
      <c r="H172" s="14" t="n"/>
      <c r="I172" s="14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</row>
    <row r="173" ht="15.75" customHeight="1" s="69">
      <c r="A173" s="2" t="n"/>
      <c r="B173" s="2" t="n"/>
      <c r="C173" s="14" t="n"/>
      <c r="D173" s="14" t="n"/>
      <c r="E173" s="14" t="n"/>
      <c r="F173" s="14" t="n"/>
      <c r="G173" s="14" t="n"/>
      <c r="H173" s="14" t="n"/>
      <c r="I173" s="14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</row>
    <row r="174" ht="15.75" customHeight="1" s="69">
      <c r="A174" s="2" t="n"/>
      <c r="B174" s="2" t="n"/>
      <c r="C174" s="14" t="n"/>
      <c r="D174" s="14" t="n"/>
      <c r="E174" s="14" t="n"/>
      <c r="F174" s="14" t="n"/>
      <c r="G174" s="14" t="n"/>
      <c r="H174" s="14" t="n"/>
      <c r="I174" s="14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</row>
    <row r="175" ht="15.75" customHeight="1" s="69">
      <c r="A175" s="2" t="n"/>
      <c r="B175" s="2" t="n"/>
      <c r="C175" s="14" t="n"/>
      <c r="D175" s="14" t="n"/>
      <c r="E175" s="14" t="n"/>
      <c r="F175" s="14" t="n"/>
      <c r="G175" s="14" t="n"/>
      <c r="H175" s="14" t="n"/>
      <c r="I175" s="14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</row>
    <row r="176" ht="15.75" customHeight="1" s="69">
      <c r="A176" s="2" t="n"/>
      <c r="B176" s="2" t="n"/>
      <c r="C176" s="14" t="n"/>
      <c r="D176" s="14" t="n"/>
      <c r="E176" s="14" t="n"/>
      <c r="F176" s="14" t="n"/>
      <c r="G176" s="14" t="n"/>
      <c r="H176" s="14" t="n"/>
      <c r="I176" s="14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</row>
    <row r="177" ht="15.75" customHeight="1" s="69">
      <c r="A177" s="2" t="n"/>
      <c r="B177" s="2" t="n"/>
      <c r="C177" s="14" t="n"/>
      <c r="D177" s="14" t="n"/>
      <c r="E177" s="14" t="n"/>
      <c r="F177" s="14" t="n"/>
      <c r="G177" s="14" t="n"/>
      <c r="H177" s="14" t="n"/>
      <c r="I177" s="14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</row>
    <row r="178" ht="15.75" customHeight="1" s="69">
      <c r="A178" s="2" t="n"/>
      <c r="B178" s="2" t="n"/>
      <c r="C178" s="14" t="n"/>
      <c r="D178" s="14" t="n"/>
      <c r="E178" s="14" t="n"/>
      <c r="F178" s="14" t="n"/>
      <c r="G178" s="14" t="n"/>
      <c r="H178" s="14" t="n"/>
      <c r="I178" s="14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</row>
    <row r="179" ht="15.75" customHeight="1" s="69">
      <c r="A179" s="2" t="n"/>
      <c r="B179" s="2" t="n"/>
      <c r="C179" s="14" t="n"/>
      <c r="D179" s="14" t="n"/>
      <c r="E179" s="14" t="n"/>
      <c r="F179" s="14" t="n"/>
      <c r="G179" s="14" t="n"/>
      <c r="H179" s="14" t="n"/>
      <c r="I179" s="14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</row>
    <row r="180" ht="15.75" customHeight="1" s="69">
      <c r="A180" s="2" t="n"/>
      <c r="B180" s="2" t="n"/>
      <c r="C180" s="14" t="n"/>
      <c r="D180" s="14" t="n"/>
      <c r="E180" s="14" t="n"/>
      <c r="F180" s="14" t="n"/>
      <c r="G180" s="14" t="n"/>
      <c r="H180" s="14" t="n"/>
      <c r="I180" s="14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</row>
    <row r="181" ht="15.75" customHeight="1" s="69">
      <c r="A181" s="2" t="n"/>
      <c r="B181" s="2" t="n"/>
      <c r="C181" s="14" t="n"/>
      <c r="D181" s="14" t="n"/>
      <c r="E181" s="14" t="n"/>
      <c r="F181" s="14" t="n"/>
      <c r="G181" s="14" t="n"/>
      <c r="H181" s="14" t="n"/>
      <c r="I181" s="14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</row>
    <row r="182" ht="15.75" customHeight="1" s="69">
      <c r="A182" s="2" t="n"/>
      <c r="B182" s="2" t="n"/>
      <c r="C182" s="14" t="n"/>
      <c r="D182" s="14" t="n"/>
      <c r="E182" s="14" t="n"/>
      <c r="F182" s="14" t="n"/>
      <c r="G182" s="14" t="n"/>
      <c r="H182" s="14" t="n"/>
      <c r="I182" s="14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</row>
    <row r="183" ht="15.75" customHeight="1" s="69">
      <c r="A183" s="2" t="n"/>
      <c r="B183" s="2" t="n"/>
      <c r="C183" s="14" t="n"/>
      <c r="D183" s="14" t="n"/>
      <c r="E183" s="14" t="n"/>
      <c r="F183" s="14" t="n"/>
      <c r="G183" s="14" t="n"/>
      <c r="H183" s="14" t="n"/>
      <c r="I183" s="14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</row>
    <row r="184" ht="15.75" customHeight="1" s="69">
      <c r="A184" s="2" t="n"/>
      <c r="B184" s="2" t="n"/>
      <c r="C184" s="14" t="n"/>
      <c r="D184" s="14" t="n"/>
      <c r="E184" s="14" t="n"/>
      <c r="F184" s="14" t="n"/>
      <c r="G184" s="14" t="n"/>
      <c r="H184" s="14" t="n"/>
      <c r="I184" s="14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</row>
    <row r="185" ht="15.75" customHeight="1" s="69">
      <c r="A185" s="2" t="n"/>
      <c r="B185" s="2" t="n"/>
      <c r="C185" s="14" t="n"/>
      <c r="D185" s="14" t="n"/>
      <c r="E185" s="14" t="n"/>
      <c r="F185" s="14" t="n"/>
      <c r="G185" s="14" t="n"/>
      <c r="H185" s="14" t="n"/>
      <c r="I185" s="14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</row>
    <row r="186" ht="15.75" customHeight="1" s="69">
      <c r="A186" s="2" t="n"/>
      <c r="B186" s="2" t="n"/>
      <c r="C186" s="14" t="n"/>
      <c r="D186" s="14" t="n"/>
      <c r="E186" s="14" t="n"/>
      <c r="F186" s="14" t="n"/>
      <c r="G186" s="14" t="n"/>
      <c r="H186" s="14" t="n"/>
      <c r="I186" s="14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</row>
    <row r="187" ht="15.75" customHeight="1" s="69">
      <c r="A187" s="2" t="n"/>
      <c r="B187" s="2" t="n"/>
      <c r="C187" s="14" t="n"/>
      <c r="D187" s="14" t="n"/>
      <c r="E187" s="14" t="n"/>
      <c r="F187" s="14" t="n"/>
      <c r="G187" s="14" t="n"/>
      <c r="H187" s="14" t="n"/>
      <c r="I187" s="14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</row>
    <row r="188" ht="15.75" customHeight="1" s="69">
      <c r="A188" s="2" t="n"/>
      <c r="B188" s="2" t="n"/>
      <c r="C188" s="14" t="n"/>
      <c r="D188" s="14" t="n"/>
      <c r="E188" s="14" t="n"/>
      <c r="F188" s="14" t="n"/>
      <c r="G188" s="14" t="n"/>
      <c r="H188" s="14" t="n"/>
      <c r="I188" s="14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</row>
    <row r="189" ht="15.75" customHeight="1" s="69">
      <c r="A189" s="2" t="n"/>
      <c r="B189" s="2" t="n"/>
      <c r="C189" s="14" t="n"/>
      <c r="D189" s="14" t="n"/>
      <c r="E189" s="14" t="n"/>
      <c r="F189" s="14" t="n"/>
      <c r="G189" s="14" t="n"/>
      <c r="H189" s="14" t="n"/>
      <c r="I189" s="14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</row>
    <row r="190" ht="15.75" customHeight="1" s="69">
      <c r="A190" s="2" t="n"/>
      <c r="B190" s="2" t="n"/>
      <c r="C190" s="14" t="n"/>
      <c r="D190" s="14" t="n"/>
      <c r="E190" s="14" t="n"/>
      <c r="F190" s="14" t="n"/>
      <c r="G190" s="14" t="n"/>
      <c r="H190" s="14" t="n"/>
      <c r="I190" s="14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</row>
    <row r="191" ht="15.75" customHeight="1" s="69">
      <c r="A191" s="2" t="n"/>
      <c r="B191" s="2" t="n"/>
      <c r="C191" s="14" t="n"/>
      <c r="D191" s="14" t="n"/>
      <c r="E191" s="14" t="n"/>
      <c r="F191" s="14" t="n"/>
      <c r="G191" s="14" t="n"/>
      <c r="H191" s="14" t="n"/>
      <c r="I191" s="14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</row>
    <row r="192" ht="15.75" customHeight="1" s="69">
      <c r="A192" s="2" t="n"/>
      <c r="B192" s="2" t="n"/>
      <c r="C192" s="14" t="n"/>
      <c r="D192" s="14" t="n"/>
      <c r="E192" s="14" t="n"/>
      <c r="F192" s="14" t="n"/>
      <c r="G192" s="14" t="n"/>
      <c r="H192" s="14" t="n"/>
      <c r="I192" s="14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</row>
    <row r="193" ht="15.75" customHeight="1" s="69">
      <c r="A193" s="2" t="n"/>
      <c r="B193" s="2" t="n"/>
      <c r="C193" s="14" t="n"/>
      <c r="D193" s="14" t="n"/>
      <c r="E193" s="14" t="n"/>
      <c r="F193" s="14" t="n"/>
      <c r="G193" s="14" t="n"/>
      <c r="H193" s="14" t="n"/>
      <c r="I193" s="14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</row>
    <row r="194" ht="15.75" customHeight="1" s="69">
      <c r="A194" s="2" t="n"/>
      <c r="B194" s="2" t="n"/>
      <c r="C194" s="14" t="n"/>
      <c r="D194" s="14" t="n"/>
      <c r="E194" s="14" t="n"/>
      <c r="F194" s="14" t="n"/>
      <c r="G194" s="14" t="n"/>
      <c r="H194" s="14" t="n"/>
      <c r="I194" s="14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</row>
    <row r="195" ht="15.75" customHeight="1" s="69">
      <c r="A195" s="2" t="n"/>
      <c r="B195" s="2" t="n"/>
      <c r="C195" s="14" t="n"/>
      <c r="D195" s="14" t="n"/>
      <c r="E195" s="14" t="n"/>
      <c r="F195" s="14" t="n"/>
      <c r="G195" s="14" t="n"/>
      <c r="H195" s="14" t="n"/>
      <c r="I195" s="14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</row>
    <row r="196" ht="15.75" customHeight="1" s="69">
      <c r="A196" s="2" t="n"/>
      <c r="B196" s="2" t="n"/>
      <c r="C196" s="14" t="n"/>
      <c r="D196" s="14" t="n"/>
      <c r="E196" s="14" t="n"/>
      <c r="F196" s="14" t="n"/>
      <c r="G196" s="14" t="n"/>
      <c r="H196" s="14" t="n"/>
      <c r="I196" s="14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</row>
    <row r="197" ht="15.75" customHeight="1" s="69">
      <c r="A197" s="2" t="n"/>
      <c r="B197" s="2" t="n"/>
      <c r="C197" s="14" t="n"/>
      <c r="D197" s="14" t="n"/>
      <c r="E197" s="14" t="n"/>
      <c r="F197" s="14" t="n"/>
      <c r="G197" s="14" t="n"/>
      <c r="H197" s="14" t="n"/>
      <c r="I197" s="14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</row>
    <row r="198" ht="15.75" customHeight="1" s="69">
      <c r="A198" s="2" t="n"/>
      <c r="B198" s="2" t="n"/>
      <c r="C198" s="14" t="n"/>
      <c r="D198" s="14" t="n"/>
      <c r="E198" s="14" t="n"/>
      <c r="F198" s="14" t="n"/>
      <c r="G198" s="14" t="n"/>
      <c r="H198" s="14" t="n"/>
      <c r="I198" s="14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</row>
    <row r="199" ht="15.75" customHeight="1" s="69">
      <c r="A199" s="2" t="n"/>
      <c r="B199" s="2" t="n"/>
      <c r="C199" s="14" t="n"/>
      <c r="D199" s="14" t="n"/>
      <c r="E199" s="14" t="n"/>
      <c r="F199" s="14" t="n"/>
      <c r="G199" s="14" t="n"/>
      <c r="H199" s="14" t="n"/>
      <c r="I199" s="14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</row>
    <row r="200" ht="15.75" customHeight="1" s="69">
      <c r="A200" s="2" t="n"/>
      <c r="B200" s="2" t="n"/>
      <c r="C200" s="14" t="n"/>
      <c r="D200" s="14" t="n"/>
      <c r="E200" s="14" t="n"/>
      <c r="F200" s="14" t="n"/>
      <c r="G200" s="14" t="n"/>
      <c r="H200" s="14" t="n"/>
      <c r="I200" s="14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</row>
    <row r="201" ht="15.75" customHeight="1" s="69">
      <c r="A201" s="2" t="n"/>
      <c r="B201" s="2" t="n"/>
      <c r="C201" s="14" t="n"/>
      <c r="D201" s="14" t="n"/>
      <c r="E201" s="14" t="n"/>
      <c r="F201" s="14" t="n"/>
      <c r="G201" s="14" t="n"/>
      <c r="H201" s="14" t="n"/>
      <c r="I201" s="14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</row>
    <row r="202" ht="15.75" customHeight="1" s="69">
      <c r="A202" s="2" t="n"/>
      <c r="B202" s="2" t="n"/>
      <c r="C202" s="14" t="n"/>
      <c r="D202" s="14" t="n"/>
      <c r="E202" s="14" t="n"/>
      <c r="F202" s="14" t="n"/>
      <c r="G202" s="14" t="n"/>
      <c r="H202" s="14" t="n"/>
      <c r="I202" s="14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</row>
    <row r="203" ht="15.75" customHeight="1" s="69">
      <c r="A203" s="2" t="n"/>
      <c r="B203" s="2" t="n"/>
      <c r="C203" s="14" t="n"/>
      <c r="D203" s="14" t="n"/>
      <c r="E203" s="14" t="n"/>
      <c r="F203" s="14" t="n"/>
      <c r="G203" s="14" t="n"/>
      <c r="H203" s="14" t="n"/>
      <c r="I203" s="14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</row>
    <row r="204" ht="15.75" customHeight="1" s="69">
      <c r="A204" s="2" t="n"/>
      <c r="B204" s="2" t="n"/>
      <c r="C204" s="14" t="n"/>
      <c r="D204" s="14" t="n"/>
      <c r="E204" s="14" t="n"/>
      <c r="F204" s="14" t="n"/>
      <c r="G204" s="14" t="n"/>
      <c r="H204" s="14" t="n"/>
      <c r="I204" s="14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</row>
    <row r="205" ht="15.75" customHeight="1" s="69">
      <c r="A205" s="2" t="n"/>
      <c r="B205" s="2" t="n"/>
      <c r="C205" s="14" t="n"/>
      <c r="D205" s="14" t="n"/>
      <c r="E205" s="14" t="n"/>
      <c r="F205" s="14" t="n"/>
      <c r="G205" s="14" t="n"/>
      <c r="H205" s="14" t="n"/>
      <c r="I205" s="14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</row>
    <row r="206" ht="15.75" customHeight="1" s="69">
      <c r="A206" s="2" t="n"/>
      <c r="B206" s="2" t="n"/>
      <c r="C206" s="14" t="n"/>
      <c r="D206" s="14" t="n"/>
      <c r="E206" s="14" t="n"/>
      <c r="F206" s="14" t="n"/>
      <c r="G206" s="14" t="n"/>
      <c r="H206" s="14" t="n"/>
      <c r="I206" s="14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</row>
    <row r="207" ht="15.75" customHeight="1" s="69">
      <c r="A207" s="2" t="n"/>
      <c r="B207" s="2" t="n"/>
      <c r="C207" s="14" t="n"/>
      <c r="D207" s="14" t="n"/>
      <c r="E207" s="14" t="n"/>
      <c r="F207" s="14" t="n"/>
      <c r="G207" s="14" t="n"/>
      <c r="H207" s="14" t="n"/>
      <c r="I207" s="14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</row>
    <row r="208" ht="15.75" customHeight="1" s="69">
      <c r="A208" s="2" t="n"/>
      <c r="B208" s="2" t="n"/>
      <c r="C208" s="14" t="n"/>
      <c r="D208" s="14" t="n"/>
      <c r="E208" s="14" t="n"/>
      <c r="F208" s="14" t="n"/>
      <c r="G208" s="14" t="n"/>
      <c r="H208" s="14" t="n"/>
      <c r="I208" s="14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</row>
    <row r="209" ht="15.75" customHeight="1" s="69">
      <c r="A209" s="2" t="n"/>
      <c r="B209" s="2" t="n"/>
      <c r="C209" s="14" t="n"/>
      <c r="D209" s="14" t="n"/>
      <c r="E209" s="14" t="n"/>
      <c r="F209" s="14" t="n"/>
      <c r="G209" s="14" t="n"/>
      <c r="H209" s="14" t="n"/>
      <c r="I209" s="14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</row>
    <row r="210" ht="15.75" customHeight="1" s="69">
      <c r="A210" s="2" t="n"/>
      <c r="B210" s="2" t="n"/>
      <c r="C210" s="14" t="n"/>
      <c r="D210" s="14" t="n"/>
      <c r="E210" s="14" t="n"/>
      <c r="F210" s="14" t="n"/>
      <c r="G210" s="14" t="n"/>
      <c r="H210" s="14" t="n"/>
      <c r="I210" s="14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</row>
    <row r="211" ht="15.75" customHeight="1" s="69">
      <c r="A211" s="2" t="n"/>
      <c r="B211" s="2" t="n"/>
      <c r="C211" s="14" t="n"/>
      <c r="D211" s="14" t="n"/>
      <c r="E211" s="14" t="n"/>
      <c r="F211" s="14" t="n"/>
      <c r="G211" s="14" t="n"/>
      <c r="H211" s="14" t="n"/>
      <c r="I211" s="14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</row>
    <row r="212" ht="15.75" customHeight="1" s="69">
      <c r="A212" s="2" t="n"/>
      <c r="B212" s="2" t="n"/>
      <c r="C212" s="14" t="n"/>
      <c r="D212" s="14" t="n"/>
      <c r="E212" s="14" t="n"/>
      <c r="F212" s="14" t="n"/>
      <c r="G212" s="14" t="n"/>
      <c r="H212" s="14" t="n"/>
      <c r="I212" s="14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</row>
    <row r="213" ht="15.75" customHeight="1" s="69">
      <c r="A213" s="2" t="n"/>
      <c r="B213" s="2" t="n"/>
      <c r="C213" s="14" t="n"/>
      <c r="D213" s="14" t="n"/>
      <c r="E213" s="14" t="n"/>
      <c r="F213" s="14" t="n"/>
      <c r="G213" s="14" t="n"/>
      <c r="H213" s="14" t="n"/>
      <c r="I213" s="14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</row>
    <row r="214" ht="15.75" customHeight="1" s="69">
      <c r="A214" s="2" t="n"/>
      <c r="B214" s="2" t="n"/>
      <c r="C214" s="14" t="n"/>
      <c r="D214" s="14" t="n"/>
      <c r="E214" s="14" t="n"/>
      <c r="F214" s="14" t="n"/>
      <c r="G214" s="14" t="n"/>
      <c r="H214" s="14" t="n"/>
      <c r="I214" s="14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</row>
    <row r="215" ht="15.75" customHeight="1" s="69">
      <c r="A215" s="2" t="n"/>
      <c r="B215" s="2" t="n"/>
      <c r="C215" s="14" t="n"/>
      <c r="D215" s="14" t="n"/>
      <c r="E215" s="14" t="n"/>
      <c r="F215" s="14" t="n"/>
      <c r="G215" s="14" t="n"/>
      <c r="H215" s="14" t="n"/>
      <c r="I215" s="14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</row>
    <row r="216" ht="15.75" customHeight="1" s="69">
      <c r="A216" s="2" t="n"/>
      <c r="B216" s="2" t="n"/>
      <c r="C216" s="14" t="n"/>
      <c r="D216" s="14" t="n"/>
      <c r="E216" s="14" t="n"/>
      <c r="F216" s="14" t="n"/>
      <c r="G216" s="14" t="n"/>
      <c r="H216" s="14" t="n"/>
      <c r="I216" s="14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</row>
    <row r="217" ht="15.75" customHeight="1" s="69">
      <c r="A217" s="2" t="n"/>
      <c r="B217" s="2" t="n"/>
      <c r="C217" s="14" t="n"/>
      <c r="D217" s="14" t="n"/>
      <c r="E217" s="14" t="n"/>
      <c r="F217" s="14" t="n"/>
      <c r="G217" s="14" t="n"/>
      <c r="H217" s="14" t="n"/>
      <c r="I217" s="14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</row>
    <row r="218" ht="15.75" customHeight="1" s="69">
      <c r="A218" s="2" t="n"/>
      <c r="B218" s="2" t="n"/>
      <c r="C218" s="14" t="n"/>
      <c r="D218" s="14" t="n"/>
      <c r="E218" s="14" t="n"/>
      <c r="F218" s="14" t="n"/>
      <c r="G218" s="14" t="n"/>
      <c r="H218" s="14" t="n"/>
      <c r="I218" s="14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</row>
    <row r="219" ht="15.75" customHeight="1" s="69">
      <c r="A219" s="2" t="n"/>
      <c r="B219" s="2" t="n"/>
      <c r="C219" s="14" t="n"/>
      <c r="D219" s="14" t="n"/>
      <c r="E219" s="14" t="n"/>
      <c r="F219" s="14" t="n"/>
      <c r="G219" s="14" t="n"/>
      <c r="H219" s="14" t="n"/>
      <c r="I219" s="14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</row>
    <row r="220" ht="15.75" customHeight="1" s="69">
      <c r="A220" s="2" t="n"/>
      <c r="B220" s="2" t="n"/>
      <c r="C220" s="14" t="n"/>
      <c r="D220" s="14" t="n"/>
      <c r="E220" s="14" t="n"/>
      <c r="F220" s="14" t="n"/>
      <c r="G220" s="14" t="n"/>
      <c r="H220" s="14" t="n"/>
      <c r="I220" s="14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</row>
    <row r="221" ht="15.75" customHeight="1" s="69">
      <c r="A221" s="2" t="n"/>
      <c r="B221" s="2" t="n"/>
      <c r="C221" s="14" t="n"/>
      <c r="D221" s="14" t="n"/>
      <c r="E221" s="14" t="n"/>
      <c r="F221" s="14" t="n"/>
      <c r="G221" s="14" t="n"/>
      <c r="H221" s="14" t="n"/>
      <c r="I221" s="14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</row>
    <row r="222" ht="15.75" customHeight="1" s="69">
      <c r="A222" s="2" t="n"/>
      <c r="B222" s="2" t="n"/>
      <c r="C222" s="14" t="n"/>
      <c r="D222" s="14" t="n"/>
      <c r="E222" s="14" t="n"/>
      <c r="F222" s="14" t="n"/>
      <c r="G222" s="14" t="n"/>
      <c r="H222" s="14" t="n"/>
      <c r="I222" s="14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</row>
    <row r="223" ht="15.75" customHeight="1" s="69">
      <c r="A223" s="2" t="n"/>
      <c r="B223" s="2" t="n"/>
      <c r="C223" s="14" t="n"/>
      <c r="D223" s="14" t="n"/>
      <c r="E223" s="14" t="n"/>
      <c r="F223" s="14" t="n"/>
      <c r="G223" s="14" t="n"/>
      <c r="H223" s="14" t="n"/>
      <c r="I223" s="14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</row>
    <row r="224" ht="15.75" customHeight="1" s="69">
      <c r="A224" s="2" t="n"/>
      <c r="B224" s="2" t="n"/>
      <c r="C224" s="14" t="n"/>
      <c r="D224" s="14" t="n"/>
      <c r="E224" s="14" t="n"/>
      <c r="F224" s="14" t="n"/>
      <c r="G224" s="14" t="n"/>
      <c r="H224" s="14" t="n"/>
      <c r="I224" s="14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</row>
    <row r="225" ht="15.75" customHeight="1" s="69">
      <c r="A225" s="2" t="n"/>
      <c r="B225" s="2" t="n"/>
      <c r="C225" s="14" t="n"/>
      <c r="D225" s="14" t="n"/>
      <c r="E225" s="14" t="n"/>
      <c r="F225" s="14" t="n"/>
      <c r="G225" s="14" t="n"/>
      <c r="H225" s="14" t="n"/>
      <c r="I225" s="14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</row>
    <row r="226" ht="15.75" customHeight="1" s="69">
      <c r="A226" s="2" t="n"/>
      <c r="B226" s="2" t="n"/>
      <c r="C226" s="14" t="n"/>
      <c r="D226" s="14" t="n"/>
      <c r="E226" s="14" t="n"/>
      <c r="F226" s="14" t="n"/>
      <c r="G226" s="14" t="n"/>
      <c r="H226" s="14" t="n"/>
      <c r="I226" s="14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</row>
    <row r="227" ht="15.75" customHeight="1" s="69">
      <c r="A227" s="2" t="n"/>
      <c r="B227" s="2" t="n"/>
      <c r="C227" s="14" t="n"/>
      <c r="D227" s="14" t="n"/>
      <c r="E227" s="14" t="n"/>
      <c r="F227" s="14" t="n"/>
      <c r="G227" s="14" t="n"/>
      <c r="H227" s="14" t="n"/>
      <c r="I227" s="14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</row>
    <row r="228" ht="15.75" customHeight="1" s="69">
      <c r="A228" s="2" t="n"/>
      <c r="B228" s="2" t="n"/>
      <c r="C228" s="14" t="n"/>
      <c r="D228" s="14" t="n"/>
      <c r="E228" s="14" t="n"/>
      <c r="F228" s="14" t="n"/>
      <c r="G228" s="14" t="n"/>
      <c r="H228" s="14" t="n"/>
      <c r="I228" s="14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</row>
    <row r="229" ht="15.75" customHeight="1" s="69">
      <c r="A229" s="2" t="n"/>
      <c r="B229" s="2" t="n"/>
      <c r="C229" s="14" t="n"/>
      <c r="D229" s="14" t="n"/>
      <c r="E229" s="14" t="n"/>
      <c r="F229" s="14" t="n"/>
      <c r="G229" s="14" t="n"/>
      <c r="H229" s="14" t="n"/>
      <c r="I229" s="14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</row>
    <row r="230" ht="15.75" customHeight="1" s="69">
      <c r="A230" s="2" t="n"/>
      <c r="B230" s="2" t="n"/>
      <c r="C230" s="14" t="n"/>
      <c r="D230" s="14" t="n"/>
      <c r="E230" s="14" t="n"/>
      <c r="F230" s="14" t="n"/>
      <c r="G230" s="14" t="n"/>
      <c r="H230" s="14" t="n"/>
      <c r="I230" s="14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</row>
    <row r="231" ht="15.75" customHeight="1" s="69">
      <c r="A231" s="2" t="n"/>
      <c r="B231" s="2" t="n"/>
      <c r="C231" s="14" t="n"/>
      <c r="D231" s="14" t="n"/>
      <c r="E231" s="14" t="n"/>
      <c r="F231" s="14" t="n"/>
      <c r="G231" s="14" t="n"/>
      <c r="H231" s="14" t="n"/>
      <c r="I231" s="14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</row>
    <row r="232" ht="15.75" customHeight="1" s="69">
      <c r="A232" s="2" t="n"/>
      <c r="B232" s="2" t="n"/>
      <c r="C232" s="14" t="n"/>
      <c r="D232" s="14" t="n"/>
      <c r="E232" s="14" t="n"/>
      <c r="F232" s="14" t="n"/>
      <c r="G232" s="14" t="n"/>
      <c r="H232" s="14" t="n"/>
      <c r="I232" s="14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</row>
    <row r="233" ht="15.75" customHeight="1" s="69">
      <c r="A233" s="2" t="n"/>
      <c r="B233" s="2" t="n"/>
      <c r="C233" s="14" t="n"/>
      <c r="D233" s="14" t="n"/>
      <c r="E233" s="14" t="n"/>
      <c r="F233" s="14" t="n"/>
      <c r="G233" s="14" t="n"/>
      <c r="H233" s="14" t="n"/>
      <c r="I233" s="14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</row>
    <row r="234" ht="15.75" customHeight="1" s="69">
      <c r="A234" s="2" t="n"/>
      <c r="B234" s="2" t="n"/>
      <c r="C234" s="14" t="n"/>
      <c r="D234" s="14" t="n"/>
      <c r="E234" s="14" t="n"/>
      <c r="F234" s="14" t="n"/>
      <c r="G234" s="14" t="n"/>
      <c r="H234" s="14" t="n"/>
      <c r="I234" s="14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</row>
    <row r="235" ht="15.75" customHeight="1" s="69">
      <c r="A235" s="2" t="n"/>
      <c r="B235" s="2" t="n"/>
      <c r="C235" s="14" t="n"/>
      <c r="D235" s="14" t="n"/>
      <c r="E235" s="14" t="n"/>
      <c r="F235" s="14" t="n"/>
      <c r="G235" s="14" t="n"/>
      <c r="H235" s="14" t="n"/>
      <c r="I235" s="14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</row>
    <row r="236" ht="15.75" customHeight="1" s="69">
      <c r="A236" s="2" t="n"/>
      <c r="B236" s="2" t="n"/>
      <c r="C236" s="14" t="n"/>
      <c r="D236" s="14" t="n"/>
      <c r="E236" s="14" t="n"/>
      <c r="F236" s="14" t="n"/>
      <c r="G236" s="14" t="n"/>
      <c r="H236" s="14" t="n"/>
      <c r="I236" s="14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</row>
    <row r="237" ht="15.75" customHeight="1" s="69">
      <c r="A237" s="2" t="n"/>
      <c r="B237" s="2" t="n"/>
      <c r="C237" s="14" t="n"/>
      <c r="D237" s="14" t="n"/>
      <c r="E237" s="14" t="n"/>
      <c r="F237" s="14" t="n"/>
      <c r="G237" s="14" t="n"/>
      <c r="H237" s="14" t="n"/>
      <c r="I237" s="14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</row>
    <row r="238" ht="15.75" customHeight="1" s="69">
      <c r="A238" s="2" t="n"/>
      <c r="B238" s="2" t="n"/>
      <c r="C238" s="14" t="n"/>
      <c r="D238" s="14" t="n"/>
      <c r="E238" s="14" t="n"/>
      <c r="F238" s="14" t="n"/>
      <c r="G238" s="14" t="n"/>
      <c r="H238" s="14" t="n"/>
      <c r="I238" s="14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</row>
    <row r="239" ht="15.75" customHeight="1" s="69">
      <c r="A239" s="2" t="n"/>
      <c r="B239" s="2" t="n"/>
      <c r="C239" s="14" t="n"/>
      <c r="D239" s="14" t="n"/>
      <c r="E239" s="14" t="n"/>
      <c r="F239" s="14" t="n"/>
      <c r="G239" s="14" t="n"/>
      <c r="H239" s="14" t="n"/>
      <c r="I239" s="14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</row>
    <row r="240" ht="15.75" customHeight="1" s="69">
      <c r="A240" s="2" t="n"/>
      <c r="B240" s="2" t="n"/>
      <c r="C240" s="14" t="n"/>
      <c r="D240" s="14" t="n"/>
      <c r="E240" s="14" t="n"/>
      <c r="F240" s="14" t="n"/>
      <c r="G240" s="14" t="n"/>
      <c r="H240" s="14" t="n"/>
      <c r="I240" s="14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</row>
    <row r="241" ht="15.75" customHeight="1" s="69">
      <c r="A241" s="2" t="n"/>
      <c r="B241" s="2" t="n"/>
      <c r="C241" s="14" t="n"/>
      <c r="D241" s="14" t="n"/>
      <c r="E241" s="14" t="n"/>
      <c r="F241" s="14" t="n"/>
      <c r="G241" s="14" t="n"/>
      <c r="H241" s="14" t="n"/>
      <c r="I241" s="14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</row>
    <row r="242" ht="15.75" customHeight="1" s="69">
      <c r="A242" s="2" t="n"/>
      <c r="B242" s="2" t="n"/>
      <c r="C242" s="14" t="n"/>
      <c r="D242" s="14" t="n"/>
      <c r="E242" s="14" t="n"/>
      <c r="F242" s="14" t="n"/>
      <c r="G242" s="14" t="n"/>
      <c r="H242" s="14" t="n"/>
      <c r="I242" s="14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</row>
    <row r="243" ht="15.75" customHeight="1" s="69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</row>
    <row r="244" ht="15.75" customHeight="1" s="69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</row>
    <row r="245" ht="15.75" customHeight="1" s="69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</row>
    <row r="246" ht="15.75" customHeight="1" s="69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</row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3">
    <mergeCell ref="N1:S1"/>
    <mergeCell ref="D1:M1"/>
    <mergeCell ref="A1:A2"/>
  </mergeCells>
  <conditionalFormatting sqref="C38:S38 C46:S46">
    <cfRule type="cellIs" priority="1" operator="greaterThan" dxfId="1">
      <formula>0</formula>
    </cfRule>
    <cfRule type="cellIs" priority="2" operator="lessThanOrEqual" dxfId="0">
      <formula>0</formula>
    </cfRule>
  </conditionalFormatting>
  <pageMargins left="0.7" right="0.7" top="0.75" bottom="0.75" header="0" footer="0"/>
  <pageSetup orientation="landscape" paperSize="8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00FF00"/>
    <outlinePr summaryBelow="1" summaryRight="1"/>
    <pageSetUpPr/>
  </sheetPr>
  <dimension ref="A1:Y220"/>
  <sheetViews>
    <sheetView workbookViewId="0">
      <selection activeCell="P5" sqref="P5"/>
    </sheetView>
  </sheetViews>
  <sheetFormatPr baseColWidth="8" defaultColWidth="11.25" defaultRowHeight="15" customHeight="1"/>
  <cols>
    <col width="7.875" customWidth="1" style="69" min="1" max="1"/>
    <col width="14.25" bestFit="1" customWidth="1" style="69" min="2" max="2"/>
    <col width="12.875" bestFit="1" customWidth="1" style="69" min="3" max="3"/>
    <col hidden="1" width="10.5" customWidth="1" style="69" min="4" max="4"/>
    <col hidden="1" width="8.625" customWidth="1" style="69" min="5" max="5"/>
    <col hidden="1" width="10.375" customWidth="1" style="69" min="6" max="6"/>
    <col hidden="1" width="9.625" customWidth="1" style="69" min="7" max="7"/>
    <col hidden="1" width="8.625" customWidth="1" style="69" min="8" max="8"/>
    <col hidden="1" width="9.25" customWidth="1" style="69" min="9" max="9"/>
    <col hidden="1" width="7" customWidth="1" style="69" min="10" max="10"/>
    <col hidden="1" width="6.625" customWidth="1" style="69" min="11" max="11"/>
    <col hidden="1" width="9.125" customWidth="1" style="69" min="12" max="13"/>
    <col hidden="1" width="13" customWidth="1" style="69" min="13" max="13"/>
    <col hidden="1" width="8.625" bestFit="1" customWidth="1" style="69" min="14" max="14"/>
    <col hidden="1" width="12.875" bestFit="1" customWidth="1" style="69" min="15" max="15"/>
    <col width="13.875" bestFit="1" customWidth="1" style="69" min="16" max="16"/>
    <col width="11.75" bestFit="1" customWidth="1" style="69" min="17" max="17"/>
    <col width="12.875" bestFit="1" customWidth="1" style="69" min="18" max="18"/>
    <col width="12" bestFit="1" customWidth="1" style="69" min="19" max="19"/>
    <col width="11.75" bestFit="1" customWidth="1" style="69" min="20" max="25"/>
    <col width="8.625" customWidth="1" style="69" min="26" max="26"/>
  </cols>
  <sheetData>
    <row r="1" ht="15.75" customHeight="1" s="69">
      <c r="A1" s="1" t="n"/>
      <c r="B1" s="1" t="n"/>
      <c r="C1" s="3" t="n"/>
      <c r="D1" s="79" t="n">
        <v>2025</v>
      </c>
      <c r="E1" s="73" t="n"/>
      <c r="F1" s="73" t="n"/>
      <c r="G1" s="73" t="n"/>
      <c r="H1" s="78" t="n">
        <v>2026</v>
      </c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7" t="n">
        <v>2027</v>
      </c>
      <c r="U1" s="73" t="n"/>
      <c r="V1" s="73" t="n"/>
      <c r="W1" s="73" t="n"/>
      <c r="X1" s="73" t="n"/>
      <c r="Y1" s="74" t="n"/>
    </row>
    <row r="2" ht="15.75" customHeight="1" s="69">
      <c r="A2" s="1" t="n"/>
      <c r="B2" s="1" t="n"/>
      <c r="C2" s="3" t="n"/>
      <c r="D2" s="7" t="inlineStr">
        <is>
          <t>SETTEMBRE</t>
        </is>
      </c>
      <c r="E2" s="7" t="inlineStr">
        <is>
          <t>OTTOBRE</t>
        </is>
      </c>
      <c r="F2" s="7" t="inlineStr">
        <is>
          <t>NOVEMBRE</t>
        </is>
      </c>
      <c r="G2" s="7" t="inlineStr">
        <is>
          <t>DICEMBRE</t>
        </is>
      </c>
      <c r="H2" s="6" t="inlineStr">
        <is>
          <t>GENNAIO</t>
        </is>
      </c>
      <c r="I2" s="6" t="inlineStr">
        <is>
          <t>FEBBRAIO</t>
        </is>
      </c>
      <c r="J2" s="6" t="inlineStr">
        <is>
          <t>MARZO</t>
        </is>
      </c>
      <c r="K2" s="6" t="inlineStr">
        <is>
          <t>APRILE</t>
        </is>
      </c>
      <c r="L2" s="8" t="inlineStr">
        <is>
          <t>MAGGIO</t>
        </is>
      </c>
      <c r="M2" s="8" t="inlineStr">
        <is>
          <t>GIUGNO</t>
        </is>
      </c>
      <c r="N2" s="8" t="inlineStr">
        <is>
          <t>LUGLIO</t>
        </is>
      </c>
      <c r="O2" s="8" t="inlineStr">
        <is>
          <t>AGOSTO</t>
        </is>
      </c>
      <c r="P2" s="8" t="inlineStr">
        <is>
          <t>SETTEMBRE</t>
        </is>
      </c>
      <c r="Q2" s="8" t="inlineStr">
        <is>
          <t>OTTOBRE</t>
        </is>
      </c>
      <c r="R2" s="8" t="inlineStr">
        <is>
          <t>NOVEMBRE</t>
        </is>
      </c>
      <c r="S2" s="8" t="inlineStr">
        <is>
          <t>DICEMBRE</t>
        </is>
      </c>
      <c r="T2" s="11" t="inlineStr">
        <is>
          <t>GENNAIO</t>
        </is>
      </c>
      <c r="U2" s="11" t="inlineStr">
        <is>
          <t>FEBBRAIO</t>
        </is>
      </c>
      <c r="V2" s="11" t="inlineStr">
        <is>
          <t>MARZO</t>
        </is>
      </c>
      <c r="W2" s="11" t="inlineStr">
        <is>
          <t>APRILE</t>
        </is>
      </c>
      <c r="X2" s="11" t="inlineStr">
        <is>
          <t>MAGGIO</t>
        </is>
      </c>
      <c r="Y2" s="11" t="inlineStr">
        <is>
          <t>GIUGNO</t>
        </is>
      </c>
    </row>
    <row r="3" ht="15.75" customHeight="1" s="69">
      <c r="A3" s="15" t="n"/>
      <c r="B3" s="15" t="inlineStr">
        <is>
          <t>Salari e Stipendi</t>
        </is>
      </c>
      <c r="C3" s="17">
        <f>SUM(D3:Y3)</f>
        <v/>
      </c>
      <c r="D3" s="17">
        <f>SUM(D4:D134)</f>
        <v/>
      </c>
      <c r="E3" s="17">
        <f>SUM(E4:E134)</f>
        <v/>
      </c>
      <c r="F3" s="17">
        <f>SUM(F4:F134)</f>
        <v/>
      </c>
      <c r="G3" s="17">
        <f>SUM(G4:G134)</f>
        <v/>
      </c>
      <c r="H3" s="17">
        <f>SUM(H4:H134)</f>
        <v/>
      </c>
      <c r="I3" s="17">
        <f>SUM(I4:I134)</f>
        <v/>
      </c>
      <c r="J3" s="17">
        <f>SUM(J4:J134)</f>
        <v/>
      </c>
      <c r="K3" s="17">
        <f>SUM(K4:K134)</f>
        <v/>
      </c>
      <c r="L3" s="17">
        <f>SUM(L4:L134)</f>
        <v/>
      </c>
      <c r="M3" s="17">
        <f>SUM(M4:M134)</f>
        <v/>
      </c>
      <c r="N3" s="17">
        <f>SUM(N4:N134)</f>
        <v/>
      </c>
      <c r="O3" s="17">
        <f>SUM(O4:O134)</f>
        <v/>
      </c>
      <c r="P3" s="17">
        <f>SUM(P4:P134)</f>
        <v/>
      </c>
      <c r="Q3" s="17">
        <f>SUM(Q4:Q134)</f>
        <v/>
      </c>
      <c r="R3" s="17">
        <f>SUM(R4:R134)</f>
        <v/>
      </c>
      <c r="S3" s="17">
        <f>SUM(S4:S134)</f>
        <v/>
      </c>
      <c r="T3" s="17">
        <f>SUM(T4:T134)</f>
        <v/>
      </c>
      <c r="U3" s="17">
        <f>SUM(U4:U134)</f>
        <v/>
      </c>
      <c r="V3" s="17">
        <f>SUM(V4:V134)</f>
        <v/>
      </c>
      <c r="W3" s="17">
        <f>SUM(W4:W134)</f>
        <v/>
      </c>
      <c r="X3" s="17">
        <f>SUM(X4:X134)</f>
        <v/>
      </c>
      <c r="Y3" s="17">
        <f>SUM(Y4:Y134)</f>
        <v/>
      </c>
    </row>
    <row r="4" ht="15.75" customHeight="1" s="69">
      <c r="A4" s="2" t="n"/>
      <c r="B4" s="21" t="inlineStr">
        <is>
          <t>Salari</t>
        </is>
      </c>
      <c r="C4" s="23">
        <f>SUM(D4:Y4)</f>
        <v/>
      </c>
      <c r="D4" s="23" t="n"/>
      <c r="E4" s="23" t="n"/>
      <c r="F4" s="23" t="n">
        <v>0</v>
      </c>
      <c r="G4" s="23" t="n">
        <v>0</v>
      </c>
      <c r="H4" s="23" t="n"/>
      <c r="I4" s="23" t="n"/>
      <c r="J4" s="23" t="n"/>
      <c r="K4" s="23" t="n"/>
      <c r="L4" s="23" t="n"/>
      <c r="M4" s="23" t="n"/>
      <c r="N4" s="23" t="n"/>
      <c r="O4" s="23" t="n"/>
      <c r="P4" s="23" t="n">
        <v>11376.14</v>
      </c>
      <c r="Q4" s="23" t="n">
        <v>9000</v>
      </c>
      <c r="R4" s="23" t="n">
        <v>10000</v>
      </c>
      <c r="S4" s="23" t="n">
        <v>5000</v>
      </c>
      <c r="T4" s="23" t="n">
        <v>2800</v>
      </c>
      <c r="U4" s="23" t="n">
        <v>2700</v>
      </c>
      <c r="V4" s="23" t="n">
        <v>2700</v>
      </c>
      <c r="W4" s="23" t="n">
        <v>2700</v>
      </c>
      <c r="X4" s="23" t="n">
        <v>2700</v>
      </c>
      <c r="Y4" s="23" t="n">
        <v>2700</v>
      </c>
    </row>
    <row r="5" ht="15.75" customHeight="1" s="69">
      <c r="A5" s="2" t="n"/>
      <c r="B5" s="21" t="inlineStr">
        <is>
          <t xml:space="preserve">F24 </t>
        </is>
      </c>
      <c r="C5" s="28" t="n"/>
      <c r="D5" s="28" t="n"/>
      <c r="E5" s="59" t="n"/>
      <c r="F5" s="59" t="n">
        <v>0</v>
      </c>
      <c r="G5" s="59" t="n">
        <v>0</v>
      </c>
      <c r="H5" s="23" t="n"/>
      <c r="I5" s="59" t="n"/>
      <c r="J5" s="59" t="n"/>
      <c r="K5" s="59" t="n"/>
      <c r="L5" s="59" t="n"/>
      <c r="M5" s="59" t="n"/>
      <c r="N5" s="23" t="n"/>
      <c r="O5" s="23" t="n"/>
      <c r="P5" s="23" t="n">
        <v>5000</v>
      </c>
      <c r="Q5" s="23" t="n">
        <v>5000</v>
      </c>
      <c r="R5" s="23" t="n">
        <v>5000</v>
      </c>
      <c r="S5" s="59" t="n">
        <v>3000</v>
      </c>
      <c r="T5" s="59" t="n">
        <v>1350</v>
      </c>
      <c r="U5" s="59" t="n">
        <v>1400</v>
      </c>
      <c r="V5" s="59" t="n">
        <v>1400</v>
      </c>
      <c r="W5" s="59" t="n">
        <v>1200</v>
      </c>
      <c r="X5" s="59" t="n">
        <v>1212</v>
      </c>
      <c r="Y5" s="59" t="n">
        <v>1300</v>
      </c>
    </row>
    <row r="6" ht="15.75" customHeight="1" s="69">
      <c r="A6" s="2" t="n">
        <v>73</v>
      </c>
      <c r="B6" s="21" t="inlineStr">
        <is>
          <t>DELLA PIETRA STEFANO</t>
        </is>
      </c>
      <c r="C6" s="28" t="n"/>
      <c r="D6" s="59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59" t="n">
        <v>5100</v>
      </c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</row>
    <row r="7" ht="15.75" customHeight="1" s="69">
      <c r="A7" s="2" t="n"/>
      <c r="B7" s="2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</row>
    <row r="8" ht="15.75" customHeight="1" s="69">
      <c r="A8" s="2" t="n"/>
      <c r="B8" s="2" t="n"/>
      <c r="C8" s="59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</row>
    <row r="9" ht="15.75" customHeight="1" s="69">
      <c r="A9" s="2" t="n"/>
      <c r="B9" s="2" t="n"/>
      <c r="C9" s="59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</row>
    <row r="10" ht="15.75" customHeight="1" s="69">
      <c r="A10" s="2" t="n"/>
      <c r="B10" s="2" t="n"/>
      <c r="C10" s="59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</row>
    <row r="11" ht="15.75" customHeight="1" s="69">
      <c r="A11" s="2" t="n"/>
      <c r="B11" s="2" t="n"/>
      <c r="C11" s="59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</row>
    <row r="12" ht="15.75" customHeight="1" s="69">
      <c r="A12" s="2" t="n"/>
      <c r="B12" s="2" t="n"/>
      <c r="C12" s="59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59" t="n"/>
      <c r="Q12" s="59" t="n"/>
      <c r="R12" s="59" t="n"/>
      <c r="S12" s="59" t="n"/>
      <c r="T12" s="59" t="n"/>
      <c r="U12" s="59" t="n"/>
      <c r="V12" s="59" t="n"/>
      <c r="W12" s="59" t="n"/>
      <c r="X12" s="59" t="n"/>
      <c r="Y12" s="59" t="n"/>
    </row>
    <row r="13" ht="15.75" customHeight="1" s="69">
      <c r="A13" s="2" t="n"/>
      <c r="B13" s="2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</row>
    <row r="14" ht="15.75" customHeight="1" s="69">
      <c r="A14" s="2" t="n"/>
      <c r="B14" s="2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</row>
    <row r="15" ht="15.75" customHeight="1" s="69">
      <c r="A15" s="2" t="n"/>
      <c r="B15" s="2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</row>
    <row r="16" ht="15.75" customHeight="1" s="69">
      <c r="A16" s="2" t="n"/>
      <c r="B16" s="2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</row>
    <row r="17" ht="15.75" customHeight="1" s="69">
      <c r="A17" s="2" t="n"/>
      <c r="B17" s="2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</row>
    <row r="18" ht="15.75" customHeight="1" s="69">
      <c r="A18" s="2" t="n"/>
      <c r="B18" s="2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</row>
    <row r="19" ht="15.75" customHeight="1" s="69">
      <c r="A19" s="2" t="n"/>
      <c r="B19" s="2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</row>
    <row r="20" ht="15.75" customHeight="1" s="69">
      <c r="A20" s="2" t="n"/>
      <c r="B20" s="2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</row>
    <row r="21" ht="15.75" customHeight="1" s="69">
      <c r="A21" s="2" t="n"/>
      <c r="B21" s="2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</row>
    <row r="22" ht="15.75" customHeight="1" s="69">
      <c r="A22" s="2" t="n"/>
      <c r="B22" s="2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</row>
    <row r="23" ht="15.75" customHeight="1" s="69">
      <c r="A23" s="2" t="n"/>
      <c r="B23" s="2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</row>
    <row r="24" ht="15.75" customHeight="1" s="69">
      <c r="A24" s="2" t="n"/>
      <c r="B24" s="2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</row>
    <row r="25" ht="15.75" customHeight="1" s="69">
      <c r="A25" s="2" t="n"/>
      <c r="B25" s="2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</row>
    <row r="26" ht="15.75" customHeight="1" s="69">
      <c r="A26" s="2" t="n"/>
      <c r="B26" s="2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</row>
    <row r="27" ht="15.75" customHeight="1" s="69">
      <c r="A27" s="2" t="n"/>
      <c r="B27" s="2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</row>
    <row r="28" ht="15.75" customHeight="1" s="69">
      <c r="A28" s="2" t="n"/>
      <c r="B28" s="2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</row>
    <row r="29" ht="15.75" customHeight="1" s="69">
      <c r="A29" s="2" t="n"/>
      <c r="B29" s="2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</row>
    <row r="30" ht="15.75" customHeight="1" s="69">
      <c r="A30" s="2" t="n"/>
      <c r="B30" s="2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</row>
    <row r="31" ht="15.75" customHeight="1" s="69">
      <c r="A31" s="2" t="n"/>
      <c r="B31" s="2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</row>
    <row r="32" ht="15.75" customHeight="1" s="69">
      <c r="A32" s="2" t="n"/>
      <c r="B32" s="2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</row>
    <row r="33" ht="15.75" customHeight="1" s="69">
      <c r="A33" s="2" t="n"/>
      <c r="B33" s="2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</row>
    <row r="34" ht="15.75" customHeight="1" s="69">
      <c r="A34" s="2" t="n"/>
      <c r="B34" s="2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</row>
    <row r="35" ht="15.75" customHeight="1" s="69">
      <c r="A35" s="2" t="n"/>
      <c r="B35" s="2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</row>
    <row r="36" ht="15.75" customHeight="1" s="69">
      <c r="A36" s="2" t="n"/>
      <c r="B36" s="2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</row>
    <row r="37" ht="15.75" customHeight="1" s="69">
      <c r="A37" s="2" t="n"/>
      <c r="B37" s="2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</row>
    <row r="38" ht="15.75" customHeight="1" s="69">
      <c r="A38" s="2" t="n"/>
      <c r="B38" s="2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</row>
    <row r="39" ht="15.75" customHeight="1" s="69">
      <c r="A39" s="2" t="n"/>
      <c r="B39" s="2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</row>
    <row r="40" ht="15.75" customHeight="1" s="69">
      <c r="A40" s="2" t="n"/>
      <c r="B40" s="2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</row>
    <row r="41" ht="15.75" customHeight="1" s="69">
      <c r="A41" s="2" t="n"/>
      <c r="B41" s="2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</row>
    <row r="42" ht="15.75" customHeight="1" s="69">
      <c r="A42" s="2" t="n"/>
      <c r="B42" s="2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</row>
    <row r="43" ht="15.75" customHeight="1" s="69">
      <c r="A43" s="2" t="n"/>
      <c r="B43" s="2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</row>
    <row r="44" ht="15.75" customHeight="1" s="69">
      <c r="A44" s="2" t="n"/>
      <c r="B44" s="2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</row>
    <row r="45" ht="15.75" customHeight="1" s="69">
      <c r="A45" s="2" t="n"/>
      <c r="B45" s="2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</row>
    <row r="46" ht="15.75" customHeight="1" s="69">
      <c r="A46" s="2" t="n"/>
      <c r="B46" s="2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</row>
    <row r="47" ht="15.75" customHeight="1" s="69">
      <c r="A47" s="2" t="n"/>
      <c r="B47" s="2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</row>
    <row r="48" ht="15.75" customHeight="1" s="69">
      <c r="A48" s="2" t="n"/>
      <c r="B48" s="2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</row>
    <row r="49" ht="15.75" customHeight="1" s="69">
      <c r="A49" s="2" t="n"/>
      <c r="B49" s="2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</row>
    <row r="50" ht="15.75" customHeight="1" s="69">
      <c r="A50" s="2" t="n"/>
      <c r="B50" s="2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</row>
    <row r="51" ht="15.75" customHeight="1" s="69">
      <c r="A51" s="2" t="n"/>
      <c r="B51" s="2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</row>
    <row r="52" ht="15.75" customHeight="1" s="69">
      <c r="A52" s="2" t="n"/>
      <c r="B52" s="2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</row>
    <row r="53" ht="15.75" customHeight="1" s="69">
      <c r="A53" s="2" t="n"/>
      <c r="B53" s="2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</row>
    <row r="54" ht="15.75" customHeight="1" s="69">
      <c r="A54" s="2" t="n"/>
      <c r="B54" s="2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</row>
    <row r="55" ht="15.75" customHeight="1" s="69">
      <c r="A55" s="2" t="n"/>
      <c r="B55" s="2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</row>
    <row r="56" ht="15.75" customHeight="1" s="69">
      <c r="A56" s="2" t="n"/>
      <c r="B56" s="2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</row>
    <row r="57" ht="15.75" customHeight="1" s="69">
      <c r="A57" s="2" t="n"/>
      <c r="B57" s="2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</row>
    <row r="58" ht="15.75" customHeight="1" s="69">
      <c r="A58" s="2" t="n"/>
      <c r="B58" s="2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</row>
    <row r="59" ht="15.75" customHeight="1" s="69">
      <c r="A59" s="2" t="n"/>
      <c r="B59" s="2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</row>
    <row r="60" ht="15.75" customHeight="1" s="69">
      <c r="A60" s="2" t="n"/>
      <c r="B60" s="2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</row>
    <row r="61" ht="15.75" customHeight="1" s="69">
      <c r="A61" s="2" t="n"/>
      <c r="B61" s="2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</row>
    <row r="62" ht="15.75" customHeight="1" s="69">
      <c r="A62" s="2" t="n"/>
      <c r="B62" s="2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</row>
    <row r="63" ht="15.75" customHeight="1" s="69">
      <c r="A63" s="2" t="n"/>
      <c r="B63" s="2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</row>
    <row r="64" ht="15.75" customHeight="1" s="69">
      <c r="A64" s="2" t="n"/>
      <c r="B64" s="2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</row>
    <row r="65" ht="15.75" customHeight="1" s="69">
      <c r="A65" s="2" t="n"/>
      <c r="B65" s="2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</row>
    <row r="66" ht="15.75" customHeight="1" s="69">
      <c r="A66" s="2" t="n"/>
      <c r="B66" s="2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</row>
    <row r="67" ht="15.75" customHeight="1" s="69">
      <c r="A67" s="2" t="n"/>
      <c r="B67" s="2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</row>
    <row r="68" ht="15.75" customHeight="1" s="69">
      <c r="A68" s="2" t="n"/>
      <c r="B68" s="2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</row>
    <row r="69" ht="15.75" customHeight="1" s="69">
      <c r="A69" s="2" t="n"/>
      <c r="B69" s="2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69">
      <c r="A70" s="2" t="n"/>
      <c r="B70" s="2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69">
      <c r="A71" s="2" t="n"/>
      <c r="B71" s="2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69">
      <c r="A72" s="2" t="n"/>
      <c r="B72" s="2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69">
      <c r="A73" s="2" t="n"/>
      <c r="B73" s="2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69">
      <c r="A74" s="2" t="n"/>
      <c r="B74" s="2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69">
      <c r="A75" s="2" t="n"/>
      <c r="B75" s="2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69">
      <c r="A76" s="2" t="n"/>
      <c r="B76" s="2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69">
      <c r="A77" s="2" t="n"/>
      <c r="B77" s="2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69">
      <c r="A78" s="2" t="n"/>
      <c r="B78" s="2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69">
      <c r="A79" s="2" t="n"/>
      <c r="B79" s="2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69">
      <c r="A80" s="2" t="n"/>
      <c r="B80" s="2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69">
      <c r="A81" s="2" t="n"/>
      <c r="B81" s="2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69">
      <c r="A82" s="2" t="n"/>
      <c r="B82" s="2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69">
      <c r="A83" s="2" t="n"/>
      <c r="B83" s="2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69">
      <c r="A84" s="2" t="n"/>
      <c r="B84" s="2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69">
      <c r="A85" s="2" t="n"/>
      <c r="B85" s="2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69">
      <c r="A86" s="2" t="n"/>
      <c r="B86" s="2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69">
      <c r="A87" s="2" t="n"/>
      <c r="B87" s="2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69">
      <c r="A88" s="2" t="n"/>
      <c r="B88" s="2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69">
      <c r="A89" s="2" t="n"/>
      <c r="B89" s="2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69">
      <c r="A90" s="2" t="n"/>
      <c r="B90" s="2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69">
      <c r="A91" s="2" t="n"/>
      <c r="B91" s="2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69">
      <c r="A92" s="2" t="n"/>
      <c r="B92" s="2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69">
      <c r="A93" s="2" t="n"/>
      <c r="B93" s="2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69">
      <c r="A94" s="2" t="n"/>
      <c r="B94" s="2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69">
      <c r="A95" s="2" t="n"/>
      <c r="B95" s="2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69">
      <c r="A96" s="2" t="n"/>
      <c r="B96" s="2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69">
      <c r="A97" s="2" t="n"/>
      <c r="B97" s="2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69">
      <c r="A98" s="2" t="n"/>
      <c r="B98" s="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69">
      <c r="A99" s="2" t="n"/>
      <c r="B99" s="2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69">
      <c r="A100" s="2" t="n"/>
      <c r="B100" s="2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69">
      <c r="A101" s="2" t="n"/>
      <c r="B101" s="2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69">
      <c r="A102" s="2" t="n"/>
      <c r="B102" s="2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69">
      <c r="A103" s="2" t="n"/>
      <c r="B103" s="2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69">
      <c r="A104" s="2" t="n"/>
      <c r="B104" s="2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69">
      <c r="A105" s="2" t="n"/>
      <c r="B105" s="2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69">
      <c r="A106" s="2" t="n"/>
      <c r="B106" s="2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69">
      <c r="A107" s="2" t="n"/>
      <c r="B107" s="2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69">
      <c r="A108" s="2" t="n"/>
      <c r="B108" s="2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69">
      <c r="A109" s="2" t="n"/>
      <c r="B109" s="2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69">
      <c r="A110" s="2" t="n"/>
      <c r="B110" s="2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69">
      <c r="A111" s="2" t="n"/>
      <c r="B111" s="2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69">
      <c r="A112" s="2" t="n"/>
      <c r="B112" s="2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69">
      <c r="A113" s="2" t="n"/>
      <c r="B113" s="2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69">
      <c r="A114" s="2" t="n"/>
      <c r="B114" s="2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69">
      <c r="A115" s="2" t="n"/>
      <c r="B115" s="2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69">
      <c r="A116" s="2" t="n"/>
      <c r="B116" s="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69">
      <c r="A117" s="2" t="n"/>
      <c r="B117" s="2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69">
      <c r="A118" s="2" t="n"/>
      <c r="B118" s="2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69">
      <c r="A119" s="2" t="n"/>
      <c r="B119" s="2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69">
      <c r="A120" s="2" t="n"/>
      <c r="B120" s="2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69">
      <c r="A121" s="2" t="n"/>
      <c r="B121" s="2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69">
      <c r="A122" s="2" t="n"/>
      <c r="B122" s="2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69">
      <c r="A123" s="2" t="n"/>
      <c r="B123" s="2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69">
      <c r="A124" s="2" t="n"/>
      <c r="B124" s="2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69">
      <c r="A125" s="2" t="n"/>
      <c r="B125" s="2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69">
      <c r="A126" s="2" t="n"/>
      <c r="B126" s="2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69">
      <c r="A127" s="2" t="n"/>
      <c r="B127" s="2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69">
      <c r="A128" s="2" t="n"/>
      <c r="B128" s="2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69">
      <c r="A129" s="2" t="n"/>
      <c r="B129" s="2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69">
      <c r="A130" s="2" t="n"/>
      <c r="B130" s="2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69">
      <c r="A131" s="2" t="n"/>
      <c r="B131" s="2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69">
      <c r="A132" s="2" t="n"/>
      <c r="B132" s="2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69">
      <c r="A133" s="2" t="n"/>
      <c r="B133" s="2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69">
      <c r="A134" s="2" t="n"/>
      <c r="B134" s="2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69">
      <c r="A135" s="2" t="n"/>
      <c r="B135" s="2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69">
      <c r="A136" s="2" t="n"/>
      <c r="B136" s="2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69">
      <c r="A137" s="2" t="n"/>
      <c r="B137" s="2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69">
      <c r="A138" s="2" t="n"/>
      <c r="B138" s="2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69">
      <c r="A139" s="2" t="n"/>
      <c r="B139" s="2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69">
      <c r="A140" s="2" t="n"/>
      <c r="B140" s="2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69">
      <c r="A141" s="2" t="n"/>
      <c r="B141" s="2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69">
      <c r="A142" s="2" t="n"/>
      <c r="B142" s="2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69">
      <c r="A143" s="2" t="n"/>
      <c r="B143" s="2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69">
      <c r="A144" s="2" t="n"/>
      <c r="B144" s="2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69">
      <c r="A145" s="2" t="n"/>
      <c r="B145" s="2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69">
      <c r="A146" s="2" t="n"/>
      <c r="B146" s="2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69">
      <c r="A147" s="2" t="n"/>
      <c r="B147" s="2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69">
      <c r="A148" s="2" t="n"/>
      <c r="B148" s="2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69">
      <c r="A149" s="2" t="n"/>
      <c r="B149" s="2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69">
      <c r="A150" s="2" t="n"/>
      <c r="B150" s="2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69">
      <c r="A151" s="2" t="n"/>
      <c r="B151" s="2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69">
      <c r="A152" s="2" t="n"/>
      <c r="B152" s="2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69">
      <c r="A153" s="2" t="n"/>
      <c r="B153" s="2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69">
      <c r="A154" s="2" t="n"/>
      <c r="B154" s="2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69">
      <c r="A155" s="2" t="n"/>
      <c r="B155" s="2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69">
      <c r="A156" s="2" t="n"/>
      <c r="B156" s="2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69">
      <c r="A157" s="2" t="n"/>
      <c r="B157" s="2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69">
      <c r="A158" s="2" t="n"/>
      <c r="B158" s="2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69">
      <c r="A159" s="2" t="n"/>
      <c r="B159" s="2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69">
      <c r="A160" s="2" t="n"/>
      <c r="B160" s="2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69">
      <c r="A161" s="2" t="n"/>
      <c r="B161" s="2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69">
      <c r="A162" s="2" t="n"/>
      <c r="B162" s="2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69">
      <c r="A163" s="2" t="n"/>
      <c r="B163" s="2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69">
      <c r="A164" s="2" t="n"/>
      <c r="B164" s="2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69">
      <c r="A165" s="2" t="n"/>
      <c r="B165" s="2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69">
      <c r="A166" s="2" t="n"/>
      <c r="B166" s="2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69">
      <c r="A167" s="2" t="n"/>
      <c r="B167" s="2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69">
      <c r="A168" s="2" t="n"/>
      <c r="B168" s="2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69">
      <c r="A169" s="2" t="n"/>
      <c r="B169" s="2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69">
      <c r="A170" s="2" t="n"/>
      <c r="B170" s="2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69">
      <c r="A171" s="2" t="n"/>
      <c r="B171" s="2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69">
      <c r="A172" s="2" t="n"/>
      <c r="B172" s="2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69">
      <c r="A173" s="2" t="n"/>
      <c r="B173" s="2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69">
      <c r="A174" s="2" t="n"/>
      <c r="B174" s="2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69">
      <c r="A175" s="2" t="n"/>
      <c r="B175" s="2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69">
      <c r="A176" s="2" t="n"/>
      <c r="B176" s="2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69">
      <c r="A177" s="2" t="n"/>
      <c r="B177" s="2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69">
      <c r="A178" s="2" t="n"/>
      <c r="B178" s="2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69">
      <c r="A179" s="2" t="n"/>
      <c r="B179" s="2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69">
      <c r="A180" s="2" t="n"/>
      <c r="B180" s="2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69">
      <c r="A181" s="2" t="n"/>
      <c r="B181" s="2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69">
      <c r="A182" s="2" t="n"/>
      <c r="B182" s="2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69">
      <c r="A183" s="2" t="n"/>
      <c r="B183" s="2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69">
      <c r="A184" s="2" t="n"/>
      <c r="B184" s="2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69">
      <c r="A185" s="2" t="n"/>
      <c r="B185" s="2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69">
      <c r="A186" s="2" t="n"/>
      <c r="B186" s="2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69">
      <c r="A187" s="2" t="n"/>
      <c r="B187" s="2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69">
      <c r="A188" s="2" t="n"/>
      <c r="B188" s="2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69">
      <c r="A189" s="2" t="n"/>
      <c r="B189" s="2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69">
      <c r="A190" s="2" t="n"/>
      <c r="B190" s="2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69">
      <c r="A191" s="2" t="n"/>
      <c r="B191" s="2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69">
      <c r="A192" s="2" t="n"/>
      <c r="B192" s="2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69">
      <c r="A193" s="2" t="n"/>
      <c r="B193" s="2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69">
      <c r="A194" s="2" t="n"/>
      <c r="B194" s="2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69">
      <c r="A195" s="2" t="n"/>
      <c r="B195" s="2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69">
      <c r="A196" s="2" t="n"/>
      <c r="B196" s="2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69">
      <c r="A197" s="2" t="n"/>
      <c r="B197" s="2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69">
      <c r="A198" s="2" t="n"/>
      <c r="B198" s="2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69">
      <c r="A199" s="2" t="n"/>
      <c r="B199" s="2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69">
      <c r="A200" s="2" t="n"/>
      <c r="B200" s="2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69">
      <c r="A201" s="2" t="n"/>
      <c r="B201" s="2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69">
      <c r="A202" s="2" t="n"/>
      <c r="B202" s="2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69">
      <c r="A203" s="2" t="n"/>
      <c r="B203" s="2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69">
      <c r="A204" s="2" t="n"/>
      <c r="B204" s="2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69">
      <c r="A205" s="2" t="n"/>
      <c r="B205" s="2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69">
      <c r="A206" s="2" t="n"/>
      <c r="B206" s="2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69">
      <c r="A207" s="2" t="n"/>
      <c r="B207" s="2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69">
      <c r="A208" s="2" t="n"/>
      <c r="B208" s="2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69">
      <c r="A209" s="2" t="n"/>
      <c r="B209" s="2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69">
      <c r="A210" s="2" t="n"/>
      <c r="B210" s="2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69">
      <c r="A211" s="2" t="n"/>
      <c r="B211" s="2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69">
      <c r="A212" s="2" t="n"/>
      <c r="B212" s="2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69">
      <c r="A213" s="2" t="n"/>
      <c r="B213" s="2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69">
      <c r="A214" s="2" t="n"/>
      <c r="B214" s="2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69">
      <c r="A215" s="2" t="n"/>
      <c r="B215" s="2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69">
      <c r="A216" s="2" t="n"/>
      <c r="B216" s="2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69">
      <c r="A217" s="2" t="n"/>
      <c r="B217" s="2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69">
      <c r="A218" s="2" t="n"/>
      <c r="B218" s="2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69">
      <c r="A219" s="2" t="n"/>
      <c r="B219" s="2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69">
      <c r="A220" s="2" t="n"/>
      <c r="B220" s="2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3">
    <mergeCell ref="T1:Y1"/>
    <mergeCell ref="H1:S1"/>
    <mergeCell ref="D1:G1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FF00"/>
    <outlinePr summaryBelow="1" summaryRight="1"/>
    <pageSetUpPr/>
  </sheetPr>
  <dimension ref="A1:Y261"/>
  <sheetViews>
    <sheetView workbookViewId="0">
      <selection activeCell="Q10" sqref="Q10"/>
    </sheetView>
  </sheetViews>
  <sheetFormatPr baseColWidth="8" defaultColWidth="11.25" defaultRowHeight="15" customHeight="1"/>
  <cols>
    <col width="4.875" bestFit="1" customWidth="1" style="69" min="1" max="1"/>
    <col width="21.625" bestFit="1" customWidth="1" style="69" min="2" max="2"/>
    <col width="11.75" bestFit="1" customWidth="1" style="69" min="3" max="3"/>
    <col hidden="1" width="10.5" customWidth="1" style="69" min="4" max="4"/>
    <col hidden="1" width="8.625" customWidth="1" style="69" min="5" max="5"/>
    <col hidden="1" width="10.375" customWidth="1" style="69" min="6" max="6"/>
    <col hidden="1" width="9.625" customWidth="1" style="69" min="7" max="7"/>
    <col hidden="1" width="8.625" customWidth="1" style="69" min="8" max="8"/>
    <col hidden="1" width="9.25" customWidth="1" style="69" min="9" max="9"/>
    <col hidden="1" width="7" customWidth="1" style="69" min="10" max="10"/>
    <col hidden="1" width="6.625" customWidth="1" style="69" min="11" max="11"/>
    <col hidden="1" width="9.125" customWidth="1" style="69" min="12" max="13"/>
    <col hidden="1" width="13" customWidth="1" style="69" min="13" max="13"/>
    <col hidden="1" width="8.625" customWidth="1" style="69" min="14" max="14"/>
    <col hidden="1" width="10.5" bestFit="1" customWidth="1" style="69" min="15" max="15"/>
    <col width="13.875" bestFit="1" customWidth="1" style="69" min="16" max="16"/>
    <col width="11" bestFit="1" customWidth="1" style="69" min="17" max="17"/>
    <col width="12.875" bestFit="1" customWidth="1" style="69" min="18" max="18"/>
    <col width="12" bestFit="1" customWidth="1" style="69" min="19" max="19"/>
    <col width="10.375" bestFit="1" customWidth="1" style="69" min="20" max="20"/>
    <col width="11.625" bestFit="1" customWidth="1" style="69" min="21" max="21"/>
    <col width="8.25" bestFit="1" customWidth="1" style="69" min="22" max="22"/>
    <col width="8.5" bestFit="1" customWidth="1" style="69" min="23" max="23"/>
    <col width="9.125" bestFit="1" customWidth="1" style="69" min="24" max="25"/>
    <col width="8.625" customWidth="1" style="69" min="26" max="26"/>
  </cols>
  <sheetData>
    <row r="1" ht="15.75" customHeight="1" s="69">
      <c r="A1" s="1" t="n"/>
      <c r="B1" s="1" t="n"/>
      <c r="C1" s="3" t="n"/>
      <c r="D1" s="79" t="n">
        <v>2025</v>
      </c>
      <c r="E1" s="73" t="n"/>
      <c r="F1" s="73" t="n"/>
      <c r="G1" s="73" t="n"/>
      <c r="H1" s="78" t="n">
        <v>2026</v>
      </c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7" t="n">
        <v>2027</v>
      </c>
      <c r="U1" s="73" t="n"/>
      <c r="V1" s="73" t="n"/>
      <c r="W1" s="73" t="n"/>
      <c r="X1" s="73" t="n"/>
      <c r="Y1" s="74" t="n"/>
    </row>
    <row r="2" ht="15.75" customHeight="1" s="69">
      <c r="A2" s="1" t="n"/>
      <c r="B2" s="1" t="n"/>
      <c r="C2" s="3" t="n"/>
      <c r="D2" s="7" t="inlineStr">
        <is>
          <t>SETTEMBRE</t>
        </is>
      </c>
      <c r="E2" s="7" t="inlineStr">
        <is>
          <t>OTTOBRE</t>
        </is>
      </c>
      <c r="F2" s="7" t="inlineStr">
        <is>
          <t>NOVEMBRE</t>
        </is>
      </c>
      <c r="G2" s="7" t="inlineStr">
        <is>
          <t>DICEMBRE</t>
        </is>
      </c>
      <c r="H2" s="6" t="inlineStr">
        <is>
          <t>GENNAIO</t>
        </is>
      </c>
      <c r="I2" s="6" t="inlineStr">
        <is>
          <t>FEBBRAIO</t>
        </is>
      </c>
      <c r="J2" s="6" t="inlineStr">
        <is>
          <t>MARZO</t>
        </is>
      </c>
      <c r="K2" s="6" t="inlineStr">
        <is>
          <t>APRILE</t>
        </is>
      </c>
      <c r="L2" s="8" t="inlineStr">
        <is>
          <t>MAGGIO</t>
        </is>
      </c>
      <c r="M2" s="8" t="inlineStr">
        <is>
          <t>GIUGNO</t>
        </is>
      </c>
      <c r="N2" s="8" t="inlineStr">
        <is>
          <t>LUGLIO</t>
        </is>
      </c>
      <c r="O2" s="8" t="inlineStr">
        <is>
          <t>AGOSTO</t>
        </is>
      </c>
      <c r="P2" s="8" t="inlineStr">
        <is>
          <t>SETTEMBRE</t>
        </is>
      </c>
      <c r="Q2" s="8" t="inlineStr">
        <is>
          <t>OTTOBRE</t>
        </is>
      </c>
      <c r="R2" s="8" t="inlineStr">
        <is>
          <t>NOVEMBRE</t>
        </is>
      </c>
      <c r="S2" s="8" t="inlineStr">
        <is>
          <t>DICEMBRE</t>
        </is>
      </c>
      <c r="T2" s="11" t="inlineStr">
        <is>
          <t>GENNAIO</t>
        </is>
      </c>
      <c r="U2" s="11" t="inlineStr">
        <is>
          <t>FEBBRAIO</t>
        </is>
      </c>
      <c r="V2" s="11" t="inlineStr">
        <is>
          <t>MARZO</t>
        </is>
      </c>
      <c r="W2" s="11" t="inlineStr">
        <is>
          <t>APRILE</t>
        </is>
      </c>
      <c r="X2" s="11" t="inlineStr">
        <is>
          <t>MAGGIO</t>
        </is>
      </c>
      <c r="Y2" s="11" t="inlineStr">
        <is>
          <t>GIUGNO</t>
        </is>
      </c>
    </row>
    <row r="3" ht="15.75" customHeight="1" s="69">
      <c r="A3" s="15" t="n"/>
      <c r="B3" s="15" t="inlineStr">
        <is>
          <t>Utenze</t>
        </is>
      </c>
      <c r="C3" s="17">
        <f>SUM(D3:Y3)</f>
        <v/>
      </c>
      <c r="D3" s="17">
        <f>SUM(D4:D133)</f>
        <v/>
      </c>
      <c r="E3" s="17">
        <f>SUM(E4:E133)</f>
        <v/>
      </c>
      <c r="F3" s="17">
        <f>SUM(F4:F133)</f>
        <v/>
      </c>
      <c r="G3" s="17">
        <f>SUM(G4:G133)</f>
        <v/>
      </c>
      <c r="H3" s="17">
        <f>SUM(H4:H133)</f>
        <v/>
      </c>
      <c r="I3" s="17">
        <f>SUM(I4:I133)</f>
        <v/>
      </c>
      <c r="J3" s="17">
        <f>SUM(J4:J133)</f>
        <v/>
      </c>
      <c r="K3" s="17">
        <f>SUM(K4:K133)</f>
        <v/>
      </c>
      <c r="L3" s="17">
        <f>SUM(L4:L133)</f>
        <v/>
      </c>
      <c r="M3" s="17">
        <f>SUM(M4:M133)</f>
        <v/>
      </c>
      <c r="N3" s="17">
        <f>SUM(N4:N133)</f>
        <v/>
      </c>
      <c r="O3" s="17">
        <f>SUM(O4:O133)</f>
        <v/>
      </c>
      <c r="P3" s="17">
        <f>SUM(P4:P133)</f>
        <v/>
      </c>
      <c r="Q3" s="17">
        <f>SUM(Q4:Q133)</f>
        <v/>
      </c>
      <c r="R3" s="17">
        <f>SUM(R4:R133)</f>
        <v/>
      </c>
      <c r="S3" s="17">
        <f>SUM(S4:S133)</f>
        <v/>
      </c>
      <c r="T3" s="17">
        <f>SUM(T4:T133)</f>
        <v/>
      </c>
      <c r="U3" s="17">
        <f>SUM(U4:U133)</f>
        <v/>
      </c>
      <c r="V3" s="17">
        <f>SUM(V4:V133)</f>
        <v/>
      </c>
      <c r="W3" s="17">
        <f>SUM(W4:W133)</f>
        <v/>
      </c>
      <c r="X3" s="17">
        <f>SUM(X4:X133)</f>
        <v/>
      </c>
      <c r="Y3" s="17">
        <f>SUM(Y4:Y133)</f>
        <v/>
      </c>
    </row>
    <row r="4" ht="15.75" customHeight="1" s="69">
      <c r="A4" s="2" t="inlineStr">
        <is>
          <t>RID</t>
        </is>
      </c>
      <c r="B4" s="21" t="inlineStr">
        <is>
          <t>Energia elettrica</t>
        </is>
      </c>
      <c r="C4" s="23">
        <f>SUM(D4:Y4)</f>
        <v/>
      </c>
      <c r="D4" s="23" t="n"/>
      <c r="E4" s="23" t="n"/>
      <c r="F4" s="23" t="n">
        <v>0</v>
      </c>
      <c r="G4" s="23" t="n">
        <v>0</v>
      </c>
      <c r="H4" s="23" t="n"/>
      <c r="I4" s="25" t="n"/>
      <c r="J4" s="25" t="n"/>
      <c r="K4" s="25" t="n"/>
      <c r="L4" s="23" t="n"/>
      <c r="M4" s="23" t="n"/>
      <c r="N4" s="23" t="n"/>
      <c r="O4" s="23" t="n"/>
      <c r="P4" s="23" t="n">
        <v>850</v>
      </c>
      <c r="Q4" s="23" t="n">
        <v>900</v>
      </c>
      <c r="R4" s="23" t="n"/>
      <c r="S4" s="23" t="n"/>
      <c r="T4" s="23" t="n"/>
      <c r="U4" s="23" t="n"/>
      <c r="V4" s="23" t="n"/>
      <c r="W4" s="23" t="n"/>
      <c r="X4" s="23" t="n"/>
      <c r="Y4" s="23" t="n"/>
    </row>
    <row r="5" ht="15.75" customHeight="1" s="69">
      <c r="A5" s="2" t="inlineStr">
        <is>
          <t>RID</t>
        </is>
      </c>
      <c r="B5" s="21" t="inlineStr">
        <is>
          <t>Gas</t>
        </is>
      </c>
      <c r="C5" s="28">
        <f>SUM(D5:Y5)</f>
        <v/>
      </c>
      <c r="D5" s="28" t="n"/>
      <c r="E5" s="28" t="n"/>
      <c r="F5" s="59" t="n">
        <v>0</v>
      </c>
      <c r="G5" s="28" t="n"/>
      <c r="H5" s="28" t="n"/>
      <c r="I5" s="28" t="n"/>
      <c r="J5" s="28" t="n"/>
      <c r="K5" s="28" t="n"/>
      <c r="L5" s="59" t="n"/>
      <c r="M5" s="28" t="n"/>
      <c r="N5" s="59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</row>
    <row r="6" ht="15.75" customHeight="1" s="69">
      <c r="A6" s="2" t="n"/>
      <c r="B6" s="21" t="inlineStr">
        <is>
          <t>Ausino - rateizzo</t>
        </is>
      </c>
      <c r="C6" s="28">
        <f>SUM(D6:Y6)</f>
        <v/>
      </c>
      <c r="D6" s="59" t="n"/>
      <c r="E6" s="59" t="n"/>
      <c r="F6" s="59" t="n">
        <v>0</v>
      </c>
      <c r="G6" s="59" t="n"/>
      <c r="H6" s="59" t="n"/>
      <c r="I6" s="59" t="n"/>
      <c r="J6" s="59" t="n"/>
      <c r="K6" s="59" t="n"/>
      <c r="L6" s="59" t="n"/>
      <c r="M6" s="59" t="n"/>
      <c r="N6" s="59" t="n"/>
      <c r="O6" s="59" t="n"/>
      <c r="P6" s="59" t="n">
        <v>8605.459999999999</v>
      </c>
      <c r="Q6" s="59" t="n">
        <v>355.25</v>
      </c>
      <c r="R6" s="59" t="n"/>
      <c r="S6" s="59" t="n"/>
      <c r="T6" s="59" t="n"/>
      <c r="U6" s="59" t="n"/>
      <c r="V6" s="59" t="n"/>
      <c r="W6" s="59" t="n"/>
      <c r="X6" s="59" t="n"/>
      <c r="Y6" s="59" t="n"/>
    </row>
    <row r="7" ht="15.75" customHeight="1" s="69">
      <c r="A7" s="2" t="inlineStr">
        <is>
          <t>RID</t>
        </is>
      </c>
      <c r="B7" s="80" t="inlineStr">
        <is>
          <t>Vodafone (da ribaltare)</t>
        </is>
      </c>
      <c r="C7" s="28">
        <f>SUM(D7:Y7)</f>
        <v/>
      </c>
      <c r="D7" s="28" t="n"/>
      <c r="E7" s="28" t="n"/>
      <c r="F7" s="59" t="n"/>
      <c r="G7" s="59" t="n"/>
      <c r="H7" s="59" t="n"/>
      <c r="I7" s="28" t="n"/>
      <c r="J7" s="28" t="n"/>
      <c r="K7" s="28" t="n"/>
      <c r="L7" s="28" t="n"/>
      <c r="M7" s="28" t="n"/>
      <c r="N7" s="28" t="n"/>
      <c r="O7" s="28" t="n"/>
      <c r="P7" s="28" t="n">
        <v>109.8</v>
      </c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</row>
    <row r="8" ht="15.75" customHeight="1" s="69">
      <c r="A8" s="2" t="n">
        <v>1592</v>
      </c>
      <c r="B8" s="2" t="inlineStr">
        <is>
          <t>FASTWEB SPA</t>
        </is>
      </c>
      <c r="C8" s="59">
        <f>SUM(D8:Y8)</f>
        <v/>
      </c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>
        <v>1537.2</v>
      </c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</row>
    <row r="9" ht="15.75" customHeight="1" s="69">
      <c r="A9" s="2" t="n">
        <v>30</v>
      </c>
      <c r="B9" s="2" t="inlineStr">
        <is>
          <t>4G ENERGIA SRL</t>
        </is>
      </c>
      <c r="C9" s="59">
        <f>SUM(D9:Y9)</f>
        <v/>
      </c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>
        <v>1912.43</v>
      </c>
      <c r="R9" s="28" t="n"/>
      <c r="S9" s="28" t="n"/>
      <c r="T9" s="28" t="n"/>
      <c r="U9" s="28" t="n"/>
      <c r="V9" s="28" t="n"/>
      <c r="W9" s="28" t="n"/>
      <c r="X9" s="28" t="n"/>
      <c r="Y9" s="28" t="n"/>
    </row>
    <row r="10" ht="15.75" customHeight="1" s="69">
      <c r="A10" s="2" t="n"/>
      <c r="B10" s="2" t="n"/>
      <c r="C10" s="59">
        <f>SUM(D10:Y10)</f>
        <v/>
      </c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</row>
    <row r="11" ht="15.75" customHeight="1" s="69">
      <c r="A11" s="2" t="n"/>
      <c r="B11" s="2" t="n"/>
      <c r="C11" s="59">
        <f>SUM(D11:Y11)</f>
        <v/>
      </c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9" t="n"/>
    </row>
    <row r="12" ht="15.75" customHeight="1" s="69">
      <c r="A12" s="2" t="n"/>
      <c r="B12" s="2" t="n"/>
      <c r="C12" s="28">
        <f>SUM(D12:Y12)</f>
        <v/>
      </c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</row>
    <row r="13" ht="15.75" customHeight="1" s="69">
      <c r="A13" s="2" t="n"/>
      <c r="B13" s="2" t="n"/>
      <c r="C13" s="28">
        <f>SUM(D13:Y13)</f>
        <v/>
      </c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</row>
    <row r="14" ht="15.75" customHeight="1" s="69">
      <c r="A14" s="2" t="n"/>
      <c r="B14" s="2" t="n"/>
      <c r="C14" s="28">
        <f>SUM(D14:Y14)</f>
        <v/>
      </c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</row>
    <row r="15" ht="15.75" customHeight="1" s="69">
      <c r="A15" s="2" t="n"/>
      <c r="B15" s="2" t="n"/>
      <c r="C15" s="28">
        <f>SUM(D15:Y15)</f>
        <v/>
      </c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</row>
    <row r="16" ht="15.75" customHeight="1" s="69">
      <c r="A16" s="2" t="n"/>
      <c r="B16" s="2" t="n"/>
      <c r="C16" s="28">
        <f>SUM(D16:Y16)</f>
        <v/>
      </c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</row>
    <row r="17" ht="15.75" customHeight="1" s="69">
      <c r="A17" s="2" t="n"/>
      <c r="B17" s="2" t="n"/>
      <c r="C17" s="28">
        <f>SUM(D17:Y17)</f>
        <v/>
      </c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</row>
    <row r="18" ht="15.75" customHeight="1" s="69">
      <c r="A18" s="2" t="n"/>
      <c r="B18" s="2" t="n"/>
      <c r="C18" s="28">
        <f>SUM(D18:Y18)</f>
        <v/>
      </c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</row>
    <row r="19" ht="15.75" customHeight="1" s="69">
      <c r="A19" s="2" t="n"/>
      <c r="B19" s="2" t="n"/>
      <c r="C19" s="28">
        <f>SUM(D19:Y19)</f>
        <v/>
      </c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</row>
    <row r="20" ht="15.75" customHeight="1" s="69">
      <c r="A20" s="2" t="n"/>
      <c r="B20" s="2" t="n"/>
      <c r="C20" s="28">
        <f>SUM(D20:Y20)</f>
        <v/>
      </c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</row>
    <row r="21" ht="15.75" customHeight="1" s="69">
      <c r="A21" s="2" t="n"/>
      <c r="B21" s="2" t="n"/>
      <c r="C21" s="28">
        <f>SUM(D21:Y21)</f>
        <v/>
      </c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</row>
    <row r="22" ht="15.75" customHeight="1" s="69">
      <c r="A22" s="2" t="n"/>
      <c r="B22" s="2" t="n"/>
      <c r="C22" s="28">
        <f>SUM(D22:Y22)</f>
        <v/>
      </c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</row>
    <row r="23" ht="15.75" customHeight="1" s="69">
      <c r="A23" s="2" t="n"/>
      <c r="B23" s="2" t="n"/>
      <c r="C23" s="28">
        <f>SUM(D23:Y23)</f>
        <v/>
      </c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</row>
    <row r="24" ht="15.75" customHeight="1" s="69">
      <c r="A24" s="2" t="n"/>
      <c r="B24" s="2" t="n"/>
      <c r="C24" s="28">
        <f>SUM(D24:Y24)</f>
        <v/>
      </c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</row>
    <row r="25" ht="15.75" customHeight="1" s="69">
      <c r="A25" s="2" t="n"/>
      <c r="B25" s="2" t="n"/>
      <c r="C25" s="28">
        <f>SUM(D25:Y25)</f>
        <v/>
      </c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</row>
    <row r="26" ht="15.75" customHeight="1" s="69">
      <c r="A26" s="2" t="n"/>
      <c r="B26" s="2" t="n"/>
      <c r="C26" s="28">
        <f>SUM(D26:Y26)</f>
        <v/>
      </c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</row>
    <row r="27" ht="15.75" customHeight="1" s="69">
      <c r="A27" s="2" t="n"/>
      <c r="B27" s="2" t="n"/>
      <c r="C27" s="28">
        <f>SUM(D27:Y27)</f>
        <v/>
      </c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</row>
    <row r="28" ht="15.75" customHeight="1" s="69">
      <c r="A28" s="2" t="n"/>
      <c r="B28" s="2" t="n"/>
      <c r="C28" s="28">
        <f>SUM(D28:Y28)</f>
        <v/>
      </c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</row>
    <row r="29" ht="15.75" customHeight="1" s="69">
      <c r="A29" s="2" t="n"/>
      <c r="B29" s="2" t="n"/>
      <c r="C29" s="28">
        <f>SUM(D29:Y29)</f>
        <v/>
      </c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</row>
    <row r="30" ht="15.75" customHeight="1" s="69">
      <c r="A30" s="2" t="n"/>
      <c r="B30" s="2" t="n"/>
      <c r="C30" s="28">
        <f>SUM(D30:Y30)</f>
        <v/>
      </c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</row>
    <row r="31" ht="15.75" customHeight="1" s="69">
      <c r="A31" s="2" t="n"/>
      <c r="B31" s="2" t="n"/>
      <c r="C31" s="28">
        <f>SUM(D31:Y31)</f>
        <v/>
      </c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</row>
    <row r="32" ht="15.75" customHeight="1" s="69">
      <c r="A32" s="2" t="n"/>
      <c r="B32" s="2" t="n"/>
      <c r="C32" s="28">
        <f>SUM(D32:Y32)</f>
        <v/>
      </c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</row>
    <row r="33" ht="15.75" customHeight="1" s="69">
      <c r="A33" s="2" t="n"/>
      <c r="B33" s="2" t="n"/>
      <c r="C33" s="28">
        <f>SUM(D33:Y33)</f>
        <v/>
      </c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</row>
    <row r="34" ht="15.75" customHeight="1" s="69">
      <c r="A34" s="2" t="n"/>
      <c r="B34" s="2" t="n"/>
      <c r="C34" s="28">
        <f>SUM(D34:Y34)</f>
        <v/>
      </c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</row>
    <row r="35" ht="15.75" customHeight="1" s="69">
      <c r="A35" s="2" t="n"/>
      <c r="B35" s="2" t="n"/>
      <c r="C35" s="28">
        <f>SUM(D35:Y35)</f>
        <v/>
      </c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</row>
    <row r="36" ht="15.75" customHeight="1" s="69">
      <c r="A36" s="2" t="n"/>
      <c r="B36" s="2" t="n"/>
      <c r="C36" s="28">
        <f>SUM(D36:Y36)</f>
        <v/>
      </c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</row>
    <row r="37" ht="15.75" customHeight="1" s="69">
      <c r="A37" s="2" t="n"/>
      <c r="B37" s="2" t="n"/>
      <c r="C37" s="28">
        <f>SUM(D37:Y37)</f>
        <v/>
      </c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</row>
    <row r="38" ht="15.75" customHeight="1" s="69">
      <c r="A38" s="2" t="n"/>
      <c r="B38" s="2" t="n"/>
      <c r="C38" s="28">
        <f>SUM(D38:Y38)</f>
        <v/>
      </c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</row>
    <row r="39" ht="15.75" customHeight="1" s="69">
      <c r="A39" s="2" t="n"/>
      <c r="B39" s="2" t="n"/>
      <c r="C39" s="28">
        <f>SUM(D39:Y39)</f>
        <v/>
      </c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</row>
    <row r="40" ht="15.75" customHeight="1" s="69">
      <c r="A40" s="2" t="n"/>
      <c r="B40" s="2" t="n"/>
      <c r="C40" s="28">
        <f>SUM(D40:Y40)</f>
        <v/>
      </c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</row>
    <row r="41" ht="15.75" customHeight="1" s="69">
      <c r="A41" s="2" t="n"/>
      <c r="B41" s="2" t="n"/>
      <c r="C41" s="28">
        <f>SUM(D41:Y41)</f>
        <v/>
      </c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</row>
    <row r="42" ht="15.75" customHeight="1" s="69">
      <c r="A42" s="2" t="n"/>
      <c r="B42" s="2" t="n"/>
      <c r="C42" s="28">
        <f>SUM(D42:Y42)</f>
        <v/>
      </c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</row>
    <row r="43" ht="15.75" customHeight="1" s="69">
      <c r="A43" s="2" t="n"/>
      <c r="B43" s="2" t="n"/>
      <c r="C43" s="28">
        <f>SUM(D43:Y43)</f>
        <v/>
      </c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</row>
    <row r="44" ht="15.75" customHeight="1" s="69">
      <c r="A44" s="2" t="n"/>
      <c r="B44" s="2" t="n"/>
      <c r="C44" s="28">
        <f>SUM(D44:Y44)</f>
        <v/>
      </c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</row>
    <row r="45" ht="15.75" customHeight="1" s="69">
      <c r="A45" s="2" t="n"/>
      <c r="B45" s="2" t="n"/>
      <c r="C45" s="28">
        <f>SUM(D45:Y45)</f>
        <v/>
      </c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</row>
    <row r="46" ht="15.75" customHeight="1" s="69">
      <c r="A46" s="2" t="n"/>
      <c r="B46" s="2" t="n"/>
      <c r="C46" s="28">
        <f>SUM(D46:Y46)</f>
        <v/>
      </c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</row>
    <row r="47" ht="15.75" customHeight="1" s="69">
      <c r="A47" s="2" t="n"/>
      <c r="B47" s="2" t="n"/>
      <c r="C47" s="28">
        <f>SUM(D47:Y47)</f>
        <v/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</row>
    <row r="48" ht="15.75" customHeight="1" s="69">
      <c r="A48" s="2" t="n"/>
      <c r="B48" s="2" t="n"/>
      <c r="C48" s="28">
        <f>SUM(D48:Y48)</f>
        <v/>
      </c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</row>
    <row r="49" ht="15.75" customHeight="1" s="69">
      <c r="A49" s="2" t="n"/>
      <c r="B49" s="2" t="n"/>
      <c r="C49" s="28">
        <f>SUM(D49:Y49)</f>
        <v/>
      </c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</row>
    <row r="50" ht="15.75" customHeight="1" s="69">
      <c r="A50" s="2" t="n"/>
      <c r="B50" s="2" t="n"/>
      <c r="C50" s="28">
        <f>SUM(D50:Y50)</f>
        <v/>
      </c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</row>
    <row r="51" ht="15.75" customHeight="1" s="69">
      <c r="A51" s="2" t="n"/>
      <c r="B51" s="2" t="n"/>
      <c r="C51" s="28">
        <f>SUM(D51:Y51)</f>
        <v/>
      </c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</row>
    <row r="52" ht="15.75" customHeight="1" s="69">
      <c r="A52" s="2" t="n"/>
      <c r="B52" s="2" t="n"/>
      <c r="C52" s="28">
        <f>SUM(D52:Y52)</f>
        <v/>
      </c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</row>
    <row r="53" ht="15.75" customHeight="1" s="69">
      <c r="A53" s="2" t="n"/>
      <c r="B53" s="2" t="n"/>
      <c r="C53" s="28">
        <f>SUM(D53:Y53)</f>
        <v/>
      </c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</row>
    <row r="54" ht="15.75" customHeight="1" s="69">
      <c r="A54" s="2" t="n"/>
      <c r="B54" s="2" t="n"/>
      <c r="C54" s="28">
        <f>SUM(D54:Y54)</f>
        <v/>
      </c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</row>
    <row r="55" ht="15.75" customHeight="1" s="69">
      <c r="A55" s="2" t="n"/>
      <c r="B55" s="2" t="n"/>
      <c r="C55" s="28">
        <f>SUM(D55:Y55)</f>
        <v/>
      </c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</row>
    <row r="56" ht="15.75" customHeight="1" s="69">
      <c r="A56" s="2" t="n"/>
      <c r="B56" s="2" t="n"/>
      <c r="C56" s="28">
        <f>SUM(D56:Y56)</f>
        <v/>
      </c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</row>
    <row r="57" ht="15.75" customHeight="1" s="69">
      <c r="A57" s="2" t="n"/>
      <c r="B57" s="2" t="n"/>
      <c r="C57" s="28">
        <f>SUM(D57:Y57)</f>
        <v/>
      </c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</row>
    <row r="58" ht="15.75" customHeight="1" s="69">
      <c r="A58" s="2" t="n"/>
      <c r="B58" s="2" t="n"/>
      <c r="C58" s="28">
        <f>SUM(D58:Y58)</f>
        <v/>
      </c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</row>
    <row r="59" ht="15.75" customHeight="1" s="69">
      <c r="A59" s="2" t="n"/>
      <c r="B59" s="2" t="n"/>
      <c r="C59" s="28">
        <f>SUM(D59:Y59)</f>
        <v/>
      </c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</row>
    <row r="60" ht="15.75" customHeight="1" s="69">
      <c r="A60" s="2" t="n"/>
      <c r="B60" s="2" t="n"/>
      <c r="C60" s="28">
        <f>SUM(D60:Y60)</f>
        <v/>
      </c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</row>
    <row r="61" ht="15.75" customHeight="1" s="69">
      <c r="A61" s="2" t="n"/>
      <c r="B61" s="2" t="n"/>
      <c r="C61" s="28">
        <f>SUM(D61:Y61)</f>
        <v/>
      </c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</row>
    <row r="62" ht="15.75" customHeight="1" s="69">
      <c r="A62" s="2" t="n"/>
      <c r="B62" s="2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</row>
    <row r="63" ht="15.75" customHeight="1" s="69">
      <c r="A63" s="2" t="n"/>
      <c r="B63" s="2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</row>
    <row r="64" ht="15.75" customHeight="1" s="69">
      <c r="A64" s="2" t="n"/>
      <c r="B64" s="2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</row>
    <row r="65" ht="15.75" customHeight="1" s="69">
      <c r="A65" s="2" t="n"/>
      <c r="B65" s="2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</row>
    <row r="66" ht="15.75" customHeight="1" s="69">
      <c r="A66" s="2" t="n"/>
      <c r="B66" s="2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</row>
    <row r="67" ht="15.75" customHeight="1" s="69">
      <c r="A67" s="2" t="n"/>
      <c r="B67" s="2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</row>
    <row r="68" ht="15.75" customHeight="1" s="69">
      <c r="A68" s="2" t="n"/>
      <c r="B68" s="2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2" t="n"/>
      <c r="Q68" s="2" t="n"/>
      <c r="R68" s="2" t="n"/>
      <c r="S68" s="2" t="n"/>
      <c r="T68" s="2" t="n"/>
      <c r="U68" s="2" t="n"/>
      <c r="V68" s="2" t="n"/>
    </row>
    <row r="69" ht="15.75" customHeight="1" s="69">
      <c r="A69" s="2" t="n"/>
      <c r="B69" s="2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69">
      <c r="A70" s="2" t="n"/>
      <c r="B70" s="2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69">
      <c r="A71" s="2" t="n"/>
      <c r="B71" s="2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69">
      <c r="A72" s="2" t="n"/>
      <c r="B72" s="2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69">
      <c r="A73" s="2" t="n"/>
      <c r="B73" s="2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69">
      <c r="A74" s="2" t="n"/>
      <c r="B74" s="2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69">
      <c r="A75" s="2" t="n"/>
      <c r="B75" s="2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69">
      <c r="A76" s="2" t="n"/>
      <c r="B76" s="2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69">
      <c r="A77" s="2" t="n"/>
      <c r="B77" s="2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69">
      <c r="A78" s="2" t="n"/>
      <c r="B78" s="2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69">
      <c r="A79" s="2" t="n"/>
      <c r="B79" s="2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69">
      <c r="A80" s="2" t="n"/>
      <c r="B80" s="2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69">
      <c r="A81" s="2" t="n"/>
      <c r="B81" s="2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69">
      <c r="A82" s="2" t="n"/>
      <c r="B82" s="2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69">
      <c r="A83" s="2" t="n"/>
      <c r="B83" s="2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69">
      <c r="A84" s="2" t="n"/>
      <c r="B84" s="2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69">
      <c r="A85" s="2" t="n"/>
      <c r="B85" s="2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69">
      <c r="A86" s="2" t="n"/>
      <c r="B86" s="2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69">
      <c r="A87" s="2" t="n"/>
      <c r="B87" s="2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69">
      <c r="A88" s="2" t="n"/>
      <c r="B88" s="2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69">
      <c r="A89" s="2" t="n"/>
      <c r="B89" s="2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69">
      <c r="A90" s="2" t="n"/>
      <c r="B90" s="2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69">
      <c r="A91" s="2" t="n"/>
      <c r="B91" s="2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69">
      <c r="A92" s="2" t="n"/>
      <c r="B92" s="2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69">
      <c r="A93" s="2" t="n"/>
      <c r="B93" s="2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69">
      <c r="A94" s="2" t="n"/>
      <c r="B94" s="2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69">
      <c r="A95" s="2" t="n"/>
      <c r="B95" s="2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69">
      <c r="A96" s="2" t="n"/>
      <c r="B96" s="2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69">
      <c r="A97" s="2" t="n"/>
      <c r="B97" s="2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69">
      <c r="A98" s="2" t="n"/>
      <c r="B98" s="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69">
      <c r="A99" s="2" t="n"/>
      <c r="B99" s="2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69">
      <c r="A100" s="2" t="n"/>
      <c r="B100" s="2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69">
      <c r="A101" s="2" t="n"/>
      <c r="B101" s="2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69">
      <c r="A102" s="2" t="n"/>
      <c r="B102" s="2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69">
      <c r="A103" s="2" t="n"/>
      <c r="B103" s="2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69">
      <c r="A104" s="2" t="n"/>
      <c r="B104" s="2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69">
      <c r="A105" s="2" t="n"/>
      <c r="B105" s="2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69">
      <c r="A106" s="2" t="n"/>
      <c r="B106" s="2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69">
      <c r="A107" s="2" t="n"/>
      <c r="B107" s="2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69">
      <c r="A108" s="2" t="n"/>
      <c r="B108" s="2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69">
      <c r="A109" s="2" t="n"/>
      <c r="B109" s="2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69">
      <c r="A110" s="2" t="n"/>
      <c r="B110" s="2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69">
      <c r="A111" s="2" t="n"/>
      <c r="B111" s="2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69">
      <c r="A112" s="2" t="n"/>
      <c r="B112" s="2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69">
      <c r="A113" s="2" t="n"/>
      <c r="B113" s="2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69">
      <c r="A114" s="2" t="n"/>
      <c r="B114" s="2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69">
      <c r="A115" s="2" t="n"/>
      <c r="B115" s="2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69">
      <c r="A116" s="2" t="n"/>
      <c r="B116" s="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69">
      <c r="A117" s="2" t="n"/>
      <c r="B117" s="2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69">
      <c r="A118" s="2" t="n"/>
      <c r="B118" s="2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69">
      <c r="A119" s="2" t="n"/>
      <c r="B119" s="2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69">
      <c r="A120" s="2" t="n"/>
      <c r="B120" s="2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69">
      <c r="A121" s="2" t="n"/>
      <c r="B121" s="2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69">
      <c r="A122" s="2" t="n"/>
      <c r="B122" s="2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69">
      <c r="A123" s="2" t="n"/>
      <c r="B123" s="2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69">
      <c r="A124" s="2" t="n"/>
      <c r="B124" s="2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69">
      <c r="A125" s="2" t="n"/>
      <c r="B125" s="2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69">
      <c r="A126" s="2" t="n"/>
      <c r="B126" s="2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69">
      <c r="A127" s="2" t="n"/>
      <c r="B127" s="2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69">
      <c r="A128" s="2" t="n"/>
      <c r="B128" s="2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69">
      <c r="A129" s="2" t="n"/>
      <c r="B129" s="2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69">
      <c r="A130" s="2" t="n"/>
      <c r="B130" s="2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69">
      <c r="A131" s="2" t="n"/>
      <c r="B131" s="2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69">
      <c r="A132" s="2" t="n"/>
      <c r="B132" s="2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69">
      <c r="A133" s="2" t="n"/>
      <c r="B133" s="2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69">
      <c r="A134" s="2" t="n"/>
      <c r="B134" s="2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69">
      <c r="A135" s="2" t="n"/>
      <c r="B135" s="2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69">
      <c r="A136" s="2" t="n"/>
      <c r="B136" s="2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69">
      <c r="A137" s="2" t="n"/>
      <c r="B137" s="2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69">
      <c r="A138" s="2" t="n"/>
      <c r="B138" s="2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69">
      <c r="A139" s="2" t="n"/>
      <c r="B139" s="2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69">
      <c r="A140" s="2" t="n"/>
      <c r="B140" s="2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69">
      <c r="A141" s="2" t="n"/>
      <c r="B141" s="2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69">
      <c r="A142" s="2" t="n"/>
      <c r="B142" s="2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69">
      <c r="A143" s="2" t="n"/>
      <c r="B143" s="2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69">
      <c r="A144" s="2" t="n"/>
      <c r="B144" s="2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69">
      <c r="A145" s="2" t="n"/>
      <c r="B145" s="2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69">
      <c r="A146" s="2" t="n"/>
      <c r="B146" s="2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69">
      <c r="A147" s="2" t="n"/>
      <c r="B147" s="2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69">
      <c r="A148" s="2" t="n"/>
      <c r="B148" s="2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69">
      <c r="A149" s="2" t="n"/>
      <c r="B149" s="2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69">
      <c r="A150" s="2" t="n"/>
      <c r="B150" s="2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69">
      <c r="A151" s="2" t="n"/>
      <c r="B151" s="2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69">
      <c r="A152" s="2" t="n"/>
      <c r="B152" s="2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69">
      <c r="A153" s="2" t="n"/>
      <c r="B153" s="2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69">
      <c r="A154" s="2" t="n"/>
      <c r="B154" s="2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69">
      <c r="A155" s="2" t="n"/>
      <c r="B155" s="2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69">
      <c r="A156" s="2" t="n"/>
      <c r="B156" s="2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69">
      <c r="A157" s="2" t="n"/>
      <c r="B157" s="2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69">
      <c r="A158" s="2" t="n"/>
      <c r="B158" s="2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69">
      <c r="A159" s="2" t="n"/>
      <c r="B159" s="2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69">
      <c r="A160" s="2" t="n"/>
      <c r="B160" s="2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69">
      <c r="A161" s="2" t="n"/>
      <c r="B161" s="2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69">
      <c r="A162" s="2" t="n"/>
      <c r="B162" s="2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69">
      <c r="A163" s="2" t="n"/>
      <c r="B163" s="2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69">
      <c r="A164" s="2" t="n"/>
      <c r="B164" s="2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69">
      <c r="A165" s="2" t="n"/>
      <c r="B165" s="2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69">
      <c r="A166" s="2" t="n"/>
      <c r="B166" s="2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69">
      <c r="A167" s="2" t="n"/>
      <c r="B167" s="2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69">
      <c r="A168" s="2" t="n"/>
      <c r="B168" s="2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69">
      <c r="A169" s="2" t="n"/>
      <c r="B169" s="2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69">
      <c r="A170" s="2" t="n"/>
      <c r="B170" s="2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69">
      <c r="A171" s="2" t="n"/>
      <c r="B171" s="2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69">
      <c r="A172" s="2" t="n"/>
      <c r="B172" s="2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69">
      <c r="A173" s="2" t="n"/>
      <c r="B173" s="2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69">
      <c r="A174" s="2" t="n"/>
      <c r="B174" s="2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69">
      <c r="A175" s="2" t="n"/>
      <c r="B175" s="2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69">
      <c r="A176" s="2" t="n"/>
      <c r="B176" s="2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69">
      <c r="A177" s="2" t="n"/>
      <c r="B177" s="2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69">
      <c r="A178" s="2" t="n"/>
      <c r="B178" s="2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69">
      <c r="A179" s="2" t="n"/>
      <c r="B179" s="2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69">
      <c r="A180" s="2" t="n"/>
      <c r="B180" s="2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69">
      <c r="A181" s="2" t="n"/>
      <c r="B181" s="2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69">
      <c r="A182" s="2" t="n"/>
      <c r="B182" s="2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69">
      <c r="A183" s="2" t="n"/>
      <c r="B183" s="2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69">
      <c r="A184" s="2" t="n"/>
      <c r="B184" s="2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69">
      <c r="A185" s="2" t="n"/>
      <c r="B185" s="2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69">
      <c r="A186" s="2" t="n"/>
      <c r="B186" s="2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69">
      <c r="A187" s="2" t="n"/>
      <c r="B187" s="2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69">
      <c r="A188" s="2" t="n"/>
      <c r="B188" s="2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69">
      <c r="A189" s="2" t="n"/>
      <c r="B189" s="2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69">
      <c r="A190" s="2" t="n"/>
      <c r="B190" s="2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69">
      <c r="A191" s="2" t="n"/>
      <c r="B191" s="2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69">
      <c r="A192" s="2" t="n"/>
      <c r="B192" s="2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69">
      <c r="A193" s="2" t="n"/>
      <c r="B193" s="2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69">
      <c r="A194" s="2" t="n"/>
      <c r="B194" s="2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69">
      <c r="A195" s="2" t="n"/>
      <c r="B195" s="2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69">
      <c r="A196" s="2" t="n"/>
      <c r="B196" s="2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69">
      <c r="A197" s="2" t="n"/>
      <c r="B197" s="2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69">
      <c r="A198" s="2" t="n"/>
      <c r="B198" s="2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69">
      <c r="A199" s="2" t="n"/>
      <c r="B199" s="2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69">
      <c r="A200" s="2" t="n"/>
      <c r="B200" s="2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69">
      <c r="A201" s="2" t="n"/>
      <c r="B201" s="2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69">
      <c r="A202" s="2" t="n"/>
      <c r="B202" s="2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69">
      <c r="A203" s="2" t="n"/>
      <c r="B203" s="2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69">
      <c r="A204" s="2" t="n"/>
      <c r="B204" s="2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69">
      <c r="A205" s="2" t="n"/>
      <c r="B205" s="2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69">
      <c r="A206" s="2" t="n"/>
      <c r="B206" s="2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69">
      <c r="A207" s="2" t="n"/>
      <c r="B207" s="2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69">
      <c r="A208" s="2" t="n"/>
      <c r="B208" s="2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69">
      <c r="A209" s="2" t="n"/>
      <c r="B209" s="2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69">
      <c r="A210" s="2" t="n"/>
      <c r="B210" s="2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69">
      <c r="A211" s="2" t="n"/>
      <c r="B211" s="2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69">
      <c r="A212" s="2" t="n"/>
      <c r="B212" s="2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69">
      <c r="A213" s="2" t="n"/>
      <c r="B213" s="2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69">
      <c r="A214" s="2" t="n"/>
      <c r="B214" s="2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69">
      <c r="A215" s="2" t="n"/>
      <c r="B215" s="2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69">
      <c r="A216" s="2" t="n"/>
      <c r="B216" s="2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69">
      <c r="A217" s="2" t="n"/>
      <c r="B217" s="2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69">
      <c r="A218" s="2" t="n"/>
      <c r="B218" s="2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69">
      <c r="A219" s="2" t="n"/>
      <c r="B219" s="2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69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69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69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69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69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69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69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69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69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6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69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69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69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69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69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69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69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69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69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6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69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69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69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69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69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69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69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69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69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6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69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69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69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69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69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69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69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69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69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6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69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 ht="15.75" customHeight="1" s="69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3">
    <mergeCell ref="T1:Y1"/>
    <mergeCell ref="H1:S1"/>
    <mergeCell ref="D1:G1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00FF00"/>
    <outlinePr summaryBelow="1" summaryRight="1"/>
    <pageSetUpPr/>
  </sheetPr>
  <dimension ref="A1:Y229"/>
  <sheetViews>
    <sheetView workbookViewId="0">
      <selection activeCell="A11" sqref="A11"/>
    </sheetView>
  </sheetViews>
  <sheetFormatPr baseColWidth="8" defaultColWidth="11.25" defaultRowHeight="15" customHeight="1"/>
  <cols>
    <col width="12.75" bestFit="1" customWidth="1" style="69" min="1" max="1"/>
    <col width="26" bestFit="1" customWidth="1" style="69" min="2" max="2"/>
    <col width="11.75" bestFit="1" customWidth="1" style="69" min="3" max="3"/>
    <col hidden="1" width="10.5" customWidth="1" style="69" min="4" max="4"/>
    <col hidden="1" width="8.625" customWidth="1" style="69" min="5" max="5"/>
    <col hidden="1" width="10.375" customWidth="1" style="69" min="6" max="6"/>
    <col hidden="1" width="9.625" customWidth="1" style="69" min="7" max="7"/>
    <col hidden="1" width="8.625" customWidth="1" style="69" min="8" max="8"/>
    <col hidden="1" width="9.25" customWidth="1" style="69" min="9" max="9"/>
    <col hidden="1" width="7" customWidth="1" style="69" min="10" max="10"/>
    <col hidden="1" width="6.625" customWidth="1" style="69" min="11" max="11"/>
    <col hidden="1" width="9.125" bestFit="1" customWidth="1" style="69" min="12" max="13"/>
    <col hidden="1" width="13" customWidth="1" style="69" min="13" max="13"/>
    <col hidden="1" width="8.625" bestFit="1" customWidth="1" style="69" min="14" max="14"/>
    <col hidden="1" width="10.5" bestFit="1" customWidth="1" style="69" min="15" max="15"/>
    <col width="13.875" bestFit="1" customWidth="1" style="69" min="16" max="16"/>
    <col width="11" bestFit="1" customWidth="1" style="69" min="17" max="17"/>
    <col width="12.875" bestFit="1" customWidth="1" style="69" min="18" max="18"/>
    <col width="12" bestFit="1" customWidth="1" style="69" min="19" max="19"/>
    <col width="10.375" bestFit="1" customWidth="1" style="69" min="20" max="20"/>
    <col width="11.625" bestFit="1" customWidth="1" style="69" min="21" max="21"/>
    <col width="8.25" bestFit="1" customWidth="1" style="69" min="22" max="22"/>
    <col width="8.5" bestFit="1" customWidth="1" style="69" min="23" max="23"/>
    <col width="9.125" bestFit="1" customWidth="1" style="69" min="24" max="25"/>
    <col width="7.5" customWidth="1" style="69" min="26" max="26"/>
  </cols>
  <sheetData>
    <row r="1" ht="15.75" customHeight="1" s="69">
      <c r="A1" s="54" t="n"/>
      <c r="B1" s="1" t="n"/>
      <c r="C1" s="3" t="n"/>
      <c r="D1" s="79" t="n">
        <v>2025</v>
      </c>
      <c r="E1" s="73" t="n"/>
      <c r="F1" s="73" t="n"/>
      <c r="G1" s="73" t="n"/>
      <c r="H1" s="78" t="n">
        <v>2026</v>
      </c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7" t="n">
        <v>2027</v>
      </c>
      <c r="U1" s="73" t="n"/>
      <c r="V1" s="73" t="n"/>
      <c r="W1" s="73" t="n"/>
      <c r="X1" s="73" t="n"/>
      <c r="Y1" s="74" t="n"/>
    </row>
    <row r="2" ht="15.75" customHeight="1" s="69">
      <c r="A2" s="54" t="n"/>
      <c r="B2" s="1" t="n"/>
      <c r="C2" s="3" t="n"/>
      <c r="D2" s="7" t="inlineStr">
        <is>
          <t>SETTEMBRE</t>
        </is>
      </c>
      <c r="E2" s="7" t="inlineStr">
        <is>
          <t>OTTOBRE</t>
        </is>
      </c>
      <c r="F2" s="7" t="inlineStr">
        <is>
          <t>NOVEMBRE</t>
        </is>
      </c>
      <c r="G2" s="7" t="inlineStr">
        <is>
          <t>DICEMBRE</t>
        </is>
      </c>
      <c r="H2" s="6" t="inlineStr">
        <is>
          <t>GENNAIO</t>
        </is>
      </c>
      <c r="I2" s="6" t="inlineStr">
        <is>
          <t>FEBBRAIO</t>
        </is>
      </c>
      <c r="J2" s="6" t="inlineStr">
        <is>
          <t>MARZO</t>
        </is>
      </c>
      <c r="K2" s="6" t="inlineStr">
        <is>
          <t>APRILE</t>
        </is>
      </c>
      <c r="L2" s="8" t="inlineStr">
        <is>
          <t>MAGGIO</t>
        </is>
      </c>
      <c r="M2" s="8" t="inlineStr">
        <is>
          <t>GIUGNO</t>
        </is>
      </c>
      <c r="N2" s="8" t="inlineStr">
        <is>
          <t>LUGLIO</t>
        </is>
      </c>
      <c r="O2" s="8" t="inlineStr">
        <is>
          <t>AGOSTO</t>
        </is>
      </c>
      <c r="P2" s="8" t="inlineStr">
        <is>
          <t>SETTEMBRE</t>
        </is>
      </c>
      <c r="Q2" s="8" t="inlineStr">
        <is>
          <t>OTTOBRE</t>
        </is>
      </c>
      <c r="R2" s="8" t="inlineStr">
        <is>
          <t>NOVEMBRE</t>
        </is>
      </c>
      <c r="S2" s="8" t="inlineStr">
        <is>
          <t>DICEMBRE</t>
        </is>
      </c>
      <c r="T2" s="11" t="inlineStr">
        <is>
          <t>GENNAIO</t>
        </is>
      </c>
      <c r="U2" s="11" t="inlineStr">
        <is>
          <t>FEBBRAIO</t>
        </is>
      </c>
      <c r="V2" s="11" t="inlineStr">
        <is>
          <t>MARZO</t>
        </is>
      </c>
      <c r="W2" s="11" t="inlineStr">
        <is>
          <t>APRILE</t>
        </is>
      </c>
      <c r="X2" s="11" t="inlineStr">
        <is>
          <t>MAGGIO</t>
        </is>
      </c>
      <c r="Y2" s="11" t="inlineStr">
        <is>
          <t>GIUGNO</t>
        </is>
      </c>
    </row>
    <row r="3" ht="15.75" customHeight="1" s="69">
      <c r="A3" s="55" t="n"/>
      <c r="B3" s="15" t="inlineStr">
        <is>
          <t xml:space="preserve">Materie Prime e Consumo </t>
        </is>
      </c>
      <c r="C3" s="17">
        <f>SUM(D3:Y3)</f>
        <v/>
      </c>
      <c r="D3" s="17">
        <f>SUM(D4:D164)</f>
        <v/>
      </c>
      <c r="E3" s="17">
        <f>SUM(E4:E164)</f>
        <v/>
      </c>
      <c r="F3" s="17">
        <f>SUM(F4:F164)</f>
        <v/>
      </c>
      <c r="G3" s="17">
        <f>SUM(G4:G164)</f>
        <v/>
      </c>
      <c r="H3" s="17">
        <f>SUM(H4:H164)</f>
        <v/>
      </c>
      <c r="I3" s="17">
        <f>SUM(I4:I164)</f>
        <v/>
      </c>
      <c r="J3" s="17">
        <f>SUM(J4:J164)</f>
        <v/>
      </c>
      <c r="K3" s="17">
        <f>SUM(K4:K164)</f>
        <v/>
      </c>
      <c r="L3" s="17">
        <f>SUM(L4:L164)</f>
        <v/>
      </c>
      <c r="M3" s="17">
        <f>SUM(M4:M164)</f>
        <v/>
      </c>
      <c r="N3" s="17">
        <f>SUM(N4:N164)</f>
        <v/>
      </c>
      <c r="O3" s="17">
        <f>SUM(O4:O164)</f>
        <v/>
      </c>
      <c r="P3" s="17">
        <f>SUM(P4:P164)</f>
        <v/>
      </c>
      <c r="Q3" s="17">
        <f>SUM(Q4:Q164)</f>
        <v/>
      </c>
      <c r="R3" s="17">
        <f>SUM(R4:R164)</f>
        <v/>
      </c>
      <c r="S3" s="17">
        <f>SUM(S4:S164)</f>
        <v/>
      </c>
      <c r="T3" s="17">
        <f>SUM(T4:T164)</f>
        <v/>
      </c>
      <c r="U3" s="17">
        <f>SUM(U4:U164)</f>
        <v/>
      </c>
      <c r="V3" s="17">
        <f>SUM(V4:V164)</f>
        <v/>
      </c>
      <c r="W3" s="17">
        <f>SUM(W4:W164)</f>
        <v/>
      </c>
      <c r="X3" s="17">
        <f>SUM(X4:X164)</f>
        <v/>
      </c>
      <c r="Y3" s="17">
        <f>SUM(Y4:Y164)</f>
        <v/>
      </c>
    </row>
    <row r="4" ht="15.75" customHeight="1" s="69">
      <c r="A4" s="56" t="n">
        <v>48</v>
      </c>
      <c r="B4" s="80" t="inlineStr">
        <is>
          <t>B&amp;G Di Palo</t>
        </is>
      </c>
      <c r="C4" s="57">
        <f>SUM(D4:Y4)</f>
        <v/>
      </c>
      <c r="D4" s="57" t="n">
        <v>0</v>
      </c>
      <c r="E4" s="44" t="n"/>
      <c r="F4" s="23" t="n">
        <v>0</v>
      </c>
      <c r="G4" s="23" t="n">
        <v>0</v>
      </c>
      <c r="H4" s="44" t="n"/>
      <c r="I4" s="44" t="n"/>
      <c r="J4" s="25" t="n"/>
      <c r="K4" s="25" t="n"/>
      <c r="L4" s="44" t="n"/>
      <c r="M4" s="25" t="n"/>
      <c r="N4" s="25" t="n"/>
      <c r="O4" s="25" t="n"/>
      <c r="P4" s="23" t="n">
        <v>75.25</v>
      </c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</row>
    <row r="5" ht="15.75" customHeight="1" s="69">
      <c r="A5" s="56" t="n">
        <v>596</v>
      </c>
      <c r="B5" s="2" t="inlineStr">
        <is>
          <t>BABBI SRL</t>
        </is>
      </c>
      <c r="C5" s="57">
        <f>SUM(D5:Y5)</f>
        <v/>
      </c>
      <c r="D5" s="28" t="n"/>
      <c r="E5" s="44" t="n"/>
      <c r="F5" s="28" t="n"/>
      <c r="G5" s="28" t="n"/>
      <c r="H5" s="44" t="n"/>
      <c r="I5" s="44" t="n"/>
      <c r="J5" s="28" t="n"/>
      <c r="K5" s="28" t="n"/>
      <c r="L5" s="44" t="n"/>
      <c r="M5" s="28" t="n"/>
      <c r="N5" s="28" t="n"/>
      <c r="O5" s="28" t="n"/>
      <c r="P5" s="28" t="n">
        <v>175.2</v>
      </c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</row>
    <row r="6" ht="15.75" customHeight="1" s="69">
      <c r="A6" s="56" t="n"/>
      <c r="B6" s="2" t="inlineStr">
        <is>
          <t>J.F. Amonn</t>
        </is>
      </c>
      <c r="C6" s="57">
        <f>SUM(D6:Y6)</f>
        <v/>
      </c>
      <c r="D6" s="28" t="n"/>
      <c r="E6" s="44" t="n"/>
      <c r="F6" s="28" t="n"/>
      <c r="G6" s="28" t="n"/>
      <c r="H6" s="44" t="n"/>
      <c r="I6" s="44" t="n"/>
      <c r="J6" s="28" t="n"/>
      <c r="K6" s="28" t="n"/>
      <c r="L6" s="44" t="n"/>
      <c r="M6" s="28" t="n"/>
      <c r="N6" s="28" t="n"/>
      <c r="O6" s="28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</row>
    <row r="7" ht="15.75" customHeight="1" s="69">
      <c r="A7" s="56" t="n">
        <v>325</v>
      </c>
      <c r="B7" s="2" t="inlineStr">
        <is>
          <t>ALFERA S.R.L.</t>
        </is>
      </c>
      <c r="C7" s="57">
        <f>SUM(D7:Y7)</f>
        <v/>
      </c>
      <c r="D7" s="28" t="n"/>
      <c r="E7" s="44" t="n"/>
      <c r="F7" s="28" t="n"/>
      <c r="G7" s="28" t="n"/>
      <c r="H7" s="44" t="n"/>
      <c r="I7" s="44" t="n"/>
      <c r="J7" s="28" t="n"/>
      <c r="K7" s="28" t="n"/>
      <c r="L7" s="44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</row>
    <row r="8" ht="15.75" customHeight="1" s="69">
      <c r="A8" s="56" t="n">
        <v>158</v>
      </c>
      <c r="B8" s="2" t="inlineStr">
        <is>
          <t>GALLO GIOVANNI &amp; C. SNC</t>
        </is>
      </c>
      <c r="C8" s="57">
        <f>SUM(D8:Y8)</f>
        <v/>
      </c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>
        <v>164.52</v>
      </c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</row>
    <row r="9" ht="15.75" customHeight="1" s="69">
      <c r="A9" s="56" t="n">
        <v>142</v>
      </c>
      <c r="B9" s="2" t="inlineStr">
        <is>
          <t>GENERAL BEVERAGE S.R.L.</t>
        </is>
      </c>
      <c r="C9" s="57">
        <f>SUM(D9:Y9)</f>
        <v/>
      </c>
      <c r="D9" s="28" t="n"/>
      <c r="E9" s="44" t="n"/>
      <c r="F9" s="28" t="n"/>
      <c r="G9" s="28" t="n"/>
      <c r="H9" s="44" t="n"/>
      <c r="I9" s="28" t="n"/>
      <c r="J9" s="28" t="n"/>
      <c r="K9" s="28" t="n"/>
      <c r="L9" s="44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</row>
    <row r="10" ht="15.75" customHeight="1" s="69">
      <c r="A10" s="56" t="n"/>
      <c r="B10" s="2" t="n"/>
      <c r="C10" s="57">
        <f>SUM(D10:Y10)</f>
        <v/>
      </c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</row>
    <row r="11" ht="15.75" customHeight="1" s="69">
      <c r="A11" s="58" t="n">
        <v>1273.38</v>
      </c>
      <c r="B11" s="2" t="inlineStr">
        <is>
          <t>CoIrEs SRL</t>
        </is>
      </c>
      <c r="C11" s="57">
        <f>SUM(D11:Y11)</f>
        <v/>
      </c>
      <c r="D11" s="28" t="n"/>
      <c r="E11" s="44" t="n"/>
      <c r="F11" s="28" t="n"/>
      <c r="G11" s="28" t="n"/>
      <c r="H11" s="44" t="n"/>
      <c r="I11" s="28" t="n"/>
      <c r="J11" s="28" t="n"/>
      <c r="K11" s="28" t="n"/>
      <c r="L11" s="44" t="n"/>
      <c r="M11" s="28" t="n"/>
      <c r="N11" s="28" t="n"/>
      <c r="O11" s="28" t="n"/>
      <c r="P11" s="28" t="n">
        <v>1273.38</v>
      </c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</row>
    <row r="12" ht="15.75" customHeight="1" s="69">
      <c r="A12" s="58" t="n"/>
      <c r="B12" s="2" t="inlineStr">
        <is>
          <t>Creative Idea Snc</t>
        </is>
      </c>
      <c r="C12" s="57">
        <f>SUM(D12:Y12)</f>
        <v/>
      </c>
      <c r="D12" s="28" t="n"/>
      <c r="E12" s="44" t="n"/>
      <c r="F12" s="28" t="n"/>
      <c r="G12" s="28" t="n"/>
      <c r="H12" s="44" t="n"/>
      <c r="I12" s="28" t="n"/>
      <c r="J12" s="28" t="n"/>
      <c r="K12" s="28" t="n"/>
      <c r="L12" s="44" t="n"/>
      <c r="M12" s="28" t="n"/>
      <c r="N12" s="28" t="n"/>
      <c r="O12" s="28" t="n"/>
      <c r="P12" s="59" t="n"/>
      <c r="Q12" s="59" t="n"/>
      <c r="R12" s="59" t="n"/>
      <c r="S12" s="59" t="n"/>
      <c r="T12" s="59" t="n"/>
      <c r="U12" s="59" t="n"/>
      <c r="V12" s="59" t="n"/>
      <c r="W12" s="59" t="n"/>
      <c r="X12" s="59" t="n"/>
      <c r="Y12" s="59" t="n"/>
    </row>
    <row r="13" ht="15.75" customHeight="1" s="69">
      <c r="A13" s="56" t="n"/>
      <c r="B13" s="80" t="inlineStr">
        <is>
          <t>De Riso</t>
        </is>
      </c>
      <c r="C13" s="57">
        <f>SUM(D13:Y13)</f>
        <v/>
      </c>
      <c r="D13" s="28" t="n"/>
      <c r="E13" s="44" t="n"/>
      <c r="F13" s="28" t="n"/>
      <c r="G13" s="28" t="n"/>
      <c r="H13" s="44" t="n"/>
      <c r="I13" s="44" t="n"/>
      <c r="J13" s="28" t="n"/>
      <c r="K13" s="28" t="n"/>
      <c r="L13" s="44" t="n"/>
      <c r="M13" s="28" t="n"/>
      <c r="N13" s="28" t="n"/>
      <c r="O13" s="28" t="n"/>
      <c r="P13" s="28" t="n">
        <v>27</v>
      </c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</row>
    <row r="14" ht="15.75" customHeight="1" s="69">
      <c r="A14" s="56" t="n"/>
      <c r="B14" s="2" t="inlineStr">
        <is>
          <t>EURO GROUP NETWORK S.R.L.</t>
        </is>
      </c>
      <c r="C14" s="57">
        <f>SUM(D14:Y14)</f>
        <v/>
      </c>
      <c r="D14" s="28" t="n"/>
      <c r="E14" s="44" t="n"/>
      <c r="F14" s="28" t="n"/>
      <c r="G14" s="28" t="n"/>
      <c r="H14" s="44" t="n"/>
      <c r="I14" s="28" t="n"/>
      <c r="J14" s="28" t="n"/>
      <c r="K14" s="28" t="n"/>
      <c r="L14" s="44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</row>
    <row r="15" ht="15.75" customHeight="1" s="69">
      <c r="A15" s="56" t="n"/>
      <c r="B15" s="2" t="inlineStr">
        <is>
          <t>Foraggio Srl</t>
        </is>
      </c>
      <c r="C15" s="57">
        <f>SUM(D15:Y15)</f>
        <v/>
      </c>
      <c r="D15" s="28" t="n"/>
      <c r="E15" s="44" t="n"/>
      <c r="F15" s="28" t="n"/>
      <c r="G15" s="28" t="n"/>
      <c r="H15" s="44" t="n"/>
      <c r="I15" s="28" t="n"/>
      <c r="J15" s="28" t="n"/>
      <c r="K15" s="28" t="n"/>
      <c r="L15" s="44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</row>
    <row r="16" ht="15.75" customHeight="1" s="69">
      <c r="A16" s="56" t="n"/>
      <c r="B16" s="2" t="inlineStr">
        <is>
          <t>IDRO-TOP SRL</t>
        </is>
      </c>
      <c r="C16" s="57">
        <f>SUM(D16:Y16)</f>
        <v/>
      </c>
      <c r="D16" s="28" t="n"/>
      <c r="E16" s="44" t="n"/>
      <c r="F16" s="28" t="n"/>
      <c r="G16" s="28" t="n"/>
      <c r="H16" s="44" t="n"/>
      <c r="I16" s="28" t="n"/>
      <c r="J16" s="28" t="n"/>
      <c r="K16" s="28" t="n"/>
      <c r="L16" s="44" t="n"/>
      <c r="M16" s="28" t="n"/>
      <c r="N16" s="28" t="n"/>
      <c r="O16" s="28" t="n"/>
      <c r="P16" s="28" t="n">
        <v>64.68000000000001</v>
      </c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</row>
    <row r="17" ht="15.75" customHeight="1" s="69">
      <c r="A17" s="56" t="n"/>
      <c r="B17" s="2" t="inlineStr">
        <is>
          <t>INDEL B</t>
        </is>
      </c>
      <c r="C17" s="57">
        <f>SUM(D17:Y17)</f>
        <v/>
      </c>
      <c r="D17" s="28" t="n"/>
      <c r="E17" s="44" t="n"/>
      <c r="F17" s="28" t="n"/>
      <c r="G17" s="28" t="n"/>
      <c r="H17" s="44" t="n"/>
      <c r="I17" s="28" t="n"/>
      <c r="J17" s="28" t="n"/>
      <c r="K17" s="28" t="n"/>
      <c r="L17" s="44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</row>
    <row r="18" ht="15.75" customHeight="1" s="69">
      <c r="A18" s="56" t="n"/>
      <c r="B18" s="2" t="inlineStr">
        <is>
          <t>Locali d'autore</t>
        </is>
      </c>
      <c r="C18" s="57">
        <f>SUM(D18:Y18)</f>
        <v/>
      </c>
      <c r="D18" s="28" t="n"/>
      <c r="E18" s="44" t="n"/>
      <c r="F18" s="28" t="n"/>
      <c r="G18" s="28" t="n"/>
      <c r="H18" s="44" t="n"/>
      <c r="I18" s="28" t="n"/>
      <c r="J18" s="28" t="n"/>
      <c r="K18" s="28" t="n"/>
      <c r="L18" s="44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</row>
    <row r="19" ht="15.75" customHeight="1" s="69">
      <c r="A19" s="56" t="n"/>
      <c r="B19" s="2" t="inlineStr">
        <is>
          <t>Mediterraneo</t>
        </is>
      </c>
      <c r="C19" s="57">
        <f>SUM(D19:Y19)</f>
        <v/>
      </c>
      <c r="D19" s="28" t="n"/>
      <c r="E19" s="44" t="n"/>
      <c r="F19" s="59" t="n">
        <v>0</v>
      </c>
      <c r="G19" s="59" t="n">
        <v>0</v>
      </c>
      <c r="H19" s="44" t="n"/>
      <c r="I19" s="44" t="n"/>
      <c r="J19" s="28" t="n"/>
      <c r="K19" s="28" t="n"/>
      <c r="L19" s="44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</row>
    <row r="20" ht="15.75" customHeight="1" s="69">
      <c r="A20" s="56" t="n"/>
      <c r="B20" s="80" t="inlineStr">
        <is>
          <t>Ninni</t>
        </is>
      </c>
      <c r="C20" s="57">
        <f>SUM(D20:Y20)</f>
        <v/>
      </c>
      <c r="D20" s="28" t="n"/>
      <c r="E20" s="44" t="n"/>
      <c r="F20" s="59" t="n">
        <v>0</v>
      </c>
      <c r="G20" s="59" t="n">
        <v>0</v>
      </c>
      <c r="H20" s="44" t="n"/>
      <c r="I20" s="44" t="n"/>
      <c r="J20" s="28" t="n"/>
      <c r="K20" s="28" t="n"/>
      <c r="L20" s="44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</row>
    <row r="21" ht="15.75" customHeight="1" s="69">
      <c r="A21" s="56" t="n"/>
      <c r="B21" s="80" t="inlineStr">
        <is>
          <t>Oceano Distribuzione</t>
        </is>
      </c>
      <c r="C21" s="57">
        <f>SUM(D21:Y21)</f>
        <v/>
      </c>
      <c r="D21" s="28" t="n"/>
      <c r="E21" s="44" t="n"/>
      <c r="F21" s="59" t="n"/>
      <c r="G21" s="59" t="n"/>
      <c r="H21" s="44" t="n"/>
      <c r="I21" s="44" t="n"/>
      <c r="J21" s="28" t="n"/>
      <c r="K21" s="28" t="n"/>
      <c r="L21" s="44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</row>
    <row r="22" ht="15.75" customHeight="1" s="69">
      <c r="A22" s="56" t="n"/>
      <c r="B22" s="80" t="inlineStr">
        <is>
          <t>Pasticceria Trieste</t>
        </is>
      </c>
      <c r="C22" s="57">
        <f>SUM(D22:Y22)</f>
        <v/>
      </c>
      <c r="D22" s="28" t="n"/>
      <c r="E22" s="44" t="n"/>
      <c r="F22" s="28" t="n"/>
      <c r="G22" s="28" t="n"/>
      <c r="H22" s="44" t="n"/>
      <c r="I22" s="44" t="n"/>
      <c r="J22" s="28" t="n"/>
      <c r="K22" s="28" t="n"/>
      <c r="L22" s="44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</row>
    <row r="23" ht="15.75" customHeight="1" s="69">
      <c r="A23" s="56" t="n"/>
      <c r="B23" s="80" t="inlineStr">
        <is>
          <t>Rastrelli Antonia</t>
        </is>
      </c>
      <c r="C23" s="57">
        <f>SUM(D23:Y23)</f>
        <v/>
      </c>
      <c r="D23" s="28" t="n"/>
      <c r="E23" s="44" t="n"/>
      <c r="F23" s="28" t="n"/>
      <c r="G23" s="28" t="n"/>
      <c r="H23" s="44" t="n"/>
      <c r="I23" s="44" t="n"/>
      <c r="J23" s="28" t="n"/>
      <c r="K23" s="28" t="n"/>
      <c r="L23" s="44" t="n"/>
      <c r="M23" s="28" t="n"/>
      <c r="N23" s="28" t="n"/>
      <c r="O23" s="28" t="n"/>
      <c r="P23" s="28" t="n">
        <v>55.33</v>
      </c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</row>
    <row r="24" ht="15.75" customHeight="1" s="69">
      <c r="A24" s="58" t="n">
        <v>412036.53</v>
      </c>
      <c r="B24" s="2" t="inlineStr">
        <is>
          <t>Panorama Company Srl</t>
        </is>
      </c>
      <c r="C24" s="57">
        <f>SUM(D24:Y24)</f>
        <v/>
      </c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</row>
    <row r="25" ht="15.75" customHeight="1" s="69">
      <c r="A25" s="56" t="n"/>
      <c r="B25" s="2" t="inlineStr">
        <is>
          <t>Paravia</t>
        </is>
      </c>
      <c r="C25" s="57">
        <f>SUM(D25:Y25)</f>
        <v/>
      </c>
      <c r="D25" s="28" t="n"/>
      <c r="E25" s="44" t="n"/>
      <c r="F25" s="28" t="n"/>
      <c r="G25" s="28" t="n"/>
      <c r="H25" s="44" t="n"/>
      <c r="I25" s="44" t="n"/>
      <c r="J25" s="28" t="n"/>
      <c r="K25" s="28" t="n"/>
      <c r="L25" s="44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</row>
    <row r="26" ht="15.75" customHeight="1" s="69">
      <c r="A26" s="56" t="n"/>
      <c r="B26" s="2" t="inlineStr">
        <is>
          <t>Primavera Servizi Srl</t>
        </is>
      </c>
      <c r="C26" s="57">
        <f>SUM(D26:Y26)</f>
        <v/>
      </c>
      <c r="D26" s="28" t="n"/>
      <c r="E26" s="44" t="n"/>
      <c r="F26" s="28" t="n"/>
      <c r="G26" s="28" t="n"/>
      <c r="H26" s="44" t="n"/>
      <c r="I26" s="44" t="n"/>
      <c r="J26" s="28" t="n"/>
      <c r="K26" s="28" t="n"/>
      <c r="L26" s="44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</row>
    <row r="27" ht="15.75" customHeight="1" s="69">
      <c r="A27" s="56" t="n"/>
      <c r="B27" s="80" t="inlineStr">
        <is>
          <t>Giardiniello</t>
        </is>
      </c>
      <c r="C27" s="57">
        <f>SUM(D27:Y27)</f>
        <v/>
      </c>
      <c r="D27" s="28" t="n"/>
      <c r="E27" s="44" t="n"/>
      <c r="F27" s="28" t="n"/>
      <c r="G27" s="28" t="n"/>
      <c r="H27" s="44" t="n"/>
      <c r="I27" s="44" t="n"/>
      <c r="J27" s="28" t="n"/>
      <c r="K27" s="28" t="n"/>
      <c r="L27" s="44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</row>
    <row r="28" ht="15.75" customHeight="1" s="69">
      <c r="A28" s="58" t="n">
        <v>45440</v>
      </c>
      <c r="B28" s="2" t="inlineStr">
        <is>
          <t>Tecno Campania</t>
        </is>
      </c>
      <c r="C28" s="57">
        <f>SUM(D28:Y28)</f>
        <v/>
      </c>
      <c r="D28" s="28" t="n"/>
      <c r="E28" s="44" t="n"/>
      <c r="F28" s="28" t="n"/>
      <c r="G28" s="28" t="n"/>
      <c r="H28" s="44" t="n"/>
      <c r="I28" s="44" t="n"/>
      <c r="J28" s="28" t="n"/>
      <c r="K28" s="28" t="n"/>
      <c r="L28" s="44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</row>
    <row r="29" ht="15.75" customHeight="1" s="69">
      <c r="A29" s="56" t="n"/>
      <c r="B29" s="80" t="inlineStr">
        <is>
          <t>Vulaj (Ceramica)</t>
        </is>
      </c>
      <c r="C29" s="57">
        <f>SUM(D29:Y29)</f>
        <v/>
      </c>
      <c r="D29" s="28" t="n"/>
      <c r="E29" s="44" t="n"/>
      <c r="F29" s="59" t="n">
        <v>0</v>
      </c>
      <c r="G29" s="59" t="n">
        <v>0</v>
      </c>
      <c r="H29" s="44" t="n"/>
      <c r="I29" s="44" t="n"/>
      <c r="J29" s="28" t="n"/>
      <c r="K29" s="28" t="n"/>
      <c r="L29" s="44" t="n"/>
      <c r="M29" s="28" t="n"/>
      <c r="N29" s="28" t="n"/>
      <c r="O29" s="28" t="n"/>
      <c r="P29" s="28" t="n">
        <v>45.01</v>
      </c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</row>
    <row r="30" ht="15.75" customHeight="1" s="69">
      <c r="A30" s="56" t="n"/>
      <c r="B30" s="2" t="n"/>
      <c r="C30" s="28" t="n"/>
      <c r="D30" s="28" t="n"/>
      <c r="E30" s="28" t="n"/>
      <c r="F30" s="28" t="n"/>
      <c r="G30" s="59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</row>
    <row r="31" ht="15.75" customHeight="1" s="69">
      <c r="A31" s="56" t="n"/>
      <c r="B31" s="2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</row>
    <row r="32" ht="15.75" customHeight="1" s="69">
      <c r="A32" s="56" t="n"/>
      <c r="B32" s="2" t="n"/>
      <c r="C32" s="28" t="n"/>
      <c r="D32" s="28" t="n"/>
      <c r="E32" s="28" t="n"/>
      <c r="F32" s="59" t="n"/>
      <c r="G32" s="59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</row>
    <row r="33" ht="15.75" customHeight="1" s="69">
      <c r="A33" s="56" t="n"/>
      <c r="B33" s="2" t="n"/>
      <c r="C33" s="28" t="n"/>
      <c r="D33" s="28" t="n"/>
      <c r="E33" s="2" t="n"/>
      <c r="F33" s="28" t="n"/>
      <c r="G33" s="59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</row>
    <row r="34" ht="15.75" customHeight="1" s="69">
      <c r="A34" s="56" t="n"/>
      <c r="B34" s="2" t="n"/>
      <c r="C34" s="28" t="n"/>
      <c r="D34" s="28" t="n"/>
      <c r="E34" s="28" t="n"/>
      <c r="F34" s="59" t="n"/>
      <c r="G34" s="59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</row>
    <row r="35" ht="15.75" customHeight="1" s="69">
      <c r="A35" s="56" t="n"/>
      <c r="B35" s="2" t="n"/>
      <c r="C35" s="28" t="n"/>
      <c r="D35" s="28" t="n"/>
      <c r="E35" s="28" t="n"/>
      <c r="F35" s="59" t="n"/>
      <c r="G35" s="59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</row>
    <row r="36" ht="15.75" customHeight="1" s="69">
      <c r="A36" s="56" t="n"/>
      <c r="B36" s="2" t="n"/>
      <c r="C36" s="28" t="n"/>
      <c r="D36" s="28" t="n"/>
      <c r="E36" s="28" t="n"/>
      <c r="F36" s="59" t="n"/>
      <c r="G36" s="59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</row>
    <row r="37" ht="15.75" customHeight="1" s="69">
      <c r="A37" s="56" t="n"/>
      <c r="B37" s="2" t="n"/>
      <c r="C37" s="28" t="n"/>
      <c r="D37" s="28" t="n"/>
      <c r="E37" s="28" t="n"/>
      <c r="F37" s="59" t="n"/>
      <c r="G37" s="59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</row>
    <row r="38" ht="15.75" customHeight="1" s="69">
      <c r="A38" s="56" t="n"/>
      <c r="B38" s="2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</row>
    <row r="39" ht="15.75" customHeight="1" s="69">
      <c r="A39" s="56" t="n"/>
      <c r="B39" s="2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</row>
    <row r="40" ht="15.75" customHeight="1" s="69">
      <c r="A40" s="56" t="n"/>
      <c r="B40" s="2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</row>
    <row r="41" ht="15.75" customHeight="1" s="69">
      <c r="A41" s="56" t="n"/>
      <c r="B41" s="2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</row>
    <row r="42" ht="15.75" customHeight="1" s="69">
      <c r="A42" s="56" t="n"/>
      <c r="B42" s="2" t="n"/>
      <c r="C42" s="28" t="n"/>
      <c r="D42" s="59" t="n"/>
      <c r="E42" s="28" t="n"/>
      <c r="F42" s="59" t="n"/>
      <c r="G42" s="59" t="n"/>
      <c r="H42" s="59" t="n"/>
      <c r="I42" s="59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</row>
    <row r="43" ht="15.75" customHeight="1" s="69">
      <c r="A43" s="56" t="n"/>
      <c r="B43" s="2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</row>
    <row r="44" ht="15.75" customHeight="1" s="69">
      <c r="A44" s="56" t="n"/>
      <c r="B44" s="80" t="n"/>
      <c r="C44" s="28" t="n"/>
      <c r="D44" s="28" t="n"/>
      <c r="E44" s="28" t="n"/>
      <c r="F44" s="59" t="n"/>
      <c r="G44" s="59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</row>
    <row r="45" ht="15.75" customHeight="1" s="69">
      <c r="A45" s="56" t="n"/>
      <c r="B45" s="2" t="n"/>
      <c r="C45" s="28" t="n"/>
      <c r="D45" s="28" t="n"/>
      <c r="E45" s="28" t="n"/>
      <c r="F45" s="59" t="n"/>
      <c r="G45" s="59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</row>
    <row r="46" ht="15.75" customHeight="1" s="69">
      <c r="A46" s="56" t="n"/>
      <c r="B46" s="80" t="n"/>
      <c r="C46" s="28" t="n"/>
      <c r="D46" s="28" t="n"/>
      <c r="E46" s="28" t="n"/>
      <c r="F46" s="59" t="n"/>
      <c r="G46" s="59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</row>
    <row r="47" ht="15.75" customHeight="1" s="69">
      <c r="A47" s="56" t="n"/>
      <c r="B47" s="2" t="n"/>
      <c r="C47" s="28" t="n"/>
      <c r="D47" s="28" t="n"/>
      <c r="E47" s="28" t="n"/>
      <c r="F47" s="59" t="n"/>
      <c r="G47" s="59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</row>
    <row r="48" ht="15.75" customHeight="1" s="69">
      <c r="A48" s="56" t="n"/>
      <c r="B48" s="2" t="n"/>
      <c r="C48" s="28" t="n"/>
      <c r="D48" s="28" t="n"/>
      <c r="E48" s="28" t="n"/>
      <c r="F48" s="59" t="n"/>
      <c r="G48" s="59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</row>
    <row r="49" ht="15.75" customHeight="1" s="69">
      <c r="A49" s="56" t="n"/>
      <c r="B49" s="2" t="n"/>
      <c r="C49" s="28" t="n"/>
      <c r="D49" s="28" t="n"/>
      <c r="E49" s="28" t="n"/>
      <c r="F49" s="59" t="n"/>
      <c r="G49" s="59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</row>
    <row r="50" ht="15.75" customHeight="1" s="69">
      <c r="A50" s="56" t="n"/>
      <c r="B50" s="80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</row>
    <row r="51" ht="15.75" customHeight="1" s="69">
      <c r="A51" s="56" t="n"/>
      <c r="B51" s="2" t="n"/>
      <c r="C51" s="28" t="n"/>
      <c r="D51" s="28" t="n"/>
      <c r="E51" s="28" t="n"/>
      <c r="F51" s="59" t="n"/>
      <c r="G51" s="59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</row>
    <row r="52" ht="15.75" customHeight="1" s="69">
      <c r="A52" s="56" t="n"/>
      <c r="B52" s="2" t="n"/>
      <c r="C52" s="28" t="n"/>
      <c r="D52" s="28" t="n"/>
      <c r="E52" s="28" t="n"/>
      <c r="F52" s="59" t="n"/>
      <c r="G52" s="59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</row>
    <row r="53" ht="15.75" customHeight="1" s="69">
      <c r="A53" s="56" t="n"/>
      <c r="B53" s="80" t="n"/>
      <c r="C53" s="28" t="n"/>
      <c r="D53" s="28" t="n"/>
      <c r="E53" s="28" t="n"/>
      <c r="F53" s="59" t="n"/>
      <c r="G53" s="59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</row>
    <row r="54" ht="15.75" customHeight="1" s="69">
      <c r="A54" s="56" t="n"/>
      <c r="B54" s="2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</row>
    <row r="55" ht="15.75" customHeight="1" s="69">
      <c r="A55" s="56" t="n"/>
      <c r="B55" s="2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</row>
    <row r="56" ht="15.75" customHeight="1" s="69">
      <c r="A56" s="56" t="n"/>
      <c r="B56" s="2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</row>
    <row r="57" ht="15.75" customHeight="1" s="69">
      <c r="A57" s="56" t="n"/>
      <c r="B57" s="2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</row>
    <row r="58" ht="15.75" customHeight="1" s="69">
      <c r="A58" s="56" t="n"/>
      <c r="B58" s="2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2" t="n"/>
      <c r="Q58" s="2" t="n"/>
      <c r="R58" s="2" t="n"/>
      <c r="S58" s="2" t="n"/>
      <c r="T58" s="2" t="n"/>
      <c r="U58" s="2" t="n"/>
      <c r="V58" s="2" t="n"/>
    </row>
    <row r="59" ht="15.75" customHeight="1" s="69">
      <c r="A59" s="56" t="n"/>
      <c r="B59" s="2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2" t="n"/>
      <c r="Q59" s="2" t="n"/>
      <c r="R59" s="2" t="n"/>
      <c r="S59" s="2" t="n"/>
      <c r="T59" s="2" t="n"/>
      <c r="U59" s="2" t="n"/>
      <c r="V59" s="2" t="n"/>
    </row>
    <row r="60" ht="15.75" customHeight="1" s="69">
      <c r="A60" s="56" t="n"/>
      <c r="B60" s="2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2" t="n"/>
      <c r="Q60" s="2" t="n"/>
      <c r="R60" s="2" t="n"/>
      <c r="S60" s="2" t="n"/>
      <c r="T60" s="2" t="n"/>
      <c r="U60" s="2" t="n"/>
      <c r="V60" s="2" t="n"/>
    </row>
    <row r="61" ht="15.75" customHeight="1" s="69">
      <c r="A61" s="56" t="n"/>
      <c r="B61" s="2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2" t="n"/>
      <c r="Q61" s="2" t="n"/>
      <c r="R61" s="2" t="n"/>
      <c r="S61" s="2" t="n"/>
      <c r="T61" s="2" t="n"/>
      <c r="U61" s="2" t="n"/>
      <c r="V61" s="2" t="n"/>
    </row>
    <row r="62" ht="15.75" customHeight="1" s="69">
      <c r="A62" s="56" t="n"/>
      <c r="B62" s="2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2" t="n"/>
      <c r="Q62" s="2" t="n"/>
      <c r="R62" s="2" t="n"/>
      <c r="S62" s="2" t="n"/>
      <c r="T62" s="2" t="n"/>
      <c r="U62" s="2" t="n"/>
      <c r="V62" s="2" t="n"/>
    </row>
    <row r="63" ht="15.75" customHeight="1" s="69">
      <c r="A63" s="56" t="n"/>
      <c r="B63" s="2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2" t="n"/>
      <c r="Q63" s="2" t="n"/>
      <c r="R63" s="2" t="n"/>
      <c r="S63" s="2" t="n"/>
      <c r="T63" s="2" t="n"/>
      <c r="U63" s="2" t="n"/>
      <c r="V63" s="2" t="n"/>
    </row>
    <row r="64" ht="15.75" customHeight="1" s="69">
      <c r="A64" s="56" t="n"/>
      <c r="B64" s="2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2" t="n"/>
      <c r="Q64" s="2" t="n"/>
      <c r="R64" s="2" t="n"/>
      <c r="S64" s="2" t="n"/>
      <c r="T64" s="2" t="n"/>
      <c r="U64" s="2" t="n"/>
      <c r="V64" s="2" t="n"/>
    </row>
    <row r="65" ht="15.75" customHeight="1" s="69">
      <c r="A65" s="56" t="n"/>
      <c r="B65" s="2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2" t="n"/>
      <c r="Q65" s="2" t="n"/>
      <c r="R65" s="2" t="n"/>
      <c r="S65" s="2" t="n"/>
      <c r="T65" s="2" t="n"/>
      <c r="U65" s="2" t="n"/>
      <c r="V65" s="2" t="n"/>
    </row>
    <row r="66" ht="15.75" customHeight="1" s="69">
      <c r="A66" s="56" t="n"/>
      <c r="B66" s="2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2" t="n"/>
      <c r="Q66" s="2" t="n"/>
      <c r="R66" s="2" t="n"/>
      <c r="S66" s="2" t="n"/>
      <c r="T66" s="2" t="n"/>
      <c r="U66" s="2" t="n"/>
      <c r="V66" s="2" t="n"/>
    </row>
    <row r="67" ht="15.75" customHeight="1" s="69">
      <c r="A67" s="56" t="n"/>
      <c r="B67" s="2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2" t="n"/>
      <c r="Q67" s="2" t="n"/>
      <c r="R67" s="2" t="n"/>
      <c r="S67" s="2" t="n"/>
      <c r="T67" s="2" t="n"/>
      <c r="U67" s="2" t="n"/>
      <c r="V67" s="2" t="n"/>
    </row>
    <row r="68" ht="15.75" customHeight="1" s="69">
      <c r="A68" s="56" t="n"/>
      <c r="B68" s="2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2" t="n"/>
      <c r="Q68" s="2" t="n"/>
      <c r="R68" s="2" t="n"/>
      <c r="S68" s="2" t="n"/>
      <c r="T68" s="2" t="n"/>
      <c r="U68" s="2" t="n"/>
      <c r="V68" s="2" t="n"/>
    </row>
    <row r="69" ht="15.75" customHeight="1" s="69">
      <c r="A69" s="56" t="n"/>
      <c r="B69" s="2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69">
      <c r="A70" s="56" t="n"/>
      <c r="B70" s="2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69">
      <c r="A71" s="56" t="n"/>
      <c r="B71" s="2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69">
      <c r="A72" s="56" t="n"/>
      <c r="B72" s="2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69">
      <c r="A73" s="56" t="n"/>
      <c r="B73" s="2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69">
      <c r="A74" s="56" t="n"/>
      <c r="B74" s="2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69">
      <c r="A75" s="56" t="n"/>
      <c r="B75" s="2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69">
      <c r="A76" s="56" t="n"/>
      <c r="B76" s="2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69">
      <c r="A77" s="56" t="n"/>
      <c r="B77" s="2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69">
      <c r="A78" s="56" t="n"/>
      <c r="B78" s="2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69">
      <c r="A79" s="56" t="n"/>
      <c r="B79" s="2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69">
      <c r="A80" s="56" t="n"/>
      <c r="B80" s="2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69">
      <c r="A81" s="56" t="n"/>
      <c r="B81" s="2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69">
      <c r="A82" s="56" t="n"/>
      <c r="B82" s="2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69">
      <c r="A83" s="56" t="n"/>
      <c r="B83" s="2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69">
      <c r="A84" s="56" t="n"/>
      <c r="B84" s="2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69">
      <c r="A85" s="56" t="n"/>
      <c r="B85" s="2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69">
      <c r="A86" s="56" t="n"/>
      <c r="B86" s="2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69">
      <c r="A87" s="56" t="n"/>
      <c r="B87" s="2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69">
      <c r="A88" s="56" t="n"/>
      <c r="B88" s="2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69">
      <c r="A89" s="56" t="n"/>
      <c r="B89" s="2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69">
      <c r="A90" s="56" t="n"/>
      <c r="B90" s="2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69">
      <c r="A91" s="56" t="n"/>
      <c r="B91" s="2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69">
      <c r="A92" s="56" t="n"/>
      <c r="B92" s="2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69">
      <c r="A93" s="56" t="n"/>
      <c r="B93" s="2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69">
      <c r="A94" s="56" t="n"/>
      <c r="B94" s="2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69">
      <c r="A95" s="56" t="n"/>
      <c r="B95" s="2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69">
      <c r="A96" s="56" t="n"/>
      <c r="B96" s="2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69">
      <c r="A97" s="56" t="n"/>
      <c r="B97" s="2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69">
      <c r="A98" s="56" t="n"/>
      <c r="B98" s="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69">
      <c r="A99" s="56" t="n"/>
      <c r="B99" s="2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69">
      <c r="A100" s="56" t="n"/>
      <c r="B100" s="2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69">
      <c r="A101" s="56" t="n"/>
      <c r="B101" s="2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69">
      <c r="A102" s="56" t="n"/>
      <c r="B102" s="2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69">
      <c r="A103" s="56" t="n"/>
      <c r="B103" s="2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69">
      <c r="A104" s="56" t="n"/>
      <c r="B104" s="2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69">
      <c r="A105" s="56" t="n"/>
      <c r="B105" s="2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69">
      <c r="A106" s="56" t="n"/>
      <c r="B106" s="2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69">
      <c r="A107" s="56" t="n"/>
      <c r="B107" s="2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69">
      <c r="A108" s="56" t="n"/>
      <c r="B108" s="2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69">
      <c r="A109" s="56" t="n"/>
      <c r="B109" s="2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69">
      <c r="A110" s="56" t="n"/>
      <c r="B110" s="2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69">
      <c r="A111" s="56" t="n"/>
      <c r="B111" s="2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69">
      <c r="A112" s="56" t="n"/>
      <c r="B112" s="2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69">
      <c r="A113" s="56" t="n"/>
      <c r="B113" s="2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69">
      <c r="A114" s="56" t="n"/>
      <c r="B114" s="2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69">
      <c r="A115" s="56" t="n"/>
      <c r="B115" s="2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69">
      <c r="A116" s="56" t="n"/>
      <c r="B116" s="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69">
      <c r="A117" s="56" t="n"/>
      <c r="B117" s="2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69">
      <c r="A118" s="56" t="n"/>
      <c r="B118" s="2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69">
      <c r="A119" s="56" t="n"/>
      <c r="B119" s="2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69">
      <c r="A120" s="56" t="n"/>
      <c r="B120" s="2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69">
      <c r="A121" s="56" t="n"/>
      <c r="B121" s="2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69">
      <c r="A122" s="56" t="n"/>
      <c r="B122" s="2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69">
      <c r="A123" s="56" t="n"/>
      <c r="B123" s="2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69">
      <c r="A124" s="56" t="n"/>
      <c r="B124" s="2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69">
      <c r="A125" s="56" t="n"/>
      <c r="B125" s="2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69">
      <c r="A126" s="56" t="n"/>
      <c r="B126" s="2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69">
      <c r="A127" s="56" t="n"/>
      <c r="B127" s="2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69">
      <c r="A128" s="56" t="n"/>
      <c r="B128" s="2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69">
      <c r="A129" s="56" t="n"/>
      <c r="B129" s="2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69">
      <c r="A130" s="56" t="n"/>
      <c r="B130" s="2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69">
      <c r="A131" s="56" t="n"/>
      <c r="B131" s="2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69">
      <c r="A132" s="56" t="n"/>
      <c r="B132" s="2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69">
      <c r="A133" s="56" t="n"/>
      <c r="B133" s="2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69">
      <c r="A134" s="56" t="n"/>
      <c r="B134" s="2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69">
      <c r="A135" s="56" t="n"/>
      <c r="B135" s="2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69">
      <c r="A136" s="56" t="n"/>
      <c r="B136" s="2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69">
      <c r="A137" s="56" t="n"/>
      <c r="B137" s="2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69">
      <c r="A138" s="56" t="n"/>
      <c r="B138" s="2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69">
      <c r="A139" s="56" t="n"/>
      <c r="B139" s="2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69">
      <c r="A140" s="56" t="n"/>
      <c r="B140" s="2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69">
      <c r="A141" s="56" t="n"/>
      <c r="B141" s="2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69">
      <c r="A142" s="56" t="n"/>
      <c r="B142" s="2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69">
      <c r="A143" s="56" t="n"/>
      <c r="B143" s="2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69">
      <c r="A144" s="56" t="n"/>
      <c r="B144" s="2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69">
      <c r="A145" s="56" t="n"/>
      <c r="B145" s="2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69">
      <c r="A146" s="56" t="n"/>
      <c r="B146" s="2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69">
      <c r="A147" s="56" t="n"/>
      <c r="B147" s="2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69">
      <c r="A148" s="56" t="n"/>
      <c r="B148" s="2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69">
      <c r="A149" s="56" t="n"/>
      <c r="B149" s="2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69">
      <c r="A150" s="56" t="n"/>
      <c r="B150" s="2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69">
      <c r="A151" s="56" t="n"/>
      <c r="B151" s="2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69">
      <c r="A152" s="56" t="n"/>
      <c r="B152" s="2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69">
      <c r="A153" s="56" t="n"/>
      <c r="B153" s="2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69">
      <c r="A154" s="56" t="n"/>
      <c r="B154" s="2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69">
      <c r="A155" s="56" t="n"/>
      <c r="B155" s="2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69">
      <c r="A156" s="56" t="n"/>
      <c r="B156" s="2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69">
      <c r="A157" s="56" t="n"/>
      <c r="B157" s="2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69">
      <c r="A158" s="56" t="n"/>
      <c r="B158" s="2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69">
      <c r="A159" s="56" t="n"/>
      <c r="B159" s="2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69">
      <c r="A160" s="56" t="n"/>
      <c r="B160" s="2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69">
      <c r="A161" s="56" t="n"/>
      <c r="B161" s="2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69">
      <c r="A162" s="56" t="n"/>
      <c r="B162" s="2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69">
      <c r="A163" s="56" t="n"/>
      <c r="B163" s="2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69">
      <c r="A164" s="56" t="n"/>
      <c r="B164" s="2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69">
      <c r="A165" s="56" t="n"/>
      <c r="B165" s="2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69">
      <c r="A166" s="56" t="n"/>
      <c r="B166" s="2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69">
      <c r="A167" s="56" t="n"/>
      <c r="B167" s="2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69">
      <c r="A168" s="56" t="n"/>
      <c r="B168" s="2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69">
      <c r="A169" s="56" t="n"/>
      <c r="B169" s="2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69">
      <c r="A170" s="56" t="n"/>
      <c r="B170" s="2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69">
      <c r="A171" s="56" t="n"/>
      <c r="B171" s="2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69">
      <c r="A172" s="56" t="n"/>
      <c r="B172" s="2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69">
      <c r="A173" s="56" t="n"/>
      <c r="B173" s="2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69">
      <c r="A174" s="56" t="n"/>
      <c r="B174" s="2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69">
      <c r="A175" s="56" t="n"/>
      <c r="B175" s="2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69">
      <c r="A176" s="56" t="n"/>
      <c r="B176" s="2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69">
      <c r="A177" s="56" t="n"/>
      <c r="B177" s="2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69">
      <c r="A178" s="56" t="n"/>
      <c r="B178" s="2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69">
      <c r="A179" s="56" t="n"/>
      <c r="B179" s="2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69">
      <c r="A180" s="56" t="n"/>
      <c r="B180" s="2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69">
      <c r="A181" s="56" t="n"/>
      <c r="B181" s="2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69">
      <c r="A182" s="56" t="n"/>
      <c r="B182" s="2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69">
      <c r="A183" s="56" t="n"/>
      <c r="B183" s="2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69">
      <c r="A184" s="56" t="n"/>
      <c r="B184" s="2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69">
      <c r="A185" s="56" t="n"/>
      <c r="B185" s="2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69">
      <c r="A186" s="56" t="n"/>
      <c r="B186" s="2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69">
      <c r="A187" s="56" t="n"/>
      <c r="B187" s="2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69">
      <c r="A188" s="56" t="n"/>
      <c r="B188" s="2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69">
      <c r="A189" s="56" t="n"/>
      <c r="B189" s="2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69">
      <c r="A190" s="56" t="n"/>
      <c r="B190" s="2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69">
      <c r="A191" s="56" t="n"/>
      <c r="B191" s="2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69">
      <c r="A192" s="56" t="n"/>
      <c r="B192" s="2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69">
      <c r="A193" s="56" t="n"/>
      <c r="B193" s="2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69">
      <c r="A194" s="56" t="n"/>
      <c r="B194" s="2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69">
      <c r="A195" s="56" t="n"/>
      <c r="B195" s="2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69">
      <c r="A196" s="56" t="n"/>
      <c r="B196" s="2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69">
      <c r="A197" s="56" t="n"/>
      <c r="B197" s="2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69">
      <c r="A198" s="56" t="n"/>
      <c r="B198" s="2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69">
      <c r="A199" s="56" t="n"/>
      <c r="B199" s="2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69">
      <c r="A200" s="56" t="n"/>
      <c r="B200" s="2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69">
      <c r="A201" s="56" t="n"/>
      <c r="B201" s="2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69">
      <c r="A202" s="56" t="n"/>
      <c r="B202" s="2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69">
      <c r="A203" s="56" t="n"/>
      <c r="B203" s="2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69">
      <c r="A204" s="56" t="n"/>
      <c r="B204" s="2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69">
      <c r="A205" s="56" t="n"/>
      <c r="B205" s="2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69">
      <c r="A206" s="56" t="n"/>
      <c r="B206" s="2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69">
      <c r="A207" s="56" t="n"/>
      <c r="B207" s="2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69">
      <c r="A208" s="56" t="n"/>
      <c r="B208" s="2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69">
      <c r="A209" s="56" t="n"/>
      <c r="B209" s="2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69">
      <c r="A210" s="56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69">
      <c r="A211" s="56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69">
      <c r="A212" s="56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69">
      <c r="A213" s="56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69">
      <c r="A214" s="56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69">
      <c r="A215" s="56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69">
      <c r="A216" s="56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69">
      <c r="A217" s="56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69">
      <c r="A218" s="56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69">
      <c r="A219" s="56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69">
      <c r="A220" s="56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69">
      <c r="A221" s="56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69">
      <c r="A222" s="56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69">
      <c r="A223" s="56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69">
      <c r="A224" s="56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69">
      <c r="A225" s="56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69">
      <c r="A226" s="56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69">
      <c r="A227" s="56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69">
      <c r="A228" s="56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69">
      <c r="A229" s="56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3">
    <mergeCell ref="T1:Y1"/>
    <mergeCell ref="H1:S1"/>
    <mergeCell ref="D1:G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E06666"/>
    <outlinePr summaryBelow="1" summaryRight="1"/>
    <pageSetUpPr/>
  </sheetPr>
  <dimension ref="A1:Y259"/>
  <sheetViews>
    <sheetView workbookViewId="0">
      <selection activeCell="Y10" sqref="Y10"/>
    </sheetView>
  </sheetViews>
  <sheetFormatPr baseColWidth="8" defaultColWidth="11.25" defaultRowHeight="15" customHeight="1"/>
  <cols>
    <col width="10.25" bestFit="1" customWidth="1" style="69" min="1" max="1"/>
    <col width="29.375" bestFit="1" customWidth="1" style="69" min="2" max="2"/>
    <col width="12.875" bestFit="1" customWidth="1" style="69" min="3" max="3"/>
    <col hidden="1" width="10.5" customWidth="1" style="69" min="4" max="4"/>
    <col hidden="1" width="8.625" customWidth="1" style="69" min="5" max="5"/>
    <col hidden="1" width="10.375" customWidth="1" style="69" min="6" max="6"/>
    <col hidden="1" width="9.625" customWidth="1" style="69" min="7" max="7"/>
    <col hidden="1" width="8.625" customWidth="1" style="69" min="8" max="8"/>
    <col hidden="1" width="9.25" customWidth="1" style="69" min="9" max="9"/>
    <col hidden="1" width="7" customWidth="1" style="69" min="10" max="10"/>
    <col hidden="1" width="6.625" customWidth="1" style="69" min="11" max="11"/>
    <col hidden="1" width="9.125" customWidth="1" style="69" min="12" max="13"/>
    <col hidden="1" width="13" customWidth="1" style="69" min="13" max="13"/>
    <col hidden="1" width="8.625" customWidth="1" style="69" min="14" max="14"/>
    <col hidden="1" width="10.125" bestFit="1" customWidth="1" style="69" min="15" max="15"/>
    <col width="13.875" bestFit="1" customWidth="1" style="69" min="16" max="16"/>
    <col width="11" bestFit="1" customWidth="1" style="69" min="17" max="17"/>
    <col width="12.875" bestFit="1" customWidth="1" style="69" min="18" max="18"/>
    <col width="12" bestFit="1" customWidth="1" style="69" min="19" max="19"/>
    <col width="10.375" bestFit="1" customWidth="1" style="69" min="20" max="20"/>
    <col width="11.625" bestFit="1" customWidth="1" style="69" min="21" max="21"/>
    <col width="8.25" bestFit="1" customWidth="1" style="69" min="22" max="22"/>
    <col width="8.5" bestFit="1" customWidth="1" style="69" min="23" max="23"/>
    <col width="9.125" bestFit="1" customWidth="1" style="69" min="24" max="24"/>
    <col width="12.875" bestFit="1" customWidth="1" style="69" min="25" max="25"/>
    <col width="8.625" customWidth="1" style="69" min="26" max="26"/>
  </cols>
  <sheetData>
    <row r="1" ht="15.75" customHeight="1" s="69">
      <c r="A1" s="54" t="n"/>
      <c r="B1" s="1" t="n"/>
      <c r="C1" s="3" t="n"/>
      <c r="D1" s="79" t="n">
        <v>2025</v>
      </c>
      <c r="E1" s="73" t="n"/>
      <c r="F1" s="73" t="n"/>
      <c r="G1" s="73" t="n"/>
      <c r="H1" s="78" t="n">
        <v>2026</v>
      </c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7" t="n">
        <v>2027</v>
      </c>
      <c r="U1" s="73" t="n"/>
      <c r="V1" s="73" t="n"/>
      <c r="W1" s="73" t="n"/>
      <c r="X1" s="73" t="n"/>
      <c r="Y1" s="74" t="n"/>
    </row>
    <row r="2" ht="15.75" customHeight="1" s="69">
      <c r="A2" s="54" t="n"/>
      <c r="B2" s="1" t="n"/>
      <c r="C2" s="3" t="n"/>
      <c r="D2" s="7" t="inlineStr">
        <is>
          <t>SETTEMBRE</t>
        </is>
      </c>
      <c r="E2" s="7" t="inlineStr">
        <is>
          <t>OTTOBRE</t>
        </is>
      </c>
      <c r="F2" s="7" t="inlineStr">
        <is>
          <t>NOVEMBRE</t>
        </is>
      </c>
      <c r="G2" s="7" t="inlineStr">
        <is>
          <t>DICEMBRE</t>
        </is>
      </c>
      <c r="H2" s="6" t="inlineStr">
        <is>
          <t>GENNAIO</t>
        </is>
      </c>
      <c r="I2" s="6" t="inlineStr">
        <is>
          <t>FEBBRAIO</t>
        </is>
      </c>
      <c r="J2" s="6" t="inlineStr">
        <is>
          <t>MARZO</t>
        </is>
      </c>
      <c r="K2" s="6" t="inlineStr">
        <is>
          <t>APRILE</t>
        </is>
      </c>
      <c r="L2" s="8" t="inlineStr">
        <is>
          <t>MAGGIO</t>
        </is>
      </c>
      <c r="M2" s="8" t="inlineStr">
        <is>
          <t>GIUGNO</t>
        </is>
      </c>
      <c r="N2" s="8" t="inlineStr">
        <is>
          <t>LUGLIO</t>
        </is>
      </c>
      <c r="O2" s="8" t="inlineStr">
        <is>
          <t>AGOSTO</t>
        </is>
      </c>
      <c r="P2" s="8" t="inlineStr">
        <is>
          <t>SETTEMBRE</t>
        </is>
      </c>
      <c r="Q2" s="8" t="inlineStr">
        <is>
          <t>OTTOBRE</t>
        </is>
      </c>
      <c r="R2" s="8" t="inlineStr">
        <is>
          <t>NOVEMBRE</t>
        </is>
      </c>
      <c r="S2" s="8" t="inlineStr">
        <is>
          <t>DICEMBRE</t>
        </is>
      </c>
      <c r="T2" s="11" t="inlineStr">
        <is>
          <t>GENNAIO</t>
        </is>
      </c>
      <c r="U2" s="11" t="inlineStr">
        <is>
          <t>FEBBRAIO</t>
        </is>
      </c>
      <c r="V2" s="11" t="inlineStr">
        <is>
          <t>MARZO</t>
        </is>
      </c>
      <c r="W2" s="11" t="inlineStr">
        <is>
          <t>APRILE</t>
        </is>
      </c>
      <c r="X2" s="11" t="inlineStr">
        <is>
          <t>MAGGIO</t>
        </is>
      </c>
      <c r="Y2" s="11" t="inlineStr">
        <is>
          <t>GIUGNO</t>
        </is>
      </c>
    </row>
    <row r="3" ht="15.75" customHeight="1" s="69">
      <c r="A3" s="55" t="n"/>
      <c r="B3" s="15" t="inlineStr">
        <is>
          <t>Tasse e Imposte</t>
        </is>
      </c>
      <c r="C3" s="17">
        <f>SUM(D3:Y3)</f>
        <v/>
      </c>
      <c r="D3" s="17">
        <f>SUM(D4:D131)</f>
        <v/>
      </c>
      <c r="E3" s="17">
        <f>SUM(E4:E131)</f>
        <v/>
      </c>
      <c r="F3" s="17">
        <f>SUM(F4:F131)</f>
        <v/>
      </c>
      <c r="G3" s="17">
        <f>SUM(G4:G131)</f>
        <v/>
      </c>
      <c r="H3" s="17">
        <f>SUM(H4:H131)</f>
        <v/>
      </c>
      <c r="I3" s="17">
        <f>SUM(I4:I131)</f>
        <v/>
      </c>
      <c r="J3" s="17">
        <f>SUM(J4:J131)</f>
        <v/>
      </c>
      <c r="K3" s="17">
        <f>SUM(K4:K131)</f>
        <v/>
      </c>
      <c r="L3" s="17">
        <f>SUM(L4:L131)</f>
        <v/>
      </c>
      <c r="M3" s="17">
        <f>SUM(M4:M131)</f>
        <v/>
      </c>
      <c r="N3" s="17">
        <f>SUM(N4:N131)</f>
        <v/>
      </c>
      <c r="O3" s="17">
        <f>SUM(O4:O131)</f>
        <v/>
      </c>
      <c r="P3" s="17">
        <f>SUM(P4:P131)</f>
        <v/>
      </c>
      <c r="Q3" s="17">
        <f>SUM(Q4:Q131)</f>
        <v/>
      </c>
      <c r="R3" s="17">
        <f>SUM(R4:R131)</f>
        <v/>
      </c>
      <c r="S3" s="17">
        <f>SUM(S4:S131)</f>
        <v/>
      </c>
      <c r="T3" s="17">
        <f>SUM(T4:T131)</f>
        <v/>
      </c>
      <c r="U3" s="17">
        <f>SUM(U4:U131)</f>
        <v/>
      </c>
      <c r="V3" s="17">
        <f>SUM(V4:V131)</f>
        <v/>
      </c>
      <c r="W3" s="17">
        <f>SUM(W4:W131)</f>
        <v/>
      </c>
      <c r="X3" s="17">
        <f>SUM(X4:X131)</f>
        <v/>
      </c>
      <c r="Y3" s="17">
        <f>SUM(Y4:Y131)</f>
        <v/>
      </c>
    </row>
    <row r="4" ht="15.75" customHeight="1" s="69">
      <c r="A4" s="56" t="n"/>
      <c r="B4" s="21" t="inlineStr">
        <is>
          <t>IMU</t>
        </is>
      </c>
      <c r="C4" s="23">
        <f>SUM(D4:Y4)</f>
        <v/>
      </c>
      <c r="D4" s="25" t="n"/>
      <c r="E4" s="25" t="n"/>
      <c r="F4" s="25" t="n"/>
      <c r="G4" s="23" t="n">
        <v>0</v>
      </c>
      <c r="H4" s="23" t="n"/>
      <c r="I4" s="23" t="n"/>
      <c r="J4" s="23" t="n"/>
      <c r="K4" s="25" t="n"/>
      <c r="L4" s="25" t="n"/>
      <c r="M4" s="25" t="n"/>
      <c r="N4" s="81" t="n"/>
      <c r="O4" s="81" t="n"/>
      <c r="P4" s="82" t="n"/>
      <c r="Q4" s="82" t="n"/>
      <c r="R4" s="82" t="n"/>
      <c r="S4" s="82" t="n"/>
      <c r="T4" s="82" t="n"/>
      <c r="U4" s="82" t="n"/>
      <c r="V4" s="82" t="n"/>
      <c r="W4" s="82" t="n"/>
      <c r="X4" s="82" t="n"/>
      <c r="Y4" s="82" t="n">
        <v>34365</v>
      </c>
    </row>
    <row r="5" ht="15.75" customHeight="1" s="69">
      <c r="A5" s="56" t="n"/>
      <c r="B5" s="21" t="inlineStr">
        <is>
          <t>I ACCONTO IMPOSTE</t>
        </is>
      </c>
      <c r="C5" s="28">
        <f>SUM(D5:Y5)</f>
        <v/>
      </c>
      <c r="D5" s="59" t="n"/>
      <c r="E5" s="59" t="n"/>
      <c r="F5" s="44" t="n">
        <v>0</v>
      </c>
      <c r="G5" s="28" t="n"/>
      <c r="H5" s="28" t="n"/>
      <c r="I5" s="28" t="n"/>
      <c r="J5" s="28" t="n"/>
      <c r="K5" s="28" t="n"/>
      <c r="L5" s="59" t="n"/>
      <c r="M5" s="59" t="n"/>
      <c r="N5" s="83" t="n"/>
      <c r="O5" s="84" t="n"/>
      <c r="P5" s="84" t="n"/>
      <c r="Q5" s="84" t="n"/>
      <c r="R5" s="84" t="n"/>
      <c r="S5" s="84" t="n"/>
      <c r="T5" s="84" t="n"/>
      <c r="U5" s="84" t="n"/>
      <c r="V5" s="84" t="n"/>
      <c r="W5" s="84" t="n"/>
      <c r="X5" s="84" t="n"/>
      <c r="Y5" s="84" t="n"/>
    </row>
    <row r="6" ht="15.75" customHeight="1" s="69">
      <c r="A6" s="56" t="n"/>
      <c r="B6" s="21" t="inlineStr">
        <is>
          <t>TARI</t>
        </is>
      </c>
      <c r="C6" s="28">
        <f>SUM(F6:S6)</f>
        <v/>
      </c>
      <c r="D6" s="28" t="n"/>
      <c r="E6" s="28" t="n"/>
      <c r="F6" s="28" t="n"/>
      <c r="G6" s="59" t="n"/>
      <c r="H6" s="59" t="n"/>
      <c r="I6" s="59" t="n"/>
      <c r="J6" s="59" t="n"/>
      <c r="K6" s="59" t="n"/>
      <c r="L6" s="28" t="n"/>
      <c r="M6" s="28" t="n"/>
      <c r="N6" s="84" t="n"/>
      <c r="O6" s="84" t="n"/>
      <c r="P6" s="83" t="n"/>
      <c r="Q6" s="83" t="n"/>
      <c r="R6" s="83" t="n"/>
      <c r="S6" s="83" t="n"/>
      <c r="T6" s="83" t="n"/>
      <c r="U6" s="83" t="n"/>
      <c r="V6" s="83" t="n"/>
      <c r="W6" s="83" t="n"/>
      <c r="X6" s="83" t="n"/>
      <c r="Y6" s="83" t="n"/>
    </row>
    <row r="7" ht="15.75" customHeight="1" s="69">
      <c r="A7" s="56" t="n"/>
      <c r="B7" s="21" t="inlineStr">
        <is>
          <t>IVA</t>
        </is>
      </c>
      <c r="C7" s="28">
        <f>SUM(E7:S7)</f>
        <v/>
      </c>
      <c r="D7" s="59" t="n"/>
      <c r="E7" s="59" t="n"/>
      <c r="F7" s="44" t="n">
        <v>0</v>
      </c>
      <c r="G7" s="59" t="n">
        <v>0</v>
      </c>
      <c r="H7" s="59" t="n"/>
      <c r="I7" s="59" t="n"/>
      <c r="J7" s="59" t="n"/>
      <c r="K7" s="59" t="n"/>
      <c r="L7" s="59" t="n"/>
      <c r="M7" s="59" t="n"/>
      <c r="N7" s="83" t="n"/>
      <c r="O7" s="83" t="n"/>
      <c r="P7" s="83" t="n">
        <v>800</v>
      </c>
      <c r="Q7" s="83" t="n">
        <v>800</v>
      </c>
      <c r="R7" s="83" t="n">
        <v>800</v>
      </c>
      <c r="S7" s="83" t="n"/>
      <c r="T7" s="83" t="n"/>
      <c r="U7" s="83" t="n"/>
      <c r="V7" s="83" t="n"/>
      <c r="W7" s="83" t="n"/>
      <c r="X7" s="83" t="n"/>
      <c r="Y7" s="83" t="n"/>
    </row>
    <row r="8" ht="15.75" customHeight="1" s="69">
      <c r="A8" s="56" t="n"/>
      <c r="B8" s="21" t="inlineStr">
        <is>
          <t>IRES</t>
        </is>
      </c>
      <c r="C8" s="59">
        <f>SUM(E8:S8)</f>
        <v/>
      </c>
      <c r="D8" s="28" t="n"/>
      <c r="E8" s="28" t="n"/>
      <c r="F8" s="44" t="n">
        <v>0</v>
      </c>
      <c r="G8" s="44" t="n"/>
      <c r="H8" s="28" t="n"/>
      <c r="I8" s="28" t="n"/>
      <c r="J8" s="28" t="n"/>
      <c r="K8" s="28" t="n"/>
      <c r="L8" s="28" t="n"/>
      <c r="M8" s="59" t="n"/>
      <c r="N8" s="84" t="n"/>
      <c r="O8" s="84" t="n"/>
      <c r="P8" s="84" t="n"/>
      <c r="Q8" s="84" t="n"/>
      <c r="R8" s="84" t="n">
        <v>28000</v>
      </c>
      <c r="S8" s="84" t="n"/>
      <c r="T8" s="84" t="n"/>
      <c r="U8" s="84" t="n"/>
      <c r="V8" s="84" t="n"/>
      <c r="W8" s="84" t="n"/>
      <c r="X8" s="84" t="n"/>
      <c r="Y8" s="84" t="n"/>
    </row>
    <row r="9" ht="15.75" customHeight="1" s="69">
      <c r="A9" s="56" t="n"/>
      <c r="B9" s="21" t="inlineStr">
        <is>
          <t>IRAP</t>
        </is>
      </c>
      <c r="C9" s="59">
        <f>SUM(E9:S9)</f>
        <v/>
      </c>
      <c r="D9" s="28" t="n"/>
      <c r="E9" s="28" t="n"/>
      <c r="F9" s="44" t="n">
        <v>0</v>
      </c>
      <c r="G9" s="44" t="n"/>
      <c r="H9" s="28" t="n"/>
      <c r="I9" s="28" t="n"/>
      <c r="J9" s="28" t="n"/>
      <c r="K9" s="28" t="n"/>
      <c r="L9" s="28" t="n"/>
      <c r="M9" s="59" t="n"/>
      <c r="N9" s="84" t="n"/>
      <c r="O9" s="84" t="n"/>
      <c r="P9" s="84" t="n"/>
      <c r="Q9" s="84" t="n"/>
      <c r="R9" s="84" t="n"/>
      <c r="S9" s="84" t="n"/>
      <c r="T9" s="84" t="n"/>
      <c r="U9" s="84" t="n"/>
      <c r="V9" s="84" t="n"/>
      <c r="W9" s="84" t="n"/>
      <c r="X9" s="84" t="n"/>
      <c r="Y9" s="84" t="n"/>
    </row>
    <row r="10" ht="15.75" customHeight="1" s="69">
      <c r="A10" s="56" t="n"/>
      <c r="B10" s="21" t="inlineStr">
        <is>
          <t xml:space="preserve">AFFRANCAMENTO </t>
        </is>
      </c>
      <c r="C10" s="28">
        <f>SUM(E10:S10)</f>
        <v/>
      </c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59" t="n"/>
      <c r="N10" s="84" t="n"/>
      <c r="O10" s="84" t="n"/>
      <c r="P10" s="84" t="n"/>
      <c r="Q10" s="84" t="n"/>
      <c r="R10" s="84" t="n"/>
      <c r="S10" s="84" t="n"/>
      <c r="T10" s="84" t="n"/>
      <c r="U10" s="84" t="n"/>
      <c r="V10" s="84" t="n"/>
      <c r="W10" s="84" t="n"/>
      <c r="X10" s="84" t="n"/>
      <c r="Y10" s="84" t="n">
        <v>200000</v>
      </c>
    </row>
    <row r="11" ht="15.75" customHeight="1" s="69">
      <c r="A11" s="58" t="n"/>
      <c r="B11" s="21" t="inlineStr">
        <is>
          <t>ARRETRATO IMPOSTE</t>
        </is>
      </c>
      <c r="C11" s="28">
        <f>SUM(E11:S11)</f>
        <v/>
      </c>
      <c r="D11" s="28" t="n"/>
      <c r="E11" s="59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</row>
    <row r="12" ht="15.75" customHeight="1" s="69">
      <c r="A12" s="56" t="n">
        <v>36000</v>
      </c>
      <c r="B12" s="21" t="inlineStr">
        <is>
          <t>ARRETRATO IMU</t>
        </is>
      </c>
      <c r="C12" s="28">
        <f>SUM(D12:Y12)</f>
        <v/>
      </c>
      <c r="D12" s="28" t="n"/>
      <c r="E12" s="59" t="n"/>
      <c r="F12" s="44" t="n">
        <v>0</v>
      </c>
      <c r="G12" s="59" t="n">
        <v>0</v>
      </c>
      <c r="H12" s="28" t="n"/>
      <c r="I12" s="28" t="n"/>
      <c r="J12" s="2" t="n"/>
      <c r="K12" s="59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</row>
    <row r="13" ht="15.75" customHeight="1" s="69">
      <c r="A13" s="56" t="n"/>
      <c r="B13" s="21" t="inlineStr">
        <is>
          <t>Ritenute professionisti (1040)</t>
        </is>
      </c>
      <c r="C13" s="28">
        <f>SUM(D13:Y13)</f>
        <v/>
      </c>
      <c r="D13" s="28" t="n"/>
      <c r="E13" s="28" t="n"/>
      <c r="F13" s="28" t="n"/>
      <c r="G13" s="28" t="n"/>
      <c r="H13" s="59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</row>
    <row r="14" ht="15.75" customHeight="1" s="69">
      <c r="A14" s="56" t="n">
        <v>781</v>
      </c>
      <c r="B14" s="2" t="inlineStr">
        <is>
          <t>COMUNE DI MAIORI</t>
        </is>
      </c>
      <c r="C14" s="28">
        <f>SUM(D14:Y14)</f>
        <v/>
      </c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>
        <v>34525.4</v>
      </c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</row>
    <row r="15" ht="15.75" customHeight="1" s="69">
      <c r="A15" s="56" t="n"/>
      <c r="B15" s="2" t="n"/>
      <c r="C15" s="28">
        <f>SUM(D15:Y15)</f>
        <v/>
      </c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</row>
    <row r="16" ht="15.75" customHeight="1" s="69">
      <c r="A16" s="56" t="n"/>
      <c r="B16" s="2" t="n"/>
      <c r="C16" s="28">
        <f>SUM(D16:Y16)</f>
        <v/>
      </c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</row>
    <row r="17" ht="15.75" customHeight="1" s="69">
      <c r="A17" s="56" t="n"/>
      <c r="B17" s="2" t="n"/>
      <c r="C17" s="28">
        <f>SUM(D17:Y17)</f>
        <v/>
      </c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</row>
    <row r="18" ht="15.75" customHeight="1" s="69">
      <c r="A18" s="56" t="n"/>
      <c r="B18" s="2" t="n"/>
      <c r="C18" s="28">
        <f>SUM(D18:Y18)</f>
        <v/>
      </c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</row>
    <row r="19" ht="15.75" customHeight="1" s="69">
      <c r="A19" s="56" t="n"/>
      <c r="B19" s="2" t="n"/>
      <c r="C19" s="28">
        <f>SUM(D19:Y19)</f>
        <v/>
      </c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</row>
    <row r="20" ht="15.75" customHeight="1" s="69">
      <c r="A20" s="56" t="n"/>
      <c r="B20" s="2" t="n"/>
      <c r="C20" s="28">
        <f>SUM(D20:Y20)</f>
        <v/>
      </c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</row>
    <row r="21" ht="15.75" customHeight="1" s="69">
      <c r="A21" s="56" t="n"/>
      <c r="B21" s="2" t="n"/>
      <c r="C21" s="28">
        <f>SUM(D21:Y21)</f>
        <v/>
      </c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</row>
    <row r="22" ht="15.75" customHeight="1" s="69">
      <c r="A22" s="56" t="n"/>
      <c r="B22" s="2" t="n"/>
      <c r="C22" s="28">
        <f>SUM(D22:Y22)</f>
        <v/>
      </c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</row>
    <row r="23" ht="15.75" customHeight="1" s="69">
      <c r="A23" s="56" t="n"/>
      <c r="B23" s="2" t="n"/>
      <c r="C23" s="28">
        <f>SUM(D23:Y23)</f>
        <v/>
      </c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</row>
    <row r="24" ht="15.75" customHeight="1" s="69">
      <c r="A24" s="56" t="n"/>
      <c r="B24" s="2" t="n"/>
      <c r="C24" s="28">
        <f>SUM(D24:Y24)</f>
        <v/>
      </c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</row>
    <row r="25" ht="15.75" customHeight="1" s="69">
      <c r="A25" s="56" t="n"/>
      <c r="B25" s="2" t="n"/>
      <c r="C25" s="28">
        <f>SUM(D25:Y25)</f>
        <v/>
      </c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</row>
    <row r="26" ht="15.75" customHeight="1" s="69">
      <c r="A26" s="56" t="n"/>
      <c r="B26" s="2" t="n"/>
      <c r="C26" s="28">
        <f>SUM(D26:Y26)</f>
        <v/>
      </c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</row>
    <row r="27" ht="15.75" customHeight="1" s="69">
      <c r="A27" s="56" t="n"/>
      <c r="B27" s="2" t="n"/>
      <c r="C27" s="28">
        <f>SUM(D27:Y27)</f>
        <v/>
      </c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</row>
    <row r="28" ht="15.75" customHeight="1" s="69">
      <c r="A28" s="56" t="n"/>
      <c r="B28" s="2" t="n"/>
      <c r="C28" s="28">
        <f>SUM(D28:Y28)</f>
        <v/>
      </c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</row>
    <row r="29" ht="15.75" customHeight="1" s="69">
      <c r="A29" s="56" t="n"/>
      <c r="B29" s="2" t="n"/>
      <c r="C29" s="28">
        <f>SUM(D29:Y29)</f>
        <v/>
      </c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</row>
    <row r="30" ht="15.75" customHeight="1" s="69">
      <c r="A30" s="56" t="n"/>
      <c r="B30" s="2" t="n"/>
      <c r="C30" s="28">
        <f>SUM(D30:Y30)</f>
        <v/>
      </c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</row>
    <row r="31" ht="15.75" customHeight="1" s="69">
      <c r="A31" s="56" t="n"/>
      <c r="B31" s="2" t="n"/>
      <c r="C31" s="28">
        <f>SUM(D31:Y31)</f>
        <v/>
      </c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</row>
    <row r="32" ht="15.75" customHeight="1" s="69">
      <c r="A32" s="56" t="n"/>
      <c r="B32" s="2" t="n"/>
      <c r="C32" s="28">
        <f>SUM(D32:Y32)</f>
        <v/>
      </c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</row>
    <row r="33" ht="15.75" customHeight="1" s="69">
      <c r="A33" s="56" t="n"/>
      <c r="B33" s="2" t="n"/>
      <c r="C33" s="28">
        <f>SUM(D33:Y33)</f>
        <v/>
      </c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</row>
    <row r="34" ht="15.75" customHeight="1" s="69">
      <c r="A34" s="56" t="n"/>
      <c r="B34" s="2" t="n"/>
      <c r="C34" s="28">
        <f>SUM(D34:Y34)</f>
        <v/>
      </c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</row>
    <row r="35" ht="15.75" customHeight="1" s="69">
      <c r="A35" s="56" t="n"/>
      <c r="B35" s="2" t="n"/>
      <c r="C35" s="28">
        <f>SUM(D35:Y35)</f>
        <v/>
      </c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</row>
    <row r="36" ht="15.75" customHeight="1" s="69">
      <c r="A36" s="56" t="n"/>
      <c r="B36" s="2" t="n"/>
      <c r="C36" s="28">
        <f>SUM(D36:Y36)</f>
        <v/>
      </c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</row>
    <row r="37" ht="15.75" customHeight="1" s="69">
      <c r="A37" s="56" t="n"/>
      <c r="B37" s="2" t="n"/>
      <c r="C37" s="28">
        <f>SUM(D37:Y37)</f>
        <v/>
      </c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</row>
    <row r="38" ht="15.75" customHeight="1" s="69">
      <c r="A38" s="56" t="n"/>
      <c r="B38" s="2" t="n"/>
      <c r="C38" s="28">
        <f>SUM(D38:Y38)</f>
        <v/>
      </c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</row>
    <row r="39" ht="15.75" customHeight="1" s="69">
      <c r="A39" s="56" t="n"/>
      <c r="B39" s="2" t="n"/>
      <c r="C39" s="28">
        <f>SUM(D39:Y39)</f>
        <v/>
      </c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</row>
    <row r="40" ht="15.75" customHeight="1" s="69">
      <c r="A40" s="56" t="n"/>
      <c r="B40" s="2" t="n"/>
      <c r="C40" s="28">
        <f>SUM(D40:Y40)</f>
        <v/>
      </c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</row>
    <row r="41" ht="15.75" customHeight="1" s="69">
      <c r="A41" s="56" t="n"/>
      <c r="B41" s="2" t="n"/>
      <c r="C41" s="28">
        <f>SUM(D41:Y41)</f>
        <v/>
      </c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</row>
    <row r="42" ht="15.75" customHeight="1" s="69">
      <c r="A42" s="56" t="n"/>
      <c r="B42" s="2" t="n"/>
      <c r="C42" s="28">
        <f>SUM(D42:Y42)</f>
        <v/>
      </c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</row>
    <row r="43" ht="15.75" customHeight="1" s="69">
      <c r="A43" s="56" t="n"/>
      <c r="B43" s="2" t="n"/>
      <c r="C43" s="28">
        <f>SUM(D43:Y43)</f>
        <v/>
      </c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</row>
    <row r="44" ht="15.75" customHeight="1" s="69">
      <c r="A44" s="56" t="n"/>
      <c r="B44" s="2" t="n"/>
      <c r="C44" s="28">
        <f>SUM(D44:Y44)</f>
        <v/>
      </c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</row>
    <row r="45" ht="15.75" customHeight="1" s="69">
      <c r="A45" s="56" t="n"/>
      <c r="B45" s="2" t="n"/>
      <c r="C45" s="28">
        <f>SUM(D45:Y45)</f>
        <v/>
      </c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</row>
    <row r="46" ht="15.75" customHeight="1" s="69">
      <c r="A46" s="56" t="n"/>
      <c r="B46" s="2" t="n"/>
      <c r="C46" s="28">
        <f>SUM(D46:Y46)</f>
        <v/>
      </c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</row>
    <row r="47" ht="15.75" customHeight="1" s="69">
      <c r="A47" s="56" t="n"/>
      <c r="B47" s="2" t="n"/>
      <c r="C47" s="28">
        <f>SUM(D47:Y47)</f>
        <v/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</row>
    <row r="48" ht="15.75" customHeight="1" s="69">
      <c r="A48" s="56" t="n"/>
      <c r="B48" s="2" t="n"/>
      <c r="C48" s="28">
        <f>SUM(D48:Y48)</f>
        <v/>
      </c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</row>
    <row r="49" ht="15.75" customHeight="1" s="69">
      <c r="A49" s="56" t="n"/>
      <c r="B49" s="2" t="n"/>
      <c r="C49" s="28">
        <f>SUM(D49:Y49)</f>
        <v/>
      </c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</row>
    <row r="50" ht="15.75" customHeight="1" s="69">
      <c r="A50" s="56" t="n"/>
      <c r="B50" s="2" t="n"/>
      <c r="C50" s="28">
        <f>SUM(D50:Y50)</f>
        <v/>
      </c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</row>
    <row r="51" ht="15.75" customHeight="1" s="69">
      <c r="A51" s="56" t="n"/>
      <c r="B51" s="2" t="n"/>
      <c r="C51" s="28">
        <f>SUM(D51:Y51)</f>
        <v/>
      </c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</row>
    <row r="52" ht="15.75" customHeight="1" s="69">
      <c r="A52" s="56" t="n"/>
      <c r="B52" s="2" t="n"/>
      <c r="C52" s="28">
        <f>SUM(D52:Y52)</f>
        <v/>
      </c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</row>
    <row r="53" ht="15.75" customHeight="1" s="69">
      <c r="A53" s="56" t="n"/>
      <c r="B53" s="2" t="n"/>
      <c r="C53" s="28">
        <f>SUM(D53:Y53)</f>
        <v/>
      </c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</row>
    <row r="54" ht="15.75" customHeight="1" s="69">
      <c r="A54" s="56" t="n"/>
      <c r="B54" s="2" t="n"/>
      <c r="C54" s="28">
        <f>SUM(D54:Y54)</f>
        <v/>
      </c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</row>
    <row r="55" ht="15.75" customHeight="1" s="69">
      <c r="A55" s="56" t="n"/>
      <c r="B55" s="2" t="n"/>
      <c r="C55" s="28">
        <f>SUM(D55:Y55)</f>
        <v/>
      </c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</row>
    <row r="56" ht="15.75" customHeight="1" s="69">
      <c r="A56" s="56" t="n"/>
      <c r="B56" s="2" t="n"/>
      <c r="C56" s="28">
        <f>SUM(D56:Y56)</f>
        <v/>
      </c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</row>
    <row r="57" ht="15.75" customHeight="1" s="69">
      <c r="A57" s="56" t="n"/>
      <c r="B57" s="2" t="n"/>
      <c r="C57" s="28">
        <f>SUM(D57:Y57)</f>
        <v/>
      </c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</row>
    <row r="58" ht="15.75" customHeight="1" s="69">
      <c r="A58" s="56" t="n"/>
      <c r="B58" s="2" t="n"/>
      <c r="C58" s="28">
        <f>SUM(D58:Y58)</f>
        <v/>
      </c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</row>
    <row r="59" ht="15.75" customHeight="1" s="69">
      <c r="A59" s="56" t="n"/>
      <c r="B59" s="2" t="n"/>
      <c r="C59" s="28">
        <f>SUM(D59:Y59)</f>
        <v/>
      </c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</row>
    <row r="60" ht="15.75" customHeight="1" s="69">
      <c r="A60" s="56" t="n"/>
      <c r="B60" s="2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</row>
    <row r="61" ht="15.75" customHeight="1" s="69">
      <c r="A61" s="56" t="n"/>
      <c r="B61" s="2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</row>
    <row r="62" ht="15.75" customHeight="1" s="69">
      <c r="A62" s="56" t="n"/>
      <c r="B62" s="2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</row>
    <row r="63" ht="15.75" customHeight="1" s="69">
      <c r="A63" s="56" t="n"/>
      <c r="B63" s="2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</row>
    <row r="64" ht="15.75" customHeight="1" s="69">
      <c r="A64" s="56" t="n"/>
      <c r="B64" s="2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</row>
    <row r="65" ht="15.75" customHeight="1" s="69">
      <c r="A65" s="56" t="n"/>
      <c r="B65" s="2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</row>
    <row r="66" ht="15.75" customHeight="1" s="69">
      <c r="A66" s="56" t="n"/>
      <c r="B66" s="2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2" t="n"/>
      <c r="Q66" s="2" t="n"/>
      <c r="R66" s="2" t="n"/>
      <c r="S66" s="2" t="n"/>
      <c r="T66" s="2" t="n"/>
      <c r="U66" s="2" t="n"/>
      <c r="V66" s="2" t="n"/>
    </row>
    <row r="67" ht="15.75" customHeight="1" s="69">
      <c r="A67" s="56" t="n"/>
      <c r="B67" s="2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2" t="n"/>
      <c r="Q67" s="2" t="n"/>
      <c r="R67" s="2" t="n"/>
      <c r="S67" s="2" t="n"/>
      <c r="T67" s="2" t="n"/>
      <c r="U67" s="2" t="n"/>
      <c r="V67" s="2" t="n"/>
    </row>
    <row r="68" ht="15.75" customHeight="1" s="69">
      <c r="A68" s="56" t="n"/>
      <c r="B68" s="2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2" t="n"/>
      <c r="Q68" s="2" t="n"/>
      <c r="R68" s="2" t="n"/>
      <c r="S68" s="2" t="n"/>
      <c r="T68" s="2" t="n"/>
      <c r="U68" s="2" t="n"/>
      <c r="V68" s="2" t="n"/>
    </row>
    <row r="69" ht="15.75" customHeight="1" s="69">
      <c r="A69" s="56" t="n"/>
      <c r="B69" s="2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69">
      <c r="A70" s="56" t="n"/>
      <c r="B70" s="2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69">
      <c r="A71" s="56" t="n"/>
      <c r="B71" s="2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69">
      <c r="A72" s="56" t="n"/>
      <c r="B72" s="2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69">
      <c r="A73" s="56" t="n"/>
      <c r="B73" s="2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69">
      <c r="A74" s="56" t="n"/>
      <c r="B74" s="2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69">
      <c r="A75" s="56" t="n"/>
      <c r="B75" s="2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69">
      <c r="A76" s="56" t="n"/>
      <c r="B76" s="2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69">
      <c r="A77" s="56" t="n"/>
      <c r="B77" s="2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69">
      <c r="A78" s="56" t="n"/>
      <c r="B78" s="2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69">
      <c r="A79" s="56" t="n"/>
      <c r="B79" s="2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69">
      <c r="A80" s="56" t="n"/>
      <c r="B80" s="2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69">
      <c r="A81" s="56" t="n"/>
      <c r="B81" s="2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69">
      <c r="A82" s="56" t="n"/>
      <c r="B82" s="2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69">
      <c r="A83" s="56" t="n"/>
      <c r="B83" s="2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69">
      <c r="A84" s="56" t="n"/>
      <c r="B84" s="2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69">
      <c r="A85" s="56" t="n"/>
      <c r="B85" s="2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69">
      <c r="A86" s="56" t="n"/>
      <c r="B86" s="2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69">
      <c r="A87" s="56" t="n"/>
      <c r="B87" s="2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69">
      <c r="A88" s="56" t="n"/>
      <c r="B88" s="2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69">
      <c r="A89" s="56" t="n"/>
      <c r="B89" s="2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69">
      <c r="A90" s="56" t="n"/>
      <c r="B90" s="2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69">
      <c r="A91" s="56" t="n"/>
      <c r="B91" s="2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69">
      <c r="A92" s="56" t="n"/>
      <c r="B92" s="2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69">
      <c r="A93" s="56" t="n"/>
      <c r="B93" s="2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69">
      <c r="A94" s="56" t="n"/>
      <c r="B94" s="2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69">
      <c r="A95" s="56" t="n"/>
      <c r="B95" s="2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69">
      <c r="A96" s="56" t="n"/>
      <c r="B96" s="2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69">
      <c r="A97" s="56" t="n"/>
      <c r="B97" s="2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69">
      <c r="A98" s="56" t="n"/>
      <c r="B98" s="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69">
      <c r="A99" s="56" t="n"/>
      <c r="B99" s="2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69">
      <c r="A100" s="56" t="n"/>
      <c r="B100" s="2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69">
      <c r="A101" s="56" t="n"/>
      <c r="B101" s="2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69">
      <c r="A102" s="56" t="n"/>
      <c r="B102" s="2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69">
      <c r="A103" s="56" t="n"/>
      <c r="B103" s="2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69">
      <c r="A104" s="56" t="n"/>
      <c r="B104" s="2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69">
      <c r="A105" s="56" t="n"/>
      <c r="B105" s="2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69">
      <c r="A106" s="56" t="n"/>
      <c r="B106" s="2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69">
      <c r="A107" s="56" t="n"/>
      <c r="B107" s="2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69">
      <c r="A108" s="56" t="n"/>
      <c r="B108" s="2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69">
      <c r="A109" s="56" t="n"/>
      <c r="B109" s="2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69">
      <c r="A110" s="56" t="n"/>
      <c r="B110" s="2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69">
      <c r="A111" s="56" t="n"/>
      <c r="B111" s="2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69">
      <c r="A112" s="56" t="n"/>
      <c r="B112" s="2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69">
      <c r="A113" s="56" t="n"/>
      <c r="B113" s="2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69">
      <c r="A114" s="56" t="n"/>
      <c r="B114" s="2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69">
      <c r="A115" s="56" t="n"/>
      <c r="B115" s="2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69">
      <c r="A116" s="56" t="n"/>
      <c r="B116" s="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69">
      <c r="A117" s="56" t="n"/>
      <c r="B117" s="2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69">
      <c r="A118" s="56" t="n"/>
      <c r="B118" s="2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69">
      <c r="A119" s="56" t="n"/>
      <c r="B119" s="2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69">
      <c r="A120" s="56" t="n"/>
      <c r="B120" s="2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69">
      <c r="A121" s="56" t="n"/>
      <c r="B121" s="2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69">
      <c r="A122" s="56" t="n"/>
      <c r="B122" s="2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69">
      <c r="A123" s="56" t="n"/>
      <c r="B123" s="2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69">
      <c r="A124" s="56" t="n"/>
      <c r="B124" s="2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69">
      <c r="A125" s="56" t="n"/>
      <c r="B125" s="2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69">
      <c r="A126" s="56" t="n"/>
      <c r="B126" s="2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69">
      <c r="A127" s="56" t="n"/>
      <c r="B127" s="2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69">
      <c r="A128" s="56" t="n"/>
      <c r="B128" s="2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69">
      <c r="A129" s="56" t="n"/>
      <c r="B129" s="2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69">
      <c r="A130" s="56" t="n"/>
      <c r="B130" s="2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69">
      <c r="A131" s="56" t="n"/>
      <c r="B131" s="2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69">
      <c r="A132" s="56" t="n"/>
      <c r="B132" s="2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69">
      <c r="A133" s="56" t="n"/>
      <c r="B133" s="2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69">
      <c r="A134" s="56" t="n"/>
      <c r="B134" s="2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69">
      <c r="A135" s="56" t="n"/>
      <c r="B135" s="2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69">
      <c r="A136" s="56" t="n"/>
      <c r="B136" s="2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69">
      <c r="A137" s="56" t="n"/>
      <c r="B137" s="2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69">
      <c r="A138" s="56" t="n"/>
      <c r="B138" s="2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69">
      <c r="A139" s="56" t="n"/>
      <c r="B139" s="2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69">
      <c r="A140" s="56" t="n"/>
      <c r="B140" s="2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69">
      <c r="A141" s="56" t="n"/>
      <c r="B141" s="2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69">
      <c r="A142" s="56" t="n"/>
      <c r="B142" s="2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69">
      <c r="A143" s="56" t="n"/>
      <c r="B143" s="2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69">
      <c r="A144" s="56" t="n"/>
      <c r="B144" s="2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69">
      <c r="A145" s="56" t="n"/>
      <c r="B145" s="2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69">
      <c r="A146" s="56" t="n"/>
      <c r="B146" s="2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69">
      <c r="A147" s="56" t="n"/>
      <c r="B147" s="2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69">
      <c r="A148" s="56" t="n"/>
      <c r="B148" s="2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69">
      <c r="A149" s="56" t="n"/>
      <c r="B149" s="2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69">
      <c r="A150" s="56" t="n"/>
      <c r="B150" s="2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69">
      <c r="A151" s="56" t="n"/>
      <c r="B151" s="2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69">
      <c r="A152" s="56" t="n"/>
      <c r="B152" s="2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69">
      <c r="A153" s="56" t="n"/>
      <c r="B153" s="2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69">
      <c r="A154" s="56" t="n"/>
      <c r="B154" s="2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69">
      <c r="A155" s="56" t="n"/>
      <c r="B155" s="2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69">
      <c r="A156" s="56" t="n"/>
      <c r="B156" s="2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69">
      <c r="A157" s="56" t="n"/>
      <c r="B157" s="2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69">
      <c r="A158" s="56" t="n"/>
      <c r="B158" s="2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69">
      <c r="A159" s="56" t="n"/>
      <c r="B159" s="2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69">
      <c r="A160" s="56" t="n"/>
      <c r="B160" s="2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69">
      <c r="A161" s="56" t="n"/>
      <c r="B161" s="2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69">
      <c r="A162" s="56" t="n"/>
      <c r="B162" s="2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69">
      <c r="A163" s="56" t="n"/>
      <c r="B163" s="2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69">
      <c r="A164" s="56" t="n"/>
      <c r="B164" s="2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69">
      <c r="A165" s="56" t="n"/>
      <c r="B165" s="2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69">
      <c r="A166" s="56" t="n"/>
      <c r="B166" s="2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69">
      <c r="A167" s="56" t="n"/>
      <c r="B167" s="2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69">
      <c r="A168" s="56" t="n"/>
      <c r="B168" s="2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69">
      <c r="A169" s="56" t="n"/>
      <c r="B169" s="2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69">
      <c r="A170" s="56" t="n"/>
      <c r="B170" s="2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69">
      <c r="A171" s="56" t="n"/>
      <c r="B171" s="2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69">
      <c r="A172" s="56" t="n"/>
      <c r="B172" s="2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69">
      <c r="A173" s="56" t="n"/>
      <c r="B173" s="2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69">
      <c r="A174" s="56" t="n"/>
      <c r="B174" s="2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69">
      <c r="A175" s="56" t="n"/>
      <c r="B175" s="2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69">
      <c r="A176" s="56" t="n"/>
      <c r="B176" s="2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69">
      <c r="A177" s="56" t="n"/>
      <c r="B177" s="2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69">
      <c r="A178" s="56" t="n"/>
      <c r="B178" s="2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69">
      <c r="A179" s="56" t="n"/>
      <c r="B179" s="2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69">
      <c r="A180" s="56" t="n"/>
      <c r="B180" s="2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69">
      <c r="A181" s="56" t="n"/>
      <c r="B181" s="2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69">
      <c r="A182" s="56" t="n"/>
      <c r="B182" s="2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69">
      <c r="A183" s="56" t="n"/>
      <c r="B183" s="2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69">
      <c r="A184" s="56" t="n"/>
      <c r="B184" s="2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69">
      <c r="A185" s="56" t="n"/>
      <c r="B185" s="2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69">
      <c r="A186" s="56" t="n"/>
      <c r="B186" s="2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69">
      <c r="A187" s="56" t="n"/>
      <c r="B187" s="2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69">
      <c r="A188" s="56" t="n"/>
      <c r="B188" s="2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69">
      <c r="A189" s="56" t="n"/>
      <c r="B189" s="2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69">
      <c r="A190" s="56" t="n"/>
      <c r="B190" s="2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69">
      <c r="A191" s="56" t="n"/>
      <c r="B191" s="2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69">
      <c r="A192" s="56" t="n"/>
      <c r="B192" s="2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69">
      <c r="A193" s="56" t="n"/>
      <c r="B193" s="2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69">
      <c r="A194" s="56" t="n"/>
      <c r="B194" s="2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69">
      <c r="A195" s="56" t="n"/>
      <c r="B195" s="2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69">
      <c r="A196" s="56" t="n"/>
      <c r="B196" s="2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69">
      <c r="A197" s="56" t="n"/>
      <c r="B197" s="2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69">
      <c r="A198" s="56" t="n"/>
      <c r="B198" s="2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69">
      <c r="A199" s="56" t="n"/>
      <c r="B199" s="2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69">
      <c r="A200" s="56" t="n"/>
      <c r="B200" s="2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69">
      <c r="A201" s="56" t="n"/>
      <c r="B201" s="2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69">
      <c r="A202" s="56" t="n"/>
      <c r="B202" s="2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69">
      <c r="A203" s="56" t="n"/>
      <c r="B203" s="2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69">
      <c r="A204" s="56" t="n"/>
      <c r="B204" s="2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69">
      <c r="A205" s="56" t="n"/>
      <c r="B205" s="2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69">
      <c r="A206" s="56" t="n"/>
      <c r="B206" s="2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69">
      <c r="A207" s="56" t="n"/>
      <c r="B207" s="2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69">
      <c r="A208" s="56" t="n"/>
      <c r="B208" s="2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69">
      <c r="A209" s="56" t="n"/>
      <c r="B209" s="2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69">
      <c r="A210" s="56" t="n"/>
      <c r="B210" s="2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69">
      <c r="A211" s="56" t="n"/>
      <c r="B211" s="2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69">
      <c r="A212" s="56" t="n"/>
      <c r="B212" s="2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69">
      <c r="A213" s="56" t="n"/>
      <c r="B213" s="2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69">
      <c r="A214" s="56" t="n"/>
      <c r="B214" s="2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69">
      <c r="A215" s="56" t="n"/>
      <c r="B215" s="2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69">
      <c r="A216" s="56" t="n"/>
      <c r="B216" s="2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69">
      <c r="A217" s="56" t="n"/>
      <c r="B217" s="2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69">
      <c r="A218" s="56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69">
      <c r="A219" s="56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69">
      <c r="A220" s="56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69">
      <c r="A221" s="56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69">
      <c r="A222" s="56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69">
      <c r="A223" s="56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69">
      <c r="A224" s="56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69">
      <c r="A225" s="56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69">
      <c r="A226" s="56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69">
      <c r="A227" s="56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69">
      <c r="A228" s="56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69">
      <c r="A229" s="56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69">
      <c r="A230" s="56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69">
      <c r="A231" s="56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69">
      <c r="A232" s="56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69">
      <c r="A233" s="56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69">
      <c r="A234" s="56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69">
      <c r="A235" s="56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69">
      <c r="A236" s="56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69">
      <c r="A237" s="56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69">
      <c r="A238" s="56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69">
      <c r="A239" s="56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69">
      <c r="A240" s="56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69">
      <c r="A241" s="56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69">
      <c r="A242" s="56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69">
      <c r="A243" s="56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69">
      <c r="A244" s="56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69">
      <c r="A245" s="56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69">
      <c r="A246" s="56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69">
      <c r="A247" s="56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69">
      <c r="A248" s="56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69">
      <c r="A249" s="56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69">
      <c r="A250" s="56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69">
      <c r="A251" s="56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69">
      <c r="A252" s="56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69">
      <c r="A253" s="56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69">
      <c r="A254" s="56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69">
      <c r="A255" s="56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69">
      <c r="A256" s="56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69">
      <c r="A257" s="56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69">
      <c r="A258" s="56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69">
      <c r="A259" s="56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3">
    <mergeCell ref="T1:Y1"/>
    <mergeCell ref="H1:S1"/>
    <mergeCell ref="D1:G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tabColor rgb="FF00FF00"/>
    <outlinePr summaryBelow="1" summaryRight="1"/>
    <pageSetUpPr/>
  </sheetPr>
  <dimension ref="A1:Y262"/>
  <sheetViews>
    <sheetView workbookViewId="0">
      <selection activeCell="P18" sqref="P18"/>
    </sheetView>
  </sheetViews>
  <sheetFormatPr baseColWidth="8" defaultColWidth="10.875" defaultRowHeight="15" customHeight="1"/>
  <cols>
    <col width="10.875" customWidth="1" style="69" min="1" max="1"/>
    <col width="27.125" bestFit="1" customWidth="1" style="69" min="2" max="2"/>
    <col width="12.875" bestFit="1" customWidth="1" style="69" min="3" max="3"/>
    <col hidden="1" width="10.5" customWidth="1" style="69" min="4" max="4"/>
    <col hidden="1" width="8.625" customWidth="1" style="69" min="5" max="5"/>
    <col hidden="1" width="10.375" customWidth="1" style="69" min="6" max="6"/>
    <col hidden="1" width="9.625" customWidth="1" style="69" min="7" max="7"/>
    <col hidden="1" width="8.625" customWidth="1" style="69" min="8" max="8"/>
    <col hidden="1" width="9.25" customWidth="1" style="69" min="9" max="9"/>
    <col hidden="1" width="7" customWidth="1" style="69" min="10" max="10"/>
    <col hidden="1" width="6.625" customWidth="1" style="69" min="11" max="11"/>
    <col hidden="1" width="9.125" customWidth="1" style="69" min="12" max="13"/>
    <col hidden="1" width="13" customWidth="1" style="69" min="13" max="13"/>
    <col hidden="1" width="8.625" bestFit="1" customWidth="1" style="69" min="14" max="14"/>
    <col hidden="1" width="11.75" bestFit="1" customWidth="1" style="69" min="15" max="15"/>
    <col width="13.875" bestFit="1" customWidth="1" style="69" min="16" max="16"/>
    <col width="11.75" bestFit="1" customWidth="1" style="69" min="17" max="17"/>
    <col width="12.875" bestFit="1" customWidth="1" style="69" min="18" max="18"/>
    <col width="12" bestFit="1" customWidth="1" style="69" min="19" max="19"/>
    <col width="11.75" bestFit="1" customWidth="1" style="69" min="20" max="25"/>
    <col width="10.875" customWidth="1" style="69" min="26" max="26"/>
  </cols>
  <sheetData>
    <row r="1" ht="15.75" customHeight="1" s="69">
      <c r="A1" s="1" t="n"/>
      <c r="B1" s="1" t="n"/>
      <c r="C1" s="3" t="n"/>
      <c r="D1" s="79" t="n">
        <v>2025</v>
      </c>
      <c r="E1" s="73" t="n"/>
      <c r="F1" s="73" t="n"/>
      <c r="G1" s="73" t="n"/>
      <c r="H1" s="78" t="n">
        <v>2026</v>
      </c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7" t="n">
        <v>2027</v>
      </c>
      <c r="U1" s="73" t="n"/>
      <c r="V1" s="73" t="n"/>
      <c r="W1" s="73" t="n"/>
      <c r="X1" s="73" t="n"/>
      <c r="Y1" s="74" t="n"/>
    </row>
    <row r="2" ht="15.75" customHeight="1" s="69">
      <c r="A2" s="1" t="n"/>
      <c r="B2" s="1" t="n"/>
      <c r="C2" s="3" t="n"/>
      <c r="D2" s="7" t="inlineStr">
        <is>
          <t>SETTEMBRE</t>
        </is>
      </c>
      <c r="E2" s="7" t="inlineStr">
        <is>
          <t>OTTOBRE</t>
        </is>
      </c>
      <c r="F2" s="7" t="inlineStr">
        <is>
          <t>NOVEMBRE</t>
        </is>
      </c>
      <c r="G2" s="7" t="inlineStr">
        <is>
          <t>DICEMBRE</t>
        </is>
      </c>
      <c r="H2" s="6" t="inlineStr">
        <is>
          <t>GENNAIO</t>
        </is>
      </c>
      <c r="I2" s="6" t="inlineStr">
        <is>
          <t>FEBBRAIO</t>
        </is>
      </c>
      <c r="J2" s="6" t="inlineStr">
        <is>
          <t>MARZO</t>
        </is>
      </c>
      <c r="K2" s="6" t="inlineStr">
        <is>
          <t>APRILE</t>
        </is>
      </c>
      <c r="L2" s="8" t="inlineStr">
        <is>
          <t>MAGGIO</t>
        </is>
      </c>
      <c r="M2" s="8" t="inlineStr">
        <is>
          <t>GIUGNO</t>
        </is>
      </c>
      <c r="N2" s="8" t="inlineStr">
        <is>
          <t>LUGLIO</t>
        </is>
      </c>
      <c r="O2" s="8" t="inlineStr">
        <is>
          <t>AGOSTO</t>
        </is>
      </c>
      <c r="P2" s="8" t="inlineStr">
        <is>
          <t>SETTEMBRE</t>
        </is>
      </c>
      <c r="Q2" s="8" t="inlineStr">
        <is>
          <t>OTTOBRE</t>
        </is>
      </c>
      <c r="R2" s="8" t="inlineStr">
        <is>
          <t>NOVEMBRE</t>
        </is>
      </c>
      <c r="S2" s="8" t="inlineStr">
        <is>
          <t>DICEMBRE</t>
        </is>
      </c>
      <c r="T2" s="11" t="inlineStr">
        <is>
          <t>GENNAIO</t>
        </is>
      </c>
      <c r="U2" s="11" t="inlineStr">
        <is>
          <t>FEBBRAIO</t>
        </is>
      </c>
      <c r="V2" s="11" t="inlineStr">
        <is>
          <t>MARZO</t>
        </is>
      </c>
      <c r="W2" s="11" t="inlineStr">
        <is>
          <t>APRILE</t>
        </is>
      </c>
      <c r="X2" s="11" t="inlineStr">
        <is>
          <t>MAGGIO</t>
        </is>
      </c>
      <c r="Y2" s="11" t="inlineStr">
        <is>
          <t>GIUGNO</t>
        </is>
      </c>
    </row>
    <row r="3" ht="15.75" customHeight="1" s="69">
      <c r="A3" s="15" t="n"/>
      <c r="B3" s="15" t="inlineStr">
        <is>
          <t>Mutui e Finanaziamenti</t>
        </is>
      </c>
      <c r="C3" s="17">
        <f>SUM(D3:Y3)</f>
        <v/>
      </c>
      <c r="D3" s="17">
        <f>SUM(D4:D134)</f>
        <v/>
      </c>
      <c r="E3" s="17">
        <f>SUM(E4:E134)</f>
        <v/>
      </c>
      <c r="F3" s="17">
        <f>SUM(F4:F134)</f>
        <v/>
      </c>
      <c r="G3" s="17">
        <f>SUM(G4:G134)</f>
        <v/>
      </c>
      <c r="H3" s="17">
        <f>SUM(H4:H134)</f>
        <v/>
      </c>
      <c r="I3" s="17">
        <f>SUM(I4:I134)</f>
        <v/>
      </c>
      <c r="J3" s="17">
        <f>SUM(J4:J134)</f>
        <v/>
      </c>
      <c r="K3" s="17">
        <f>SUM(K4:K134)</f>
        <v/>
      </c>
      <c r="L3" s="17">
        <f>SUM(L4:L134)</f>
        <v/>
      </c>
      <c r="M3" s="17">
        <f>SUM(M4:M134)</f>
        <v/>
      </c>
      <c r="N3" s="17">
        <f>SUM(N4:N134)</f>
        <v/>
      </c>
      <c r="O3" s="17">
        <f>SUM(O4:O134)</f>
        <v/>
      </c>
      <c r="P3" s="17">
        <f>SUM(P4:P134)</f>
        <v/>
      </c>
      <c r="Q3" s="17">
        <f>SUM(Q4:Q134)</f>
        <v/>
      </c>
      <c r="R3" s="17">
        <f>SUM(R4:R134)</f>
        <v/>
      </c>
      <c r="S3" s="17">
        <f>SUM(S4:S134)</f>
        <v/>
      </c>
      <c r="T3" s="17">
        <f>SUM(T4:T134)</f>
        <v/>
      </c>
      <c r="U3" s="17">
        <f>SUM(U4:U134)</f>
        <v/>
      </c>
      <c r="V3" s="17">
        <f>SUM(V4:V134)</f>
        <v/>
      </c>
      <c r="W3" s="17">
        <f>SUM(W4:W134)</f>
        <v/>
      </c>
      <c r="X3" s="17">
        <f>SUM(X4:X134)</f>
        <v/>
      </c>
      <c r="Y3" s="17">
        <f>SUM(Y4:Y134)</f>
        <v/>
      </c>
    </row>
    <row r="4" ht="15.75" customHeight="1" s="69">
      <c r="A4" s="2" t="n"/>
      <c r="B4" s="21" t="inlineStr">
        <is>
          <t>Mutuo Banca Intesa</t>
        </is>
      </c>
      <c r="C4" s="23">
        <f>SUM(D4:Y4)</f>
        <v/>
      </c>
      <c r="D4" s="57" t="n"/>
      <c r="E4" s="57" t="n"/>
      <c r="F4" s="57" t="n">
        <v>0</v>
      </c>
      <c r="G4" s="57" t="n"/>
      <c r="H4" s="57" t="n"/>
      <c r="I4" s="57" t="n"/>
      <c r="J4" s="57" t="n"/>
      <c r="K4" s="57" t="n"/>
      <c r="L4" s="57" t="n"/>
      <c r="M4" s="57" t="n"/>
      <c r="N4" s="57" t="n"/>
      <c r="O4" s="57" t="n"/>
      <c r="P4" s="57" t="n">
        <v>9000</v>
      </c>
      <c r="Q4" s="57" t="n">
        <v>9000</v>
      </c>
      <c r="R4" s="57" t="n">
        <v>9000</v>
      </c>
      <c r="S4" s="57" t="n">
        <v>9000</v>
      </c>
      <c r="T4" s="57" t="n">
        <v>9000</v>
      </c>
      <c r="U4" s="57" t="n">
        <v>9000</v>
      </c>
      <c r="V4" s="57" t="n">
        <v>9000</v>
      </c>
      <c r="W4" s="57" t="n">
        <v>9000</v>
      </c>
      <c r="X4" s="57" t="n">
        <v>9000</v>
      </c>
      <c r="Y4" s="57" t="n">
        <v>9000</v>
      </c>
    </row>
    <row r="5" ht="15.75" customHeight="1" s="69">
      <c r="A5" s="2" t="n"/>
      <c r="B5" s="21" t="inlineStr">
        <is>
          <t>Finanziamento Sella</t>
        </is>
      </c>
      <c r="C5" s="28">
        <f>SUM(D5:Y5)</f>
        <v/>
      </c>
      <c r="D5" s="44" t="n"/>
      <c r="E5" s="44" t="n"/>
      <c r="F5" s="44" t="n">
        <v>0</v>
      </c>
      <c r="G5" s="44" t="n"/>
      <c r="H5" s="28" t="n"/>
      <c r="I5" s="28" t="n"/>
      <c r="J5" s="28" t="n"/>
      <c r="K5" s="28" t="n"/>
      <c r="L5" s="59" t="n"/>
      <c r="M5" s="59" t="n"/>
      <c r="N5" s="59" t="n"/>
      <c r="O5" s="59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</row>
    <row r="6" ht="15.75" customHeight="1" s="69">
      <c r="A6" s="2" t="n"/>
      <c r="B6" s="21" t="inlineStr">
        <is>
          <t>Finanziamento MPS 75K</t>
        </is>
      </c>
      <c r="C6" s="28">
        <f>SUM(D6:Y6)</f>
        <v/>
      </c>
      <c r="D6" s="44" t="n"/>
      <c r="E6" s="44" t="n"/>
      <c r="F6" s="44" t="n">
        <v>0</v>
      </c>
      <c r="G6" s="44" t="n"/>
      <c r="H6" s="44" t="n"/>
      <c r="I6" s="44" t="n"/>
      <c r="J6" s="44" t="n"/>
      <c r="K6" s="44" t="n"/>
      <c r="L6" s="44" t="n"/>
      <c r="M6" s="44" t="n"/>
      <c r="N6" s="44" t="n"/>
      <c r="O6" s="44" t="n"/>
      <c r="P6" s="44" t="n">
        <v>1388.48</v>
      </c>
      <c r="Q6" s="44" t="n">
        <v>1388.48</v>
      </c>
      <c r="R6" s="44" t="n">
        <v>1388.48</v>
      </c>
      <c r="S6" s="44" t="n">
        <v>1388.48</v>
      </c>
      <c r="T6" s="44" t="n">
        <v>1388.48</v>
      </c>
      <c r="U6" s="44" t="n">
        <v>1388.48</v>
      </c>
      <c r="V6" s="44" t="n">
        <v>1388.48</v>
      </c>
      <c r="W6" s="44" t="n">
        <v>1388.48</v>
      </c>
      <c r="X6" s="44" t="n">
        <v>1388.48</v>
      </c>
      <c r="Y6" s="44" t="n">
        <v>1388.48</v>
      </c>
    </row>
    <row r="7" ht="15.75" customHeight="1" s="69">
      <c r="A7" s="2" t="n"/>
      <c r="B7" s="21" t="inlineStr">
        <is>
          <t>Finanziamento MPS 1200K</t>
        </is>
      </c>
      <c r="C7" s="28">
        <f>SUM(D7:Y7)</f>
        <v/>
      </c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>
        <v>3500</v>
      </c>
      <c r="Q7" s="28" t="n">
        <v>3500</v>
      </c>
      <c r="R7" s="28" t="n">
        <v>3500</v>
      </c>
      <c r="S7" s="28" t="n">
        <v>3500</v>
      </c>
      <c r="T7" s="28" t="n">
        <v>3500</v>
      </c>
      <c r="U7" s="28" t="n">
        <v>13000</v>
      </c>
      <c r="V7" s="28" t="n">
        <v>13000</v>
      </c>
      <c r="W7" s="28" t="n">
        <v>13000</v>
      </c>
      <c r="X7" s="28" t="n">
        <v>13000</v>
      </c>
      <c r="Y7" s="28" t="n">
        <v>13000</v>
      </c>
    </row>
    <row r="8" ht="15.75" customHeight="1" s="69">
      <c r="A8" s="2" t="n"/>
      <c r="B8" s="21" t="n"/>
      <c r="C8" s="59">
        <f>SUM(D8:Y8)</f>
        <v/>
      </c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</row>
    <row r="9" ht="15.75" customHeight="1" s="69">
      <c r="A9" s="2" t="n"/>
      <c r="B9" s="21" t="n"/>
      <c r="C9" s="59">
        <f>SUM(D9:Y9)</f>
        <v/>
      </c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</row>
    <row r="10" ht="15.75" customHeight="1" s="69">
      <c r="A10" s="2" t="n"/>
      <c r="B10" s="21" t="n"/>
      <c r="C10" s="59">
        <f>SUM(D10:Y10)</f>
        <v/>
      </c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</row>
    <row r="11" ht="15.75" customHeight="1" s="69">
      <c r="A11" s="2" t="n"/>
      <c r="B11" s="21" t="n"/>
      <c r="C11" s="59">
        <f>SUM(D11:Y11)</f>
        <v/>
      </c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</row>
    <row r="12" ht="15.75" customHeight="1" s="69">
      <c r="A12" s="2" t="n"/>
      <c r="B12" s="21" t="n"/>
      <c r="C12" s="59">
        <f>SUM(D12:Y12)</f>
        <v/>
      </c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59" t="n"/>
      <c r="Q12" s="59" t="n"/>
      <c r="R12" s="59" t="n"/>
      <c r="S12" s="59" t="n"/>
      <c r="T12" s="59" t="n"/>
      <c r="U12" s="59" t="n"/>
      <c r="V12" s="59" t="n"/>
      <c r="W12" s="59" t="n"/>
      <c r="X12" s="59" t="n"/>
      <c r="Y12" s="59" t="n"/>
    </row>
    <row r="13" ht="15.75" customHeight="1" s="69">
      <c r="A13" s="2" t="n"/>
      <c r="B13" s="21" t="n"/>
      <c r="C13" s="28">
        <f>SUM(D13:Y13)</f>
        <v/>
      </c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</row>
    <row r="14" ht="15.75" customHeight="1" s="69">
      <c r="A14" s="2" t="n"/>
      <c r="B14" s="21" t="n"/>
      <c r="C14" s="28">
        <f>SUM(D14:Y14)</f>
        <v/>
      </c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</row>
    <row r="15" ht="15.75" customHeight="1" s="69">
      <c r="A15" s="2" t="n"/>
      <c r="B15" s="2" t="n"/>
      <c r="C15" s="28">
        <f>SUM(D15:Y15)</f>
        <v/>
      </c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</row>
    <row r="16" ht="15.75" customHeight="1" s="69">
      <c r="A16" s="2" t="n"/>
      <c r="B16" s="2" t="n"/>
      <c r="C16" s="28">
        <f>SUM(D16:Y16)</f>
        <v/>
      </c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</row>
    <row r="17" ht="15.75" customHeight="1" s="69">
      <c r="A17" s="2" t="n"/>
      <c r="B17" s="2" t="n"/>
      <c r="C17" s="28">
        <f>SUM(D17:Y17)</f>
        <v/>
      </c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</row>
    <row r="18" ht="15.75" customHeight="1" s="69">
      <c r="A18" s="2" t="n"/>
      <c r="B18" s="2" t="n"/>
      <c r="C18" s="28">
        <f>SUM(D18:Y18)</f>
        <v/>
      </c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</row>
    <row r="19" ht="15.75" customHeight="1" s="69">
      <c r="A19" s="2" t="n"/>
      <c r="B19" s="2" t="n"/>
      <c r="C19" s="28">
        <f>SUM(D19:Y19)</f>
        <v/>
      </c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</row>
    <row r="20" ht="15.75" customHeight="1" s="69">
      <c r="A20" s="2" t="n"/>
      <c r="B20" s="2" t="n"/>
      <c r="C20" s="28">
        <f>SUM(D20:Y20)</f>
        <v/>
      </c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</row>
    <row r="21" ht="15.75" customHeight="1" s="69">
      <c r="A21" s="2" t="n"/>
      <c r="B21" s="2" t="n"/>
      <c r="C21" s="28">
        <f>SUM(D21:Y21)</f>
        <v/>
      </c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</row>
    <row r="22" ht="15.75" customHeight="1" s="69">
      <c r="A22" s="2" t="n"/>
      <c r="B22" s="2" t="n"/>
      <c r="C22" s="28">
        <f>SUM(D22:Y22)</f>
        <v/>
      </c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</row>
    <row r="23" ht="15.75" customHeight="1" s="69">
      <c r="A23" s="2" t="n"/>
      <c r="B23" s="2" t="n"/>
      <c r="C23" s="28">
        <f>SUM(D23:Y23)</f>
        <v/>
      </c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</row>
    <row r="24" ht="15.75" customHeight="1" s="69">
      <c r="A24" s="2" t="n"/>
      <c r="B24" s="2" t="n"/>
      <c r="C24" s="28">
        <f>SUM(D24:Y24)</f>
        <v/>
      </c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</row>
    <row r="25" ht="15.75" customHeight="1" s="69">
      <c r="A25" s="2" t="n"/>
      <c r="B25" s="2" t="n"/>
      <c r="C25" s="28">
        <f>SUM(D25:Y25)</f>
        <v/>
      </c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</row>
    <row r="26" ht="15.75" customHeight="1" s="69">
      <c r="A26" s="2" t="n"/>
      <c r="B26" s="2" t="n"/>
      <c r="C26" s="28">
        <f>SUM(D26:Y26)</f>
        <v/>
      </c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</row>
    <row r="27" ht="15.75" customHeight="1" s="69">
      <c r="A27" s="2" t="n"/>
      <c r="B27" s="2" t="n"/>
      <c r="C27" s="28">
        <f>SUM(D27:Y27)</f>
        <v/>
      </c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</row>
    <row r="28" ht="15.75" customHeight="1" s="69">
      <c r="A28" s="2" t="n"/>
      <c r="B28" s="2" t="n"/>
      <c r="C28" s="28">
        <f>SUM(D28:Y28)</f>
        <v/>
      </c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</row>
    <row r="29" ht="15.75" customHeight="1" s="69">
      <c r="A29" s="2" t="n"/>
      <c r="B29" s="2" t="n"/>
      <c r="C29" s="28">
        <f>SUM(D29:Y29)</f>
        <v/>
      </c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</row>
    <row r="30" ht="15.75" customHeight="1" s="69">
      <c r="A30" s="2" t="n"/>
      <c r="B30" s="2" t="n"/>
      <c r="C30" s="28">
        <f>SUM(D30:Y30)</f>
        <v/>
      </c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</row>
    <row r="31" ht="15.75" customHeight="1" s="69">
      <c r="A31" s="2" t="n"/>
      <c r="B31" s="2" t="n"/>
      <c r="C31" s="28">
        <f>SUM(D31:Y31)</f>
        <v/>
      </c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</row>
    <row r="32" ht="15.75" customHeight="1" s="69">
      <c r="A32" s="2" t="n"/>
      <c r="B32" s="2" t="n"/>
      <c r="C32" s="28">
        <f>SUM(D32:Y32)</f>
        <v/>
      </c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</row>
    <row r="33" ht="15.75" customHeight="1" s="69">
      <c r="A33" s="2" t="n"/>
      <c r="B33" s="2" t="n"/>
      <c r="C33" s="28">
        <f>SUM(D33:Y33)</f>
        <v/>
      </c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</row>
    <row r="34" ht="15.75" customHeight="1" s="69">
      <c r="A34" s="2" t="n"/>
      <c r="B34" s="2" t="n"/>
      <c r="C34" s="28">
        <f>SUM(D34:Y34)</f>
        <v/>
      </c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</row>
    <row r="35" ht="15.75" customHeight="1" s="69">
      <c r="A35" s="2" t="n"/>
      <c r="B35" s="2" t="n"/>
      <c r="C35" s="28">
        <f>SUM(D35:Y35)</f>
        <v/>
      </c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</row>
    <row r="36" ht="15.75" customHeight="1" s="69">
      <c r="A36" s="2" t="n"/>
      <c r="B36" s="2" t="n"/>
      <c r="C36" s="28">
        <f>SUM(D36:Y36)</f>
        <v/>
      </c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</row>
    <row r="37" ht="15.75" customHeight="1" s="69">
      <c r="A37" s="2" t="n"/>
      <c r="B37" s="2" t="n"/>
      <c r="C37" s="28">
        <f>SUM(D37:Y37)</f>
        <v/>
      </c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</row>
    <row r="38" ht="15.75" customHeight="1" s="69">
      <c r="A38" s="2" t="n"/>
      <c r="B38" s="2" t="n"/>
      <c r="C38" s="28">
        <f>SUM(D38:Y38)</f>
        <v/>
      </c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</row>
    <row r="39" ht="15.75" customHeight="1" s="69">
      <c r="A39" s="2" t="n"/>
      <c r="B39" s="2" t="n"/>
      <c r="C39" s="28">
        <f>SUM(D39:Y39)</f>
        <v/>
      </c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</row>
    <row r="40" ht="15.75" customHeight="1" s="69">
      <c r="A40" s="2" t="n"/>
      <c r="B40" s="2" t="n"/>
      <c r="C40" s="28">
        <f>SUM(D40:Y40)</f>
        <v/>
      </c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</row>
    <row r="41" ht="15.75" customHeight="1" s="69">
      <c r="A41" s="2" t="n"/>
      <c r="B41" s="2" t="n"/>
      <c r="C41" s="28">
        <f>SUM(D41:Y41)</f>
        <v/>
      </c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</row>
    <row r="42" ht="15.75" customHeight="1" s="69">
      <c r="A42" s="2" t="n"/>
      <c r="B42" s="2" t="n"/>
      <c r="C42" s="28">
        <f>SUM(D42:Y42)</f>
        <v/>
      </c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</row>
    <row r="43" ht="15.75" customHeight="1" s="69">
      <c r="A43" s="2" t="n"/>
      <c r="B43" s="2" t="n"/>
      <c r="C43" s="28">
        <f>SUM(D43:Y43)</f>
        <v/>
      </c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</row>
    <row r="44" ht="15.75" customHeight="1" s="69">
      <c r="A44" s="2" t="n"/>
      <c r="B44" s="2" t="n"/>
      <c r="C44" s="28">
        <f>SUM(D44:Y44)</f>
        <v/>
      </c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</row>
    <row r="45" ht="15.75" customHeight="1" s="69">
      <c r="A45" s="2" t="n"/>
      <c r="B45" s="2" t="n"/>
      <c r="C45" s="28">
        <f>SUM(D45:Y45)</f>
        <v/>
      </c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</row>
    <row r="46" ht="15.75" customHeight="1" s="69">
      <c r="A46" s="2" t="n"/>
      <c r="B46" s="2" t="n"/>
      <c r="C46" s="28">
        <f>SUM(D46:Y46)</f>
        <v/>
      </c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</row>
    <row r="47" ht="15.75" customHeight="1" s="69">
      <c r="A47" s="2" t="n"/>
      <c r="B47" s="2" t="n"/>
      <c r="C47" s="28">
        <f>SUM(D47:Y47)</f>
        <v/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</row>
    <row r="48" ht="15.75" customHeight="1" s="69">
      <c r="A48" s="2" t="n"/>
      <c r="B48" s="2" t="n"/>
      <c r="C48" s="28">
        <f>SUM(D48:Y48)</f>
        <v/>
      </c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</row>
    <row r="49" ht="15.75" customHeight="1" s="69">
      <c r="A49" s="2" t="n"/>
      <c r="B49" s="2" t="n"/>
      <c r="C49" s="28">
        <f>SUM(D49:Y49)</f>
        <v/>
      </c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</row>
    <row r="50" ht="15.75" customHeight="1" s="69">
      <c r="A50" s="2" t="n"/>
      <c r="B50" s="2" t="n"/>
      <c r="C50" s="28">
        <f>SUM(D50:Y50)</f>
        <v/>
      </c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</row>
    <row r="51" ht="15.75" customHeight="1" s="69">
      <c r="A51" s="2" t="n"/>
      <c r="B51" s="2" t="n"/>
      <c r="C51" s="28">
        <f>SUM(D51:Y51)</f>
        <v/>
      </c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</row>
    <row r="52" ht="15.75" customHeight="1" s="69">
      <c r="A52" s="2" t="n"/>
      <c r="B52" s="2" t="n"/>
      <c r="C52" s="28">
        <f>SUM(D52:Y52)</f>
        <v/>
      </c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</row>
    <row r="53" ht="15.75" customHeight="1" s="69">
      <c r="A53" s="2" t="n"/>
      <c r="B53" s="2" t="n"/>
      <c r="C53" s="28">
        <f>SUM(D53:Y53)</f>
        <v/>
      </c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</row>
    <row r="54" ht="15.75" customHeight="1" s="69">
      <c r="A54" s="2" t="n"/>
      <c r="B54" s="2" t="n"/>
      <c r="C54" s="28">
        <f>SUM(D54:Y54)</f>
        <v/>
      </c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</row>
    <row r="55" ht="15.75" customHeight="1" s="69">
      <c r="A55" s="2" t="n"/>
      <c r="B55" s="2" t="n"/>
      <c r="C55" s="28">
        <f>SUM(D55:Y55)</f>
        <v/>
      </c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</row>
    <row r="56" ht="15.75" customHeight="1" s="69">
      <c r="A56" s="2" t="n"/>
      <c r="B56" s="2" t="n"/>
      <c r="C56" s="28">
        <f>SUM(D56:Y56)</f>
        <v/>
      </c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</row>
    <row r="57" ht="15.75" customHeight="1" s="69">
      <c r="A57" s="2" t="n"/>
      <c r="B57" s="2" t="n"/>
      <c r="C57" s="28">
        <f>SUM(D57:Y57)</f>
        <v/>
      </c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</row>
    <row r="58" ht="15.75" customHeight="1" s="69">
      <c r="A58" s="2" t="n"/>
      <c r="B58" s="2" t="n"/>
      <c r="C58" s="28">
        <f>SUM(D58:Y58)</f>
        <v/>
      </c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</row>
    <row r="59" ht="15.75" customHeight="1" s="69">
      <c r="A59" s="2" t="n"/>
      <c r="B59" s="2" t="n"/>
      <c r="C59" s="28">
        <f>SUM(D59:Y59)</f>
        <v/>
      </c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</row>
    <row r="60" ht="15.75" customHeight="1" s="69">
      <c r="A60" s="2" t="n"/>
      <c r="B60" s="2" t="n"/>
      <c r="C60" s="28">
        <f>SUM(D60:Y60)</f>
        <v/>
      </c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</row>
    <row r="61" ht="15.75" customHeight="1" s="69">
      <c r="A61" s="2" t="n"/>
      <c r="B61" s="2" t="n"/>
      <c r="C61" s="28">
        <f>SUM(D61:Y61)</f>
        <v/>
      </c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</row>
    <row r="62" ht="15.75" customHeight="1" s="69">
      <c r="A62" s="2" t="n"/>
      <c r="B62" s="2" t="n"/>
      <c r="C62" s="28">
        <f>SUM(D62:Y62)</f>
        <v/>
      </c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</row>
    <row r="63" ht="15.75" customHeight="1" s="69">
      <c r="A63" s="2" t="n"/>
      <c r="B63" s="2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</row>
    <row r="64" ht="15.75" customHeight="1" s="69">
      <c r="A64" s="2" t="n"/>
      <c r="B64" s="2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</row>
    <row r="65" ht="15.75" customHeight="1" s="69">
      <c r="A65" s="2" t="n"/>
      <c r="B65" s="2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</row>
    <row r="66" ht="15.75" customHeight="1" s="69">
      <c r="A66" s="2" t="n"/>
      <c r="B66" s="2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</row>
    <row r="67" ht="15.75" customHeight="1" s="69">
      <c r="A67" s="2" t="n"/>
      <c r="B67" s="2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</row>
    <row r="68" ht="15.75" customHeight="1" s="69">
      <c r="A68" s="2" t="n"/>
      <c r="B68" s="2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</row>
    <row r="69" ht="15.75" customHeight="1" s="69">
      <c r="A69" s="2" t="n"/>
      <c r="B69" s="2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69">
      <c r="A70" s="2" t="n"/>
      <c r="B70" s="2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69">
      <c r="A71" s="2" t="n"/>
      <c r="B71" s="2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69">
      <c r="A72" s="2" t="n"/>
      <c r="B72" s="2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69">
      <c r="A73" s="2" t="n"/>
      <c r="B73" s="2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69">
      <c r="A74" s="2" t="n"/>
      <c r="B74" s="2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69">
      <c r="A75" s="2" t="n"/>
      <c r="B75" s="2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69">
      <c r="A76" s="2" t="n"/>
      <c r="B76" s="2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69">
      <c r="A77" s="2" t="n"/>
      <c r="B77" s="2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69">
      <c r="A78" s="2" t="n"/>
      <c r="B78" s="2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69">
      <c r="A79" s="2" t="n"/>
      <c r="B79" s="2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69">
      <c r="A80" s="2" t="n"/>
      <c r="B80" s="2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69">
      <c r="A81" s="2" t="n"/>
      <c r="B81" s="2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69">
      <c r="A82" s="2" t="n"/>
      <c r="B82" s="2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69">
      <c r="A83" s="2" t="n"/>
      <c r="B83" s="2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69">
      <c r="A84" s="2" t="n"/>
      <c r="B84" s="2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69">
      <c r="A85" s="2" t="n"/>
      <c r="B85" s="2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69">
      <c r="A86" s="2" t="n"/>
      <c r="B86" s="2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69">
      <c r="A87" s="2" t="n"/>
      <c r="B87" s="2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69">
      <c r="A88" s="2" t="n"/>
      <c r="B88" s="2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69">
      <c r="A89" s="2" t="n"/>
      <c r="B89" s="2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69">
      <c r="A90" s="2" t="n"/>
      <c r="B90" s="2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69">
      <c r="A91" s="2" t="n"/>
      <c r="B91" s="2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69">
      <c r="A92" s="2" t="n"/>
      <c r="B92" s="2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69">
      <c r="A93" s="2" t="n"/>
      <c r="B93" s="2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69">
      <c r="A94" s="2" t="n"/>
      <c r="B94" s="2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69">
      <c r="A95" s="2" t="n"/>
      <c r="B95" s="2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69">
      <c r="A96" s="2" t="n"/>
      <c r="B96" s="2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69">
      <c r="A97" s="2" t="n"/>
      <c r="B97" s="2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69">
      <c r="A98" s="2" t="n"/>
      <c r="B98" s="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69">
      <c r="A99" s="2" t="n"/>
      <c r="B99" s="2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69">
      <c r="A100" s="2" t="n"/>
      <c r="B100" s="2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69">
      <c r="A101" s="2" t="n"/>
      <c r="B101" s="2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69">
      <c r="A102" s="2" t="n"/>
      <c r="B102" s="2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69">
      <c r="A103" s="2" t="n"/>
      <c r="B103" s="2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69">
      <c r="A104" s="2" t="n"/>
      <c r="B104" s="2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69">
      <c r="A105" s="2" t="n"/>
      <c r="B105" s="2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69">
      <c r="A106" s="2" t="n"/>
      <c r="B106" s="2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69">
      <c r="A107" s="2" t="n"/>
      <c r="B107" s="2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69">
      <c r="A108" s="2" t="n"/>
      <c r="B108" s="2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69">
      <c r="A109" s="2" t="n"/>
      <c r="B109" s="2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69">
      <c r="A110" s="2" t="n"/>
      <c r="B110" s="2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69">
      <c r="A111" s="2" t="n"/>
      <c r="B111" s="2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69">
      <c r="A112" s="2" t="n"/>
      <c r="B112" s="2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69">
      <c r="A113" s="2" t="n"/>
      <c r="B113" s="2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69">
      <c r="A114" s="2" t="n"/>
      <c r="B114" s="2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69">
      <c r="A115" s="2" t="n"/>
      <c r="B115" s="2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69">
      <c r="A116" s="2" t="n"/>
      <c r="B116" s="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69">
      <c r="A117" s="2" t="n"/>
      <c r="B117" s="2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69">
      <c r="A118" s="2" t="n"/>
      <c r="B118" s="2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69">
      <c r="A119" s="2" t="n"/>
      <c r="B119" s="2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69">
      <c r="A120" s="2" t="n"/>
      <c r="B120" s="2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69">
      <c r="A121" s="2" t="n"/>
      <c r="B121" s="2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69">
      <c r="A122" s="2" t="n"/>
      <c r="B122" s="2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69">
      <c r="A123" s="2" t="n"/>
      <c r="B123" s="2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69">
      <c r="A124" s="2" t="n"/>
      <c r="B124" s="2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69">
      <c r="A125" s="2" t="n"/>
      <c r="B125" s="2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69">
      <c r="A126" s="2" t="n"/>
      <c r="B126" s="2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69">
      <c r="A127" s="2" t="n"/>
      <c r="B127" s="2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69">
      <c r="A128" s="2" t="n"/>
      <c r="B128" s="2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69">
      <c r="A129" s="2" t="n"/>
      <c r="B129" s="2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69">
      <c r="A130" s="2" t="n"/>
      <c r="B130" s="2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69">
      <c r="A131" s="2" t="n"/>
      <c r="B131" s="2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69">
      <c r="A132" s="2" t="n"/>
      <c r="B132" s="2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69">
      <c r="A133" s="2" t="n"/>
      <c r="B133" s="2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69">
      <c r="A134" s="2" t="n"/>
      <c r="B134" s="2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69">
      <c r="A135" s="2" t="n"/>
      <c r="B135" s="2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69">
      <c r="A136" s="2" t="n"/>
      <c r="B136" s="2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69">
      <c r="A137" s="2" t="n"/>
      <c r="B137" s="2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69">
      <c r="A138" s="2" t="n"/>
      <c r="B138" s="2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69">
      <c r="A139" s="2" t="n"/>
      <c r="B139" s="2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69">
      <c r="A140" s="2" t="n"/>
      <c r="B140" s="2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69">
      <c r="A141" s="2" t="n"/>
      <c r="B141" s="2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69">
      <c r="A142" s="2" t="n"/>
      <c r="B142" s="2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69">
      <c r="A143" s="2" t="n"/>
      <c r="B143" s="2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69">
      <c r="A144" s="2" t="n"/>
      <c r="B144" s="2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69">
      <c r="A145" s="2" t="n"/>
      <c r="B145" s="2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69">
      <c r="A146" s="2" t="n"/>
      <c r="B146" s="2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69">
      <c r="A147" s="2" t="n"/>
      <c r="B147" s="2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69">
      <c r="A148" s="2" t="n"/>
      <c r="B148" s="2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69">
      <c r="A149" s="2" t="n"/>
      <c r="B149" s="2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69">
      <c r="A150" s="2" t="n"/>
      <c r="B150" s="2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69">
      <c r="A151" s="2" t="n"/>
      <c r="B151" s="2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69">
      <c r="A152" s="2" t="n"/>
      <c r="B152" s="2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69">
      <c r="A153" s="2" t="n"/>
      <c r="B153" s="2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69">
      <c r="A154" s="2" t="n"/>
      <c r="B154" s="2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69">
      <c r="A155" s="2" t="n"/>
      <c r="B155" s="2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69">
      <c r="A156" s="2" t="n"/>
      <c r="B156" s="2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69">
      <c r="A157" s="2" t="n"/>
      <c r="B157" s="2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69">
      <c r="A158" s="2" t="n"/>
      <c r="B158" s="2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69">
      <c r="A159" s="2" t="n"/>
      <c r="B159" s="2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69">
      <c r="A160" s="2" t="n"/>
      <c r="B160" s="2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69">
      <c r="A161" s="2" t="n"/>
      <c r="B161" s="2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69">
      <c r="A162" s="2" t="n"/>
      <c r="B162" s="2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69">
      <c r="A163" s="2" t="n"/>
      <c r="B163" s="2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69">
      <c r="A164" s="2" t="n"/>
      <c r="B164" s="2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69">
      <c r="A165" s="2" t="n"/>
      <c r="B165" s="2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69">
      <c r="A166" s="2" t="n"/>
      <c r="B166" s="2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69">
      <c r="A167" s="2" t="n"/>
      <c r="B167" s="2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69">
      <c r="A168" s="2" t="n"/>
      <c r="B168" s="2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69">
      <c r="A169" s="2" t="n"/>
      <c r="B169" s="2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69">
      <c r="A170" s="2" t="n"/>
      <c r="B170" s="2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69">
      <c r="A171" s="2" t="n"/>
      <c r="B171" s="2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69">
      <c r="A172" s="2" t="n"/>
      <c r="B172" s="2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69">
      <c r="A173" s="2" t="n"/>
      <c r="B173" s="2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69">
      <c r="A174" s="2" t="n"/>
      <c r="B174" s="2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69">
      <c r="A175" s="2" t="n"/>
      <c r="B175" s="2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69">
      <c r="A176" s="2" t="n"/>
      <c r="B176" s="2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69">
      <c r="A177" s="2" t="n"/>
      <c r="B177" s="2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69">
      <c r="A178" s="2" t="n"/>
      <c r="B178" s="2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69">
      <c r="A179" s="2" t="n"/>
      <c r="B179" s="2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69">
      <c r="A180" s="2" t="n"/>
      <c r="B180" s="2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69">
      <c r="A181" s="2" t="n"/>
      <c r="B181" s="2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69">
      <c r="A182" s="2" t="n"/>
      <c r="B182" s="2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69">
      <c r="A183" s="2" t="n"/>
      <c r="B183" s="2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69">
      <c r="A184" s="2" t="n"/>
      <c r="B184" s="2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69">
      <c r="A185" s="2" t="n"/>
      <c r="B185" s="2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69">
      <c r="A186" s="2" t="n"/>
      <c r="B186" s="2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69">
      <c r="A187" s="2" t="n"/>
      <c r="B187" s="2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69">
      <c r="A188" s="2" t="n"/>
      <c r="B188" s="2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69">
      <c r="A189" s="2" t="n"/>
      <c r="B189" s="2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69">
      <c r="A190" s="2" t="n"/>
      <c r="B190" s="2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69">
      <c r="A191" s="2" t="n"/>
      <c r="B191" s="2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69">
      <c r="A192" s="2" t="n"/>
      <c r="B192" s="2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69">
      <c r="A193" s="2" t="n"/>
      <c r="B193" s="2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69">
      <c r="A194" s="2" t="n"/>
      <c r="B194" s="2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69">
      <c r="A195" s="2" t="n"/>
      <c r="B195" s="2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69">
      <c r="A196" s="2" t="n"/>
      <c r="B196" s="2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69">
      <c r="A197" s="2" t="n"/>
      <c r="B197" s="2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69">
      <c r="A198" s="2" t="n"/>
      <c r="B198" s="2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69">
      <c r="A199" s="2" t="n"/>
      <c r="B199" s="2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69">
      <c r="A200" s="2" t="n"/>
      <c r="B200" s="2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69">
      <c r="A201" s="2" t="n"/>
      <c r="B201" s="2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69">
      <c r="A202" s="2" t="n"/>
      <c r="B202" s="2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69">
      <c r="A203" s="2" t="n"/>
      <c r="B203" s="2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69">
      <c r="A204" s="2" t="n"/>
      <c r="B204" s="2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69">
      <c r="A205" s="2" t="n"/>
      <c r="B205" s="2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69">
      <c r="A206" s="2" t="n"/>
      <c r="B206" s="2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69">
      <c r="A207" s="2" t="n"/>
      <c r="B207" s="2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69">
      <c r="A208" s="2" t="n"/>
      <c r="B208" s="2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69">
      <c r="A209" s="2" t="n"/>
      <c r="B209" s="2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69">
      <c r="A210" s="2" t="n"/>
      <c r="B210" s="2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69">
      <c r="A211" s="2" t="n"/>
      <c r="B211" s="2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69">
      <c r="A212" s="2" t="n"/>
      <c r="B212" s="2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69">
      <c r="A213" s="2" t="n"/>
      <c r="B213" s="2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69">
      <c r="A214" s="2" t="n"/>
      <c r="B214" s="2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69">
      <c r="A215" s="2" t="n"/>
      <c r="B215" s="2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69">
      <c r="A216" s="2" t="n"/>
      <c r="B216" s="2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69">
      <c r="A217" s="2" t="n"/>
      <c r="B217" s="2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69">
      <c r="A218" s="2" t="n"/>
      <c r="B218" s="2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69">
      <c r="A219" s="2" t="n"/>
      <c r="B219" s="2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69">
      <c r="A220" s="2" t="n"/>
      <c r="B220" s="2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69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69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69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69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69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69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69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69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6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69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69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69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69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69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69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69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69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69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6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69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69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69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69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69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69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69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69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69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6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69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69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69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69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69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69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69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69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69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6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69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 ht="15.75" customHeight="1" s="69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 ht="15.75" customHeight="1" s="69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3">
    <mergeCell ref="T1:Y1"/>
    <mergeCell ref="H1:S1"/>
    <mergeCell ref="D1:G1"/>
  </mergeCells>
  <pageMargins left="0.7" right="0.7" top="0.75" bottom="0.75" header="0" footer="0"/>
  <pageSetup orientation="portrait" paperSize="9"/>
</worksheet>
</file>

<file path=xl/worksheets/sheet8.xml><?xml version="1.0" encoding="utf-8"?>
<worksheet xmlns="http://schemas.openxmlformats.org/spreadsheetml/2006/main">
  <sheetPr>
    <tabColor rgb="FF00FF00"/>
    <outlinePr summaryBelow="1" summaryRight="1"/>
    <pageSetUpPr/>
  </sheetPr>
  <dimension ref="A1:Y262"/>
  <sheetViews>
    <sheetView workbookViewId="0">
      <selection activeCell="P15" sqref="P15"/>
    </sheetView>
  </sheetViews>
  <sheetFormatPr baseColWidth="8" defaultColWidth="7.75" defaultRowHeight="15" customHeight="1"/>
  <cols>
    <col width="9.25" bestFit="1" customWidth="1" style="69" min="1" max="1"/>
    <col width="37.625" bestFit="1" customWidth="1" style="69" min="2" max="2"/>
    <col width="12.875" bestFit="1" customWidth="1" style="69" min="3" max="3"/>
    <col hidden="1" width="10.5" customWidth="1" style="69" min="4" max="4"/>
    <col hidden="1" width="8.625" customWidth="1" style="69" min="5" max="5"/>
    <col hidden="1" width="10.375" customWidth="1" style="69" min="6" max="6"/>
    <col hidden="1" width="9.625" customWidth="1" style="69" min="7" max="7"/>
    <col hidden="1" width="8.625" customWidth="1" style="69" min="8" max="8"/>
    <col hidden="1" width="9.25" customWidth="1" style="69" min="9" max="9"/>
    <col hidden="1" width="7" customWidth="1" style="69" min="10" max="10"/>
    <col hidden="1" width="6.625" customWidth="1" style="69" min="11" max="11"/>
    <col hidden="1" width="9.125" customWidth="1" style="69" min="12" max="13"/>
    <col hidden="1" width="13" customWidth="1" style="69" min="13" max="13"/>
    <col hidden="1" width="8.625" customWidth="1" style="69" min="14" max="14"/>
    <col hidden="1" width="10.5" bestFit="1" customWidth="1" style="69" min="15" max="15"/>
    <col width="13.875" bestFit="1" customWidth="1" style="69" min="16" max="16"/>
    <col width="11" bestFit="1" customWidth="1" style="69" min="17" max="17"/>
    <col width="12.875" bestFit="1" customWidth="1" style="69" min="18" max="18"/>
    <col width="12" bestFit="1" customWidth="1" style="69" min="19" max="19"/>
    <col width="10.375" bestFit="1" customWidth="1" style="69" min="20" max="20"/>
    <col width="11.75" bestFit="1" customWidth="1" style="69" min="21" max="21"/>
    <col width="10.5" bestFit="1" customWidth="1" style="69" min="22" max="23"/>
    <col width="10.125" bestFit="1" customWidth="1" style="69" min="24" max="24"/>
    <col width="10.5" bestFit="1" customWidth="1" style="69" min="25" max="25"/>
    <col width="7.75" customWidth="1" style="69" min="26" max="26"/>
  </cols>
  <sheetData>
    <row r="1" ht="15.75" customHeight="1" s="69">
      <c r="A1" s="54" t="n"/>
      <c r="B1" s="1" t="n"/>
      <c r="C1" s="3" t="n"/>
      <c r="D1" s="79" t="n">
        <v>2025</v>
      </c>
      <c r="E1" s="73" t="n"/>
      <c r="F1" s="73" t="n"/>
      <c r="G1" s="73" t="n"/>
      <c r="H1" s="78" t="n">
        <v>2026</v>
      </c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7" t="n">
        <v>2027</v>
      </c>
      <c r="U1" s="73" t="n"/>
      <c r="V1" s="73" t="n"/>
      <c r="W1" s="73" t="n"/>
      <c r="X1" s="73" t="n"/>
      <c r="Y1" s="74" t="n"/>
    </row>
    <row r="2" ht="15.75" customHeight="1" s="69">
      <c r="A2" s="54" t="n"/>
      <c r="B2" s="1" t="n"/>
      <c r="C2" s="3" t="n"/>
      <c r="D2" s="7" t="inlineStr">
        <is>
          <t>SETTEMBRE</t>
        </is>
      </c>
      <c r="E2" s="7" t="inlineStr">
        <is>
          <t>OTTOBRE</t>
        </is>
      </c>
      <c r="F2" s="7" t="inlineStr">
        <is>
          <t>NOVEMBRE</t>
        </is>
      </c>
      <c r="G2" s="7" t="inlineStr">
        <is>
          <t>DICEMBRE</t>
        </is>
      </c>
      <c r="H2" s="6" t="inlineStr">
        <is>
          <t>GENNAIO</t>
        </is>
      </c>
      <c r="I2" s="6" t="inlineStr">
        <is>
          <t>FEBBRAIO</t>
        </is>
      </c>
      <c r="J2" s="6" t="inlineStr">
        <is>
          <t>MARZO</t>
        </is>
      </c>
      <c r="K2" s="6" t="inlineStr">
        <is>
          <t>APRILE</t>
        </is>
      </c>
      <c r="L2" s="8" t="inlineStr">
        <is>
          <t>MAGGIO</t>
        </is>
      </c>
      <c r="M2" s="8" t="inlineStr">
        <is>
          <t>GIUGNO</t>
        </is>
      </c>
      <c r="N2" s="8" t="inlineStr">
        <is>
          <t>LUGLIO</t>
        </is>
      </c>
      <c r="O2" s="8" t="inlineStr">
        <is>
          <t>AGOSTO</t>
        </is>
      </c>
      <c r="P2" s="8" t="inlineStr">
        <is>
          <t>SETTEMBRE</t>
        </is>
      </c>
      <c r="Q2" s="8" t="inlineStr">
        <is>
          <t>OTTOBRE</t>
        </is>
      </c>
      <c r="R2" s="8" t="inlineStr">
        <is>
          <t>NOVEMBRE</t>
        </is>
      </c>
      <c r="S2" s="8" t="inlineStr">
        <is>
          <t>DICEMBRE</t>
        </is>
      </c>
      <c r="T2" s="11" t="inlineStr">
        <is>
          <t>GENNAIO</t>
        </is>
      </c>
      <c r="U2" s="11" t="inlineStr">
        <is>
          <t>FEBBRAIO</t>
        </is>
      </c>
      <c r="V2" s="11" t="inlineStr">
        <is>
          <t>MARZO</t>
        </is>
      </c>
      <c r="W2" s="11" t="inlineStr">
        <is>
          <t>APRILE</t>
        </is>
      </c>
      <c r="X2" s="11" t="inlineStr">
        <is>
          <t>MAGGIO</t>
        </is>
      </c>
      <c r="Y2" s="11" t="inlineStr">
        <is>
          <t>GIUGNO</t>
        </is>
      </c>
    </row>
    <row r="3" ht="15.75" customHeight="1" s="69">
      <c r="A3" s="55" t="n"/>
      <c r="B3" s="15" t="inlineStr">
        <is>
          <t>Consulenze</t>
        </is>
      </c>
      <c r="C3" s="17">
        <f>SUM(D3:Y3)</f>
        <v/>
      </c>
      <c r="D3" s="17">
        <f>SUM(D4:D134)</f>
        <v/>
      </c>
      <c r="E3" s="17">
        <f>SUM(E4:E134)</f>
        <v/>
      </c>
      <c r="F3" s="17">
        <f>SUM(F4:F134)</f>
        <v/>
      </c>
      <c r="G3" s="17">
        <f>SUM(G4:G134)</f>
        <v/>
      </c>
      <c r="H3" s="17">
        <f>SUM(H4:H134)</f>
        <v/>
      </c>
      <c r="I3" s="17">
        <f>SUM(I4:I134)</f>
        <v/>
      </c>
      <c r="J3" s="17">
        <f>SUM(J4:J134)</f>
        <v/>
      </c>
      <c r="K3" s="17">
        <f>SUM(K4:K134)</f>
        <v/>
      </c>
      <c r="L3" s="17">
        <f>SUM(L4:L134)</f>
        <v/>
      </c>
      <c r="M3" s="17">
        <f>SUM(M4:M134)</f>
        <v/>
      </c>
      <c r="N3" s="17">
        <f>SUM(N4:N134)</f>
        <v/>
      </c>
      <c r="O3" s="17">
        <f>SUM(O4:O134)</f>
        <v/>
      </c>
      <c r="P3" s="17">
        <f>SUM(P4:P134)</f>
        <v/>
      </c>
      <c r="Q3" s="17">
        <f>SUM(Q4:Q134)</f>
        <v/>
      </c>
      <c r="R3" s="17">
        <f>SUM(R4:R134)</f>
        <v/>
      </c>
      <c r="S3" s="17">
        <f>SUM(S4:S134)</f>
        <v/>
      </c>
      <c r="T3" s="17">
        <f>SUM(T4:T134)</f>
        <v/>
      </c>
      <c r="U3" s="17">
        <f>SUM(U4:U134)</f>
        <v/>
      </c>
      <c r="V3" s="17">
        <f>SUM(V4:V134)</f>
        <v/>
      </c>
      <c r="W3" s="17">
        <f>SUM(W4:W134)</f>
        <v/>
      </c>
      <c r="X3" s="17">
        <f>SUM(X4:X134)</f>
        <v/>
      </c>
      <c r="Y3" s="17">
        <f>SUM(Y4:Y134)</f>
        <v/>
      </c>
    </row>
    <row r="4" ht="15.75" customHeight="1" s="69">
      <c r="A4" s="56" t="n"/>
      <c r="B4" s="21" t="inlineStr">
        <is>
          <t>Consulenza del lavoro</t>
        </is>
      </c>
      <c r="C4" s="23">
        <f>SUM(D4:Y4)</f>
        <v/>
      </c>
      <c r="D4" s="23" t="n"/>
      <c r="E4" s="23" t="n"/>
      <c r="F4" s="23" t="n">
        <v>0</v>
      </c>
      <c r="G4" s="23" t="n">
        <v>0</v>
      </c>
      <c r="H4" s="23" t="n"/>
      <c r="I4" s="23" t="n"/>
      <c r="J4" s="23" t="n"/>
      <c r="K4" s="23" t="n"/>
      <c r="L4" s="23" t="n"/>
      <c r="M4" s="23" t="n"/>
      <c r="N4" s="23" t="n"/>
      <c r="O4" s="23" t="n"/>
      <c r="P4" s="23" t="n">
        <v>700</v>
      </c>
      <c r="Q4" s="23" t="n"/>
      <c r="R4" s="23" t="n">
        <v>500</v>
      </c>
      <c r="S4" s="23" t="n"/>
      <c r="T4" s="23" t="n"/>
      <c r="U4" s="23" t="n">
        <v>1540</v>
      </c>
      <c r="V4" s="23" t="n">
        <v>400</v>
      </c>
      <c r="W4" s="23" t="n"/>
      <c r="X4" s="23" t="n">
        <v>600</v>
      </c>
      <c r="Y4" s="23" t="n"/>
    </row>
    <row r="5" ht="15.75" customHeight="1" s="69">
      <c r="A5" s="56" t="n"/>
      <c r="B5" s="21" t="inlineStr">
        <is>
          <t>Consulenza fiscale</t>
        </is>
      </c>
      <c r="C5" s="23">
        <f>SUM(D5:Y5)</f>
        <v/>
      </c>
      <c r="D5" s="28" t="n"/>
      <c r="E5" s="59" t="n"/>
      <c r="F5" s="28" t="n"/>
      <c r="G5" s="28" t="n"/>
      <c r="H5" s="59" t="n"/>
      <c r="I5" s="59" t="n"/>
      <c r="J5" s="28" t="n"/>
      <c r="K5" s="59" t="n"/>
      <c r="L5" s="28" t="n"/>
      <c r="M5" s="59" t="n"/>
      <c r="N5" s="59" t="n"/>
      <c r="O5" s="59" t="n"/>
      <c r="P5" s="59" t="n">
        <v>2000</v>
      </c>
      <c r="Q5" s="59" t="n"/>
      <c r="R5" s="28" t="n"/>
      <c r="S5" s="28" t="n">
        <v>2000</v>
      </c>
      <c r="T5" s="28" t="n"/>
      <c r="U5" s="28" t="n"/>
      <c r="V5" s="28" t="n">
        <v>2500</v>
      </c>
      <c r="W5" s="28" t="n"/>
      <c r="X5" s="28" t="n"/>
      <c r="Y5" s="28" t="n">
        <v>2000</v>
      </c>
    </row>
    <row r="6" ht="15.75" customHeight="1" s="69">
      <c r="A6" s="56" t="n"/>
      <c r="B6" s="21" t="inlineStr">
        <is>
          <t>Consulenza legale</t>
        </is>
      </c>
      <c r="C6" s="23">
        <f>SUM(D6:Y6)</f>
        <v/>
      </c>
      <c r="D6" s="28" t="n"/>
      <c r="E6" s="28" t="n"/>
      <c r="F6" s="28" t="n"/>
      <c r="G6" s="28" t="n"/>
      <c r="H6" s="59" t="n"/>
      <c r="I6" s="59" t="n"/>
      <c r="J6" s="59" t="n"/>
      <c r="K6" s="59" t="n"/>
      <c r="L6" s="28" t="n"/>
      <c r="M6" s="28" t="n"/>
      <c r="N6" s="28" t="n"/>
      <c r="O6" s="28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</row>
    <row r="7" ht="15.75" customHeight="1" s="69">
      <c r="A7" s="56" t="n"/>
      <c r="B7" s="21" t="inlineStr">
        <is>
          <t xml:space="preserve">Prev. Consulenze Legali </t>
        </is>
      </c>
      <c r="C7" s="23">
        <f>SUM(D7:Y7)</f>
        <v/>
      </c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3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</row>
    <row r="8" ht="15.75" customHeight="1" s="69">
      <c r="A8" s="58" t="n"/>
      <c r="B8" s="21" t="inlineStr">
        <is>
          <t xml:space="preserve">ALDEN </t>
        </is>
      </c>
      <c r="C8" s="23">
        <f>SUM(D8:Y8)</f>
        <v/>
      </c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3" t="n"/>
      <c r="N8" s="28" t="n"/>
      <c r="O8" s="28" t="n"/>
      <c r="P8" s="28" t="n">
        <v>244</v>
      </c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</row>
    <row r="9" ht="15.75" customHeight="1" s="69">
      <c r="A9" s="56" t="n"/>
      <c r="B9" s="21" t="inlineStr">
        <is>
          <t>Revisore - Ferrigno</t>
        </is>
      </c>
      <c r="C9" s="23">
        <f>SUM(D9:Y9)</f>
        <v/>
      </c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3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>
        <v>4162</v>
      </c>
      <c r="X9" s="28" t="n"/>
      <c r="Y9" s="28" t="n"/>
    </row>
    <row r="10" ht="15.75" customHeight="1" s="69">
      <c r="A10" s="56" t="n"/>
      <c r="B10" s="21" t="inlineStr">
        <is>
          <t>Cons. Marketing - Travaglini Armando</t>
        </is>
      </c>
      <c r="C10" s="23">
        <f>SUM(D10:Y10)</f>
        <v/>
      </c>
      <c r="D10" s="28" t="n"/>
      <c r="E10" s="28" t="n"/>
      <c r="F10" s="28" t="n"/>
      <c r="G10" s="28" t="n"/>
      <c r="H10" s="28" t="n"/>
      <c r="I10" s="59" t="n"/>
      <c r="J10" s="28" t="n"/>
      <c r="K10" s="28" t="n"/>
      <c r="L10" s="28" t="n"/>
      <c r="M10" s="23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</row>
    <row r="11" ht="15.75" customHeight="1" s="69">
      <c r="A11" s="56" t="n"/>
      <c r="B11" s="21" t="inlineStr">
        <is>
          <t>DG NETWORK</t>
        </is>
      </c>
      <c r="C11" s="23">
        <f>SUM(D11:Y11)</f>
        <v/>
      </c>
      <c r="D11" s="28" t="n"/>
      <c r="E11" s="28" t="n"/>
      <c r="F11" s="28" t="n"/>
      <c r="G11" s="28" t="n"/>
      <c r="H11" s="59" t="n"/>
      <c r="I11" s="28" t="n"/>
      <c r="J11" s="28" t="n"/>
      <c r="K11" s="28" t="n"/>
      <c r="L11" s="28" t="n"/>
      <c r="M11" s="23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</row>
    <row r="12" ht="15.75" customHeight="1" s="69">
      <c r="A12" s="56" t="n"/>
      <c r="B12" s="21" t="inlineStr">
        <is>
          <t>Geologo Antonio Apicella</t>
        </is>
      </c>
      <c r="C12" s="23">
        <f>SUM(D12:Y12)</f>
        <v/>
      </c>
      <c r="D12" s="28" t="n"/>
      <c r="E12" s="28" t="n"/>
      <c r="F12" s="28" t="n"/>
      <c r="G12" s="28" t="n"/>
      <c r="H12" s="59" t="n"/>
      <c r="I12" s="28" t="n"/>
      <c r="J12" s="28" t="n"/>
      <c r="K12" s="28" t="n"/>
      <c r="L12" s="28" t="n"/>
      <c r="M12" s="23" t="n"/>
      <c r="N12" s="28" t="n"/>
      <c r="O12" s="28" t="n"/>
      <c r="P12" s="28" t="n">
        <v>1015.04</v>
      </c>
      <c r="Q12" s="59" t="n"/>
      <c r="R12" s="59" t="n"/>
      <c r="S12" s="59" t="n"/>
      <c r="T12" s="59" t="n"/>
      <c r="U12" s="59" t="n"/>
      <c r="V12" s="59" t="n"/>
      <c r="W12" s="59" t="n"/>
      <c r="X12" s="59" t="n"/>
      <c r="Y12" s="59" t="n"/>
    </row>
    <row r="13" ht="15.75" customHeight="1" s="69">
      <c r="A13" s="56" t="n">
        <v>1027</v>
      </c>
      <c r="B13" s="21" t="inlineStr">
        <is>
          <t>CAFARELLI MASSIMILIANO</t>
        </is>
      </c>
      <c r="C13" s="23">
        <f>SUM(D13:Y13)</f>
        <v/>
      </c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3" t="n"/>
      <c r="N13" s="28" t="n"/>
      <c r="O13" s="28" t="n"/>
      <c r="P13" s="28" t="n">
        <v>30</v>
      </c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</row>
    <row r="14" ht="15.75" customHeight="1" s="69">
      <c r="A14" s="56" t="n"/>
      <c r="B14" s="21" t="inlineStr">
        <is>
          <t>CSW Engineering s.r.l</t>
        </is>
      </c>
      <c r="C14" s="23">
        <f>SUM(D14:Y14)</f>
        <v/>
      </c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3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</row>
    <row r="15" ht="15.75" customHeight="1" s="69">
      <c r="A15" s="56" t="n"/>
      <c r="B15" s="21" t="inlineStr">
        <is>
          <t>Amalia Pisacane</t>
        </is>
      </c>
      <c r="C15" s="23">
        <f>SUM(D15:Y15)</f>
        <v/>
      </c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3" t="n"/>
      <c r="N15" s="28" t="n"/>
      <c r="O15" s="28" t="n"/>
      <c r="P15" s="59" t="n">
        <v>40983.36</v>
      </c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</row>
    <row r="16" ht="15.75" customHeight="1" s="69">
      <c r="A16" s="56" t="n">
        <v>921</v>
      </c>
      <c r="B16" s="21" t="inlineStr">
        <is>
          <t>Il Centro C.S.C. Srl</t>
        </is>
      </c>
      <c r="C16" s="23">
        <f>SUM(D16:Y16)</f>
        <v/>
      </c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>
        <v>688.2</v>
      </c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</row>
    <row r="17" ht="15.75" customHeight="1" s="69">
      <c r="A17" s="56" t="n">
        <v>645</v>
      </c>
      <c r="B17" s="21" t="inlineStr">
        <is>
          <t>D'Aiuto (legale)</t>
        </is>
      </c>
      <c r="C17" s="23">
        <f>SUM(D17:Y17)</f>
        <v/>
      </c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>
        <v>6343.98</v>
      </c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</row>
    <row r="18" ht="15.75" customHeight="1" s="69">
      <c r="A18" s="56" t="n">
        <v>41</v>
      </c>
      <c r="B18" s="80" t="inlineStr">
        <is>
          <t>Giordano Associati S.r.l Socio Unico</t>
        </is>
      </c>
      <c r="C18" s="23">
        <f>SUM(D18:Y18)</f>
        <v/>
      </c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>
        <v>819.88</v>
      </c>
      <c r="R18" s="28" t="n"/>
      <c r="S18" s="28" t="n"/>
      <c r="T18" s="28" t="n"/>
      <c r="U18" s="28" t="n"/>
      <c r="V18" s="28" t="n"/>
      <c r="W18" s="28" t="n"/>
      <c r="X18" s="28" t="n"/>
      <c r="Y18" s="28" t="n"/>
    </row>
    <row r="19" ht="15.75" customHeight="1" s="69">
      <c r="A19" s="56" t="n">
        <v>649</v>
      </c>
      <c r="B19" s="2" t="inlineStr">
        <is>
          <t>Guariniello Lorenzo</t>
        </is>
      </c>
      <c r="C19" s="23">
        <f>SUM(D19:Y19)</f>
        <v/>
      </c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>
        <v>2618.56</v>
      </c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</row>
    <row r="20" ht="15.75" customHeight="1" s="69">
      <c r="A20" s="56" t="n"/>
      <c r="B20" s="2" t="n"/>
      <c r="C20" s="23">
        <f>SUM(D20:Y20)</f>
        <v/>
      </c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</row>
    <row r="21" ht="15.75" customHeight="1" s="69">
      <c r="A21" s="56" t="n"/>
      <c r="B21" s="2" t="n"/>
      <c r="C21" s="23">
        <f>SUM(D21:Y21)</f>
        <v/>
      </c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</row>
    <row r="22" ht="15.75" customHeight="1" s="69">
      <c r="A22" s="56" t="n"/>
      <c r="B22" s="2" t="n"/>
      <c r="C22" s="23">
        <f>SUM(D22:Y22)</f>
        <v/>
      </c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</row>
    <row r="23" ht="15.75" customHeight="1" s="69">
      <c r="A23" s="56" t="n"/>
      <c r="B23" s="2" t="n"/>
      <c r="C23" s="23">
        <f>SUM(D23:Y23)</f>
        <v/>
      </c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</row>
    <row r="24" ht="15.75" customHeight="1" s="69">
      <c r="A24" s="56" t="n"/>
      <c r="B24" s="2" t="n"/>
      <c r="C24" s="23">
        <f>SUM(D24:Y24)</f>
        <v/>
      </c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</row>
    <row r="25" ht="15.75" customHeight="1" s="69">
      <c r="A25" s="56" t="n"/>
      <c r="B25" s="2" t="n"/>
      <c r="C25" s="23">
        <f>SUM(D25:Y25)</f>
        <v/>
      </c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</row>
    <row r="26" ht="15.75" customHeight="1" s="69">
      <c r="A26" s="56" t="n"/>
      <c r="B26" s="2" t="n"/>
      <c r="C26" s="23">
        <f>SUM(D26:Y26)</f>
        <v/>
      </c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</row>
    <row r="27" ht="15.75" customHeight="1" s="69">
      <c r="A27" s="56" t="n"/>
      <c r="B27" s="2" t="n"/>
      <c r="C27" s="23">
        <f>SUM(D27:Y27)</f>
        <v/>
      </c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</row>
    <row r="28" ht="15.75" customHeight="1" s="69">
      <c r="A28" s="56" t="n"/>
      <c r="B28" s="2" t="n"/>
      <c r="C28" s="23">
        <f>SUM(D28:Y28)</f>
        <v/>
      </c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</row>
    <row r="29" ht="15.75" customHeight="1" s="69">
      <c r="A29" s="56" t="n"/>
      <c r="B29" s="2" t="n"/>
      <c r="C29" s="23">
        <f>SUM(D29:Y29)</f>
        <v/>
      </c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</row>
    <row r="30" ht="15.75" customHeight="1" s="69">
      <c r="A30" s="56" t="n"/>
      <c r="B30" s="2" t="n"/>
      <c r="C30" s="23">
        <f>SUM(D30:Y30)</f>
        <v/>
      </c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</row>
    <row r="31" ht="15.75" customHeight="1" s="69">
      <c r="A31" s="56" t="n"/>
      <c r="B31" s="2" t="n"/>
      <c r="C31" s="28">
        <f>SUM(D31:Y31)</f>
        <v/>
      </c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</row>
    <row r="32" ht="15.75" customHeight="1" s="69">
      <c r="A32" s="56" t="n"/>
      <c r="B32" s="2" t="n"/>
      <c r="C32" s="28">
        <f>SUM(D32:Y32)</f>
        <v/>
      </c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</row>
    <row r="33" ht="15.75" customHeight="1" s="69">
      <c r="A33" s="56" t="n"/>
      <c r="B33" s="2" t="n"/>
      <c r="C33" s="28">
        <f>SUM(D33:Y33)</f>
        <v/>
      </c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</row>
    <row r="34" ht="15.75" customHeight="1" s="69">
      <c r="A34" s="56" t="n"/>
      <c r="B34" s="2" t="n"/>
      <c r="C34" s="28">
        <f>SUM(D34:Y34)</f>
        <v/>
      </c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</row>
    <row r="35" ht="15.75" customHeight="1" s="69">
      <c r="A35" s="56" t="n"/>
      <c r="B35" s="2" t="n"/>
      <c r="C35" s="28">
        <f>SUM(D35:Y35)</f>
        <v/>
      </c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</row>
    <row r="36" ht="15.75" customHeight="1" s="69">
      <c r="A36" s="56" t="n"/>
      <c r="B36" s="2" t="n"/>
      <c r="C36" s="28">
        <f>SUM(D36:Y36)</f>
        <v/>
      </c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</row>
    <row r="37" ht="15.75" customHeight="1" s="69">
      <c r="A37" s="56" t="n"/>
      <c r="B37" s="2" t="n"/>
      <c r="C37" s="28">
        <f>SUM(D37:Y37)</f>
        <v/>
      </c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</row>
    <row r="38" ht="15.75" customHeight="1" s="69">
      <c r="A38" s="56" t="n"/>
      <c r="B38" s="2" t="n"/>
      <c r="C38" s="28">
        <f>SUM(D38:Y38)</f>
        <v/>
      </c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</row>
    <row r="39" ht="15.75" customHeight="1" s="69">
      <c r="A39" s="56" t="n"/>
      <c r="B39" s="2" t="n"/>
      <c r="C39" s="28">
        <f>SUM(D39:Y39)</f>
        <v/>
      </c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</row>
    <row r="40" ht="15.75" customHeight="1" s="69">
      <c r="A40" s="56" t="n"/>
      <c r="B40" s="2" t="n"/>
      <c r="C40" s="28">
        <f>SUM(D40:Y40)</f>
        <v/>
      </c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</row>
    <row r="41" ht="15.75" customHeight="1" s="69">
      <c r="A41" s="56" t="n"/>
      <c r="B41" s="2" t="n"/>
      <c r="C41" s="28">
        <f>SUM(D41:Y41)</f>
        <v/>
      </c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</row>
    <row r="42" ht="15.75" customHeight="1" s="69">
      <c r="A42" s="56" t="n"/>
      <c r="B42" s="2" t="n"/>
      <c r="C42" s="28">
        <f>SUM(D42:Y42)</f>
        <v/>
      </c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</row>
    <row r="43" ht="15.75" customHeight="1" s="69">
      <c r="A43" s="56" t="n"/>
      <c r="B43" s="2" t="n"/>
      <c r="C43" s="28">
        <f>SUM(D43:Y43)</f>
        <v/>
      </c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</row>
    <row r="44" ht="15.75" customHeight="1" s="69">
      <c r="A44" s="56" t="n"/>
      <c r="B44" s="2" t="n"/>
      <c r="C44" s="28">
        <f>SUM(D44:Y44)</f>
        <v/>
      </c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</row>
    <row r="45" ht="15.75" customHeight="1" s="69">
      <c r="A45" s="56" t="n"/>
      <c r="B45" s="2" t="n"/>
      <c r="C45" s="28">
        <f>SUM(D45:Y45)</f>
        <v/>
      </c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</row>
    <row r="46" ht="15.75" customHeight="1" s="69">
      <c r="A46" s="56" t="n"/>
      <c r="B46" s="2" t="n"/>
      <c r="C46" s="28">
        <f>SUM(D46:Y46)</f>
        <v/>
      </c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</row>
    <row r="47" ht="15.75" customHeight="1" s="69">
      <c r="A47" s="56" t="n"/>
      <c r="B47" s="2" t="n"/>
      <c r="C47" s="28">
        <f>SUM(D47:Y47)</f>
        <v/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</row>
    <row r="48" ht="15.75" customHeight="1" s="69">
      <c r="A48" s="56" t="n"/>
      <c r="B48" s="2" t="n"/>
      <c r="C48" s="28">
        <f>SUM(D48:Y48)</f>
        <v/>
      </c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</row>
    <row r="49" ht="15.75" customHeight="1" s="69">
      <c r="A49" s="56" t="n"/>
      <c r="B49" s="2" t="n"/>
      <c r="C49" s="28">
        <f>SUM(D49:Y49)</f>
        <v/>
      </c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</row>
    <row r="50" ht="15.75" customHeight="1" s="69">
      <c r="A50" s="56" t="n"/>
      <c r="B50" s="2" t="n"/>
      <c r="C50" s="28">
        <f>SUM(D50:Y50)</f>
        <v/>
      </c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</row>
    <row r="51" ht="15.75" customHeight="1" s="69">
      <c r="A51" s="56" t="n"/>
      <c r="B51" s="2" t="n"/>
      <c r="C51" s="28">
        <f>SUM(D51:Y51)</f>
        <v/>
      </c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</row>
    <row r="52" ht="15.75" customHeight="1" s="69">
      <c r="A52" s="56" t="n"/>
      <c r="B52" s="2" t="n"/>
      <c r="C52" s="28">
        <f>SUM(D52:Y52)</f>
        <v/>
      </c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</row>
    <row r="53" ht="15.75" customHeight="1" s="69">
      <c r="A53" s="56" t="n"/>
      <c r="B53" s="2" t="n"/>
      <c r="C53" s="28">
        <f>SUM(D53:Y53)</f>
        <v/>
      </c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</row>
    <row r="54" ht="15.75" customHeight="1" s="69">
      <c r="A54" s="56" t="n"/>
      <c r="B54" s="2" t="n"/>
      <c r="C54" s="28">
        <f>SUM(D54:Y54)</f>
        <v/>
      </c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</row>
    <row r="55" ht="15.75" customHeight="1" s="69">
      <c r="A55" s="56" t="n"/>
      <c r="B55" s="2" t="n"/>
      <c r="C55" s="28">
        <f>SUM(D55:Y55)</f>
        <v/>
      </c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</row>
    <row r="56" ht="15.75" customHeight="1" s="69">
      <c r="A56" s="56" t="n"/>
      <c r="B56" s="2" t="n"/>
      <c r="C56" s="28">
        <f>SUM(D56:Y56)</f>
        <v/>
      </c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</row>
    <row r="57" ht="15.75" customHeight="1" s="69">
      <c r="A57" s="56" t="n"/>
      <c r="B57" s="2" t="n"/>
      <c r="C57" s="28">
        <f>SUM(D57:Y57)</f>
        <v/>
      </c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</row>
    <row r="58" ht="15.75" customHeight="1" s="69">
      <c r="A58" s="56" t="n"/>
      <c r="B58" s="2" t="n"/>
      <c r="C58" s="28">
        <f>SUM(D58:Y58)</f>
        <v/>
      </c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</row>
    <row r="59" ht="15.75" customHeight="1" s="69">
      <c r="A59" s="56" t="n"/>
      <c r="B59" s="2" t="n"/>
      <c r="C59" s="28">
        <f>SUM(D59:Y59)</f>
        <v/>
      </c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</row>
    <row r="60" ht="15.75" customHeight="1" s="69">
      <c r="A60" s="56" t="n"/>
      <c r="B60" s="2" t="n"/>
      <c r="C60" s="28">
        <f>SUM(D60:Y60)</f>
        <v/>
      </c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</row>
    <row r="61" ht="15.75" customHeight="1" s="69">
      <c r="A61" s="56" t="n"/>
      <c r="B61" s="2" t="n"/>
      <c r="C61" s="28">
        <f>SUM(D61:Y61)</f>
        <v/>
      </c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</row>
    <row r="62" ht="15.75" customHeight="1" s="69">
      <c r="A62" s="56" t="n"/>
      <c r="B62" s="2" t="n"/>
      <c r="C62" s="28">
        <f>SUM(D62:Y62)</f>
        <v/>
      </c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</row>
    <row r="63" ht="15.75" customHeight="1" s="69">
      <c r="A63" s="56" t="n"/>
      <c r="B63" s="2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</row>
    <row r="64" ht="15.75" customHeight="1" s="69">
      <c r="A64" s="56" t="n"/>
      <c r="B64" s="2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</row>
    <row r="65" ht="15.75" customHeight="1" s="69">
      <c r="A65" s="56" t="n"/>
      <c r="B65" s="2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</row>
    <row r="66" ht="15.75" customHeight="1" s="69">
      <c r="A66" s="56" t="n"/>
      <c r="B66" s="2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</row>
    <row r="67" ht="15.75" customHeight="1" s="69">
      <c r="A67" s="56" t="n"/>
      <c r="B67" s="2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</row>
    <row r="68" ht="15.75" customHeight="1" s="69">
      <c r="A68" s="56" t="n"/>
      <c r="B68" s="2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</row>
    <row r="69" ht="15.75" customHeight="1" s="69">
      <c r="A69" s="56" t="n"/>
      <c r="B69" s="2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69">
      <c r="A70" s="56" t="n"/>
      <c r="B70" s="2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69">
      <c r="A71" s="56" t="n"/>
      <c r="B71" s="2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69">
      <c r="A72" s="56" t="n"/>
      <c r="B72" s="2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69">
      <c r="A73" s="56" t="n"/>
      <c r="B73" s="2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69">
      <c r="A74" s="56" t="n"/>
      <c r="B74" s="2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69">
      <c r="A75" s="56" t="n"/>
      <c r="B75" s="2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69">
      <c r="A76" s="56" t="n"/>
      <c r="B76" s="2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69">
      <c r="A77" s="56" t="n"/>
      <c r="B77" s="2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69">
      <c r="A78" s="56" t="n"/>
      <c r="B78" s="2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69">
      <c r="A79" s="56" t="n"/>
      <c r="B79" s="2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69">
      <c r="A80" s="56" t="n"/>
      <c r="B80" s="2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69">
      <c r="A81" s="56" t="n"/>
      <c r="B81" s="2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69">
      <c r="A82" s="56" t="n"/>
      <c r="B82" s="2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69">
      <c r="A83" s="56" t="n"/>
      <c r="B83" s="2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69">
      <c r="A84" s="56" t="n"/>
      <c r="B84" s="2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69">
      <c r="A85" s="56" t="n"/>
      <c r="B85" s="2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69">
      <c r="A86" s="56" t="n"/>
      <c r="B86" s="2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69">
      <c r="A87" s="56" t="n"/>
      <c r="B87" s="2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69">
      <c r="A88" s="56" t="n"/>
      <c r="B88" s="2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69">
      <c r="A89" s="56" t="n"/>
      <c r="B89" s="2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69">
      <c r="A90" s="56" t="n"/>
      <c r="B90" s="2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69">
      <c r="A91" s="56" t="n"/>
      <c r="B91" s="2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69">
      <c r="A92" s="56" t="n"/>
      <c r="B92" s="2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69">
      <c r="A93" s="56" t="n"/>
      <c r="B93" s="2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69">
      <c r="A94" s="56" t="n"/>
      <c r="B94" s="2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69">
      <c r="A95" s="56" t="n"/>
      <c r="B95" s="2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69">
      <c r="A96" s="56" t="n"/>
      <c r="B96" s="2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69">
      <c r="A97" s="56" t="n"/>
      <c r="B97" s="2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69">
      <c r="A98" s="56" t="n"/>
      <c r="B98" s="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69">
      <c r="A99" s="56" t="n"/>
      <c r="B99" s="2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69">
      <c r="A100" s="56" t="n"/>
      <c r="B100" s="2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69">
      <c r="A101" s="56" t="n"/>
      <c r="B101" s="2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69">
      <c r="A102" s="56" t="n"/>
      <c r="B102" s="2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69">
      <c r="A103" s="56" t="n"/>
      <c r="B103" s="2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69">
      <c r="A104" s="56" t="n"/>
      <c r="B104" s="2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69">
      <c r="A105" s="56" t="n"/>
      <c r="B105" s="2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69">
      <c r="A106" s="56" t="n"/>
      <c r="B106" s="2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69">
      <c r="A107" s="56" t="n"/>
      <c r="B107" s="2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69">
      <c r="A108" s="56" t="n"/>
      <c r="B108" s="2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69">
      <c r="A109" s="56" t="n"/>
      <c r="B109" s="2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69">
      <c r="A110" s="56" t="n"/>
      <c r="B110" s="2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69">
      <c r="A111" s="56" t="n"/>
      <c r="B111" s="2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69">
      <c r="A112" s="56" t="n"/>
      <c r="B112" s="2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69">
      <c r="A113" s="56" t="n"/>
      <c r="B113" s="2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69">
      <c r="A114" s="56" t="n"/>
      <c r="B114" s="2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69">
      <c r="A115" s="56" t="n"/>
      <c r="B115" s="2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69">
      <c r="A116" s="56" t="n"/>
      <c r="B116" s="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69">
      <c r="A117" s="56" t="n"/>
      <c r="B117" s="2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69">
      <c r="A118" s="56" t="n"/>
      <c r="B118" s="2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69">
      <c r="A119" s="56" t="n"/>
      <c r="B119" s="2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69">
      <c r="A120" s="56" t="n"/>
      <c r="B120" s="2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69">
      <c r="A121" s="56" t="n"/>
      <c r="B121" s="2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69">
      <c r="A122" s="56" t="n"/>
      <c r="B122" s="2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69">
      <c r="A123" s="56" t="n"/>
      <c r="B123" s="2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69">
      <c r="A124" s="56" t="n"/>
      <c r="B124" s="2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69">
      <c r="A125" s="56" t="n"/>
      <c r="B125" s="2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69">
      <c r="A126" s="56" t="n"/>
      <c r="B126" s="2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69">
      <c r="A127" s="56" t="n"/>
      <c r="B127" s="2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69">
      <c r="A128" s="56" t="n"/>
      <c r="B128" s="2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69">
      <c r="A129" s="56" t="n"/>
      <c r="B129" s="2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69">
      <c r="A130" s="56" t="n"/>
      <c r="B130" s="2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69">
      <c r="A131" s="56" t="n"/>
      <c r="B131" s="2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69">
      <c r="A132" s="56" t="n"/>
      <c r="B132" s="2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69">
      <c r="A133" s="56" t="n"/>
      <c r="B133" s="2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69">
      <c r="A134" s="56" t="n"/>
      <c r="B134" s="2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69">
      <c r="A135" s="56" t="n"/>
      <c r="B135" s="2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69">
      <c r="A136" s="56" t="n"/>
      <c r="B136" s="2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69">
      <c r="A137" s="56" t="n"/>
      <c r="B137" s="2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69">
      <c r="A138" s="56" t="n"/>
      <c r="B138" s="2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69">
      <c r="A139" s="56" t="n"/>
      <c r="B139" s="2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69">
      <c r="A140" s="56" t="n"/>
      <c r="B140" s="2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69">
      <c r="A141" s="56" t="n"/>
      <c r="B141" s="2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69">
      <c r="A142" s="56" t="n"/>
      <c r="B142" s="2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69">
      <c r="A143" s="56" t="n"/>
      <c r="B143" s="2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69">
      <c r="A144" s="56" t="n"/>
      <c r="B144" s="2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69">
      <c r="A145" s="56" t="n"/>
      <c r="B145" s="2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69">
      <c r="A146" s="56" t="n"/>
      <c r="B146" s="2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69">
      <c r="A147" s="56" t="n"/>
      <c r="B147" s="2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69">
      <c r="A148" s="56" t="n"/>
      <c r="B148" s="2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69">
      <c r="A149" s="56" t="n"/>
      <c r="B149" s="2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69">
      <c r="A150" s="56" t="n"/>
      <c r="B150" s="2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69">
      <c r="A151" s="56" t="n"/>
      <c r="B151" s="2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69">
      <c r="A152" s="56" t="n"/>
      <c r="B152" s="2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69">
      <c r="A153" s="56" t="n"/>
      <c r="B153" s="2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69">
      <c r="A154" s="56" t="n"/>
      <c r="B154" s="2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69">
      <c r="A155" s="56" t="n"/>
      <c r="B155" s="2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69">
      <c r="A156" s="56" t="n"/>
      <c r="B156" s="2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69">
      <c r="A157" s="56" t="n"/>
      <c r="B157" s="2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69">
      <c r="A158" s="56" t="n"/>
      <c r="B158" s="2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69">
      <c r="A159" s="56" t="n"/>
      <c r="B159" s="2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69">
      <c r="A160" s="56" t="n"/>
      <c r="B160" s="2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69">
      <c r="A161" s="56" t="n"/>
      <c r="B161" s="2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69">
      <c r="A162" s="56" t="n"/>
      <c r="B162" s="2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69">
      <c r="A163" s="56" t="n"/>
      <c r="B163" s="2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69">
      <c r="A164" s="56" t="n"/>
      <c r="B164" s="2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69">
      <c r="A165" s="56" t="n"/>
      <c r="B165" s="2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69">
      <c r="A166" s="56" t="n"/>
      <c r="B166" s="2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69">
      <c r="A167" s="56" t="n"/>
      <c r="B167" s="2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69">
      <c r="A168" s="56" t="n"/>
      <c r="B168" s="2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69">
      <c r="A169" s="56" t="n"/>
      <c r="B169" s="2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69">
      <c r="A170" s="56" t="n"/>
      <c r="B170" s="2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69">
      <c r="A171" s="56" t="n"/>
      <c r="B171" s="2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69">
      <c r="A172" s="56" t="n"/>
      <c r="B172" s="2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69">
      <c r="A173" s="56" t="n"/>
      <c r="B173" s="2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69">
      <c r="A174" s="56" t="n"/>
      <c r="B174" s="2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69">
      <c r="A175" s="56" t="n"/>
      <c r="B175" s="2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69">
      <c r="A176" s="56" t="n"/>
      <c r="B176" s="2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69">
      <c r="A177" s="56" t="n"/>
      <c r="B177" s="2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69">
      <c r="A178" s="56" t="n"/>
      <c r="B178" s="2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69">
      <c r="A179" s="56" t="n"/>
      <c r="B179" s="2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69">
      <c r="A180" s="56" t="n"/>
      <c r="B180" s="2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69">
      <c r="A181" s="56" t="n"/>
      <c r="B181" s="2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69">
      <c r="A182" s="56" t="n"/>
      <c r="B182" s="2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69">
      <c r="A183" s="56" t="n"/>
      <c r="B183" s="2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69">
      <c r="A184" s="56" t="n"/>
      <c r="B184" s="2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69">
      <c r="A185" s="56" t="n"/>
      <c r="B185" s="2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69">
      <c r="A186" s="56" t="n"/>
      <c r="B186" s="2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69">
      <c r="A187" s="56" t="n"/>
      <c r="B187" s="2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69">
      <c r="A188" s="56" t="n"/>
      <c r="B188" s="2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69">
      <c r="A189" s="56" t="n"/>
      <c r="B189" s="2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69">
      <c r="A190" s="56" t="n"/>
      <c r="B190" s="2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69">
      <c r="A191" s="56" t="n"/>
      <c r="B191" s="2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69">
      <c r="A192" s="56" t="n"/>
      <c r="B192" s="2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69">
      <c r="A193" s="56" t="n"/>
      <c r="B193" s="2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69">
      <c r="A194" s="56" t="n"/>
      <c r="B194" s="2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69">
      <c r="A195" s="56" t="n"/>
      <c r="B195" s="2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69">
      <c r="A196" s="56" t="n"/>
      <c r="B196" s="2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69">
      <c r="A197" s="56" t="n"/>
      <c r="B197" s="2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69">
      <c r="A198" s="56" t="n"/>
      <c r="B198" s="2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69">
      <c r="A199" s="56" t="n"/>
      <c r="B199" s="2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69">
      <c r="A200" s="56" t="n"/>
      <c r="B200" s="2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69">
      <c r="A201" s="56" t="n"/>
      <c r="B201" s="2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69">
      <c r="A202" s="56" t="n"/>
      <c r="B202" s="2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69">
      <c r="A203" s="56" t="n"/>
      <c r="B203" s="2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69">
      <c r="A204" s="56" t="n"/>
      <c r="B204" s="2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69">
      <c r="A205" s="56" t="n"/>
      <c r="B205" s="2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69">
      <c r="A206" s="56" t="n"/>
      <c r="B206" s="2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69">
      <c r="A207" s="56" t="n"/>
      <c r="B207" s="2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69">
      <c r="A208" s="56" t="n"/>
      <c r="B208" s="2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69">
      <c r="A209" s="56" t="n"/>
      <c r="B209" s="2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69">
      <c r="A210" s="56" t="n"/>
      <c r="B210" s="2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69">
      <c r="A211" s="56" t="n"/>
      <c r="B211" s="2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69">
      <c r="A212" s="56" t="n"/>
      <c r="B212" s="2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69">
      <c r="A213" s="56" t="n"/>
      <c r="B213" s="2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69">
      <c r="A214" s="56" t="n"/>
      <c r="B214" s="2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69">
      <c r="A215" s="56" t="n"/>
      <c r="B215" s="2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69">
      <c r="A216" s="56" t="n"/>
      <c r="B216" s="2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69">
      <c r="A217" s="56" t="n"/>
      <c r="B217" s="2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69">
      <c r="A218" s="56" t="n"/>
      <c r="B218" s="2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69">
      <c r="A219" s="56" t="n"/>
      <c r="B219" s="2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69">
      <c r="A220" s="56" t="n"/>
      <c r="B220" s="2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69">
      <c r="A221" s="56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69">
      <c r="A222" s="56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69">
      <c r="A223" s="56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69">
      <c r="A224" s="56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69">
      <c r="A225" s="56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69">
      <c r="A226" s="56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69">
      <c r="A227" s="56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69">
      <c r="A228" s="56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69">
      <c r="A229" s="56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69">
      <c r="A230" s="56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69">
      <c r="A231" s="56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69">
      <c r="A232" s="56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69">
      <c r="A233" s="56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69">
      <c r="A234" s="56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69">
      <c r="A235" s="56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69">
      <c r="A236" s="56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69">
      <c r="A237" s="56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69">
      <c r="A238" s="56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69">
      <c r="A239" s="56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69">
      <c r="A240" s="56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69">
      <c r="A241" s="56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69">
      <c r="A242" s="56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69">
      <c r="A243" s="56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69">
      <c r="A244" s="56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69">
      <c r="A245" s="56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69">
      <c r="A246" s="56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69">
      <c r="A247" s="56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69">
      <c r="A248" s="56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69">
      <c r="A249" s="56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69">
      <c r="A250" s="56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69">
      <c r="A251" s="56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69">
      <c r="A252" s="56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69">
      <c r="A253" s="56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69">
      <c r="A254" s="56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69">
      <c r="A255" s="56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69">
      <c r="A256" s="56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69">
      <c r="A257" s="56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69">
      <c r="A258" s="56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69">
      <c r="A259" s="56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69">
      <c r="A260" s="56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 ht="15.75" customHeight="1" s="69">
      <c r="A261" s="56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 ht="15.75" customHeight="1" s="69">
      <c r="A262" s="56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3">
    <mergeCell ref="T1:Y1"/>
    <mergeCell ref="H1:S1"/>
    <mergeCell ref="D1:G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tabColor rgb="FF00FF00"/>
    <outlinePr summaryBelow="1" summaryRight="1"/>
    <pageSetUpPr/>
  </sheetPr>
  <dimension ref="A1:Y262"/>
  <sheetViews>
    <sheetView workbookViewId="0">
      <selection activeCell="A1" sqref="A1"/>
    </sheetView>
  </sheetViews>
  <sheetFormatPr baseColWidth="8" defaultColWidth="11.25" defaultRowHeight="15" customHeight="1"/>
  <cols>
    <col width="9" customWidth="1" style="69" min="1" max="1"/>
    <col width="26" customWidth="1" style="69" min="2" max="2"/>
    <col width="6.875" bestFit="1" customWidth="1" style="69" min="3" max="3"/>
    <col hidden="1" width="8.125" customWidth="1" style="69" min="4" max="4"/>
    <col hidden="1" width="6.625" customWidth="1" style="69" min="5" max="5"/>
    <col hidden="1" width="8.125" customWidth="1" style="69" min="6" max="6"/>
    <col hidden="1" width="7.5" customWidth="1" style="69" min="7" max="7"/>
    <col hidden="1" width="6.625" customWidth="1" style="69" min="8" max="8"/>
    <col hidden="1" width="7.125" customWidth="1" style="69" min="9" max="9"/>
    <col hidden="1" width="5.5" customWidth="1" style="69" min="10" max="10"/>
    <col hidden="1" width="5.125" customWidth="1" style="69" min="11" max="11"/>
    <col hidden="1" width="7.125" customWidth="1" style="69" min="12" max="12"/>
    <col hidden="1" width="13" customWidth="1" style="69" min="13" max="13"/>
    <col hidden="1" width="6.625" customWidth="1" style="69" min="14" max="14"/>
    <col hidden="1" width="7.5" customWidth="1" style="69" min="15" max="15"/>
    <col width="10.75" customWidth="1" style="69" min="16" max="16"/>
    <col width="8.5" customWidth="1" style="69" min="17" max="17"/>
    <col width="10" customWidth="1" style="69" min="18" max="18"/>
    <col width="9.375" customWidth="1" style="69" min="19" max="19"/>
    <col width="8.125" customWidth="1" style="69" min="20" max="20"/>
    <col width="9" customWidth="1" style="69" min="21" max="21"/>
    <col width="6.375" customWidth="1" style="69" min="22" max="22"/>
    <col width="6.5" customWidth="1" style="69" min="23" max="23"/>
    <col width="7.125" customWidth="1" style="69" min="24" max="25"/>
    <col width="8.625" customWidth="1" style="69" min="26" max="26"/>
  </cols>
  <sheetData>
    <row r="1" ht="15.75" customHeight="1" s="69">
      <c r="A1" s="60" t="n"/>
      <c r="B1" s="1" t="n"/>
      <c r="C1" s="3" t="n"/>
      <c r="D1" s="79" t="n">
        <v>2025</v>
      </c>
      <c r="E1" s="73" t="n"/>
      <c r="F1" s="73" t="n"/>
      <c r="G1" s="73" t="n"/>
      <c r="H1" s="78" t="n">
        <v>2026</v>
      </c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7" t="n">
        <v>2027</v>
      </c>
      <c r="U1" s="73" t="n"/>
      <c r="V1" s="73" t="n"/>
      <c r="W1" s="73" t="n"/>
      <c r="X1" s="73" t="n"/>
      <c r="Y1" s="74" t="n"/>
    </row>
    <row r="2" ht="15.75" customHeight="1" s="69">
      <c r="A2" s="54" t="n"/>
      <c r="B2" s="1" t="n"/>
      <c r="C2" s="3" t="n"/>
      <c r="D2" s="7" t="inlineStr">
        <is>
          <t>SETTEMBRE</t>
        </is>
      </c>
      <c r="E2" s="7" t="inlineStr">
        <is>
          <t>OTTOBRE</t>
        </is>
      </c>
      <c r="F2" s="7" t="inlineStr">
        <is>
          <t>NOVEMBRE</t>
        </is>
      </c>
      <c r="G2" s="7" t="inlineStr">
        <is>
          <t>DICEMBRE</t>
        </is>
      </c>
      <c r="H2" s="6" t="inlineStr">
        <is>
          <t>GENNAIO</t>
        </is>
      </c>
      <c r="I2" s="6" t="inlineStr">
        <is>
          <t>FEBBRAIO</t>
        </is>
      </c>
      <c r="J2" s="6" t="inlineStr">
        <is>
          <t>MARZO</t>
        </is>
      </c>
      <c r="K2" s="6" t="inlineStr">
        <is>
          <t>APRILE</t>
        </is>
      </c>
      <c r="L2" s="8" t="inlineStr">
        <is>
          <t>MAGGIO</t>
        </is>
      </c>
      <c r="M2" s="8" t="inlineStr">
        <is>
          <t>GIUGNO</t>
        </is>
      </c>
      <c r="N2" s="8" t="inlineStr">
        <is>
          <t>LUGLIO</t>
        </is>
      </c>
      <c r="O2" s="8" t="inlineStr">
        <is>
          <t>AGOSTO</t>
        </is>
      </c>
      <c r="P2" s="8" t="inlineStr">
        <is>
          <t>SETTEMBRE</t>
        </is>
      </c>
      <c r="Q2" s="8" t="inlineStr">
        <is>
          <t>OTTOBRE</t>
        </is>
      </c>
      <c r="R2" s="8" t="inlineStr">
        <is>
          <t>NOVEMBRE</t>
        </is>
      </c>
      <c r="S2" s="8" t="inlineStr">
        <is>
          <t>DICEMBRE</t>
        </is>
      </c>
      <c r="T2" s="11" t="inlineStr">
        <is>
          <t>GENNAIO</t>
        </is>
      </c>
      <c r="U2" s="11" t="inlineStr">
        <is>
          <t>FEBBRAIO</t>
        </is>
      </c>
      <c r="V2" s="11" t="inlineStr">
        <is>
          <t>MARZO</t>
        </is>
      </c>
      <c r="W2" s="11" t="inlineStr">
        <is>
          <t>APRILE</t>
        </is>
      </c>
      <c r="X2" s="11" t="inlineStr">
        <is>
          <t>MAGGIO</t>
        </is>
      </c>
      <c r="Y2" s="11" t="inlineStr">
        <is>
          <t>GIUGNO</t>
        </is>
      </c>
    </row>
    <row r="3" ht="15.75" customHeight="1" s="69">
      <c r="A3" s="55" t="n"/>
      <c r="B3" s="21" t="inlineStr">
        <is>
          <t>Godimento Beni di Terzi</t>
        </is>
      </c>
      <c r="C3" s="17">
        <f>SUM(D3:Y3)</f>
        <v/>
      </c>
      <c r="D3" s="17">
        <f>SUM(D4:D134)</f>
        <v/>
      </c>
      <c r="E3" s="17">
        <f>SUM(E4:E134)</f>
        <v/>
      </c>
      <c r="F3" s="17">
        <f>SUM(F4:F134)</f>
        <v/>
      </c>
      <c r="G3" s="17">
        <f>SUM(G4:G134)</f>
        <v/>
      </c>
      <c r="H3" s="17">
        <f>SUM(H4:H134)</f>
        <v/>
      </c>
      <c r="I3" s="17">
        <f>SUM(I4:I134)</f>
        <v/>
      </c>
      <c r="J3" s="17">
        <f>SUM(J4:J134)</f>
        <v/>
      </c>
      <c r="K3" s="17">
        <f>SUM(K4:K134)</f>
        <v/>
      </c>
      <c r="L3" s="17">
        <f>SUM(L4:L134)</f>
        <v/>
      </c>
      <c r="M3" s="17">
        <f>SUM(M4:M134)</f>
        <v/>
      </c>
      <c r="N3" s="17">
        <f>SUM(N4:N134)</f>
        <v/>
      </c>
      <c r="O3" s="17">
        <f>SUM(O4:O134)</f>
        <v/>
      </c>
      <c r="P3" s="17">
        <f>SUM(P4:P134)</f>
        <v/>
      </c>
      <c r="Q3" s="17">
        <f>SUM(Q4:Q134)</f>
        <v/>
      </c>
      <c r="R3" s="17">
        <f>SUM(R4:R134)</f>
        <v/>
      </c>
      <c r="S3" s="17">
        <f>SUM(S4:S134)</f>
        <v/>
      </c>
      <c r="T3" s="17">
        <f>SUM(T4:T134)</f>
        <v/>
      </c>
      <c r="U3" s="17">
        <f>SUM(U4:U134)</f>
        <v/>
      </c>
      <c r="V3" s="17">
        <f>SUM(V4:V134)</f>
        <v/>
      </c>
      <c r="W3" s="17">
        <f>SUM(W4:W134)</f>
        <v/>
      </c>
      <c r="X3" s="17">
        <f>SUM(X4:X134)</f>
        <v/>
      </c>
      <c r="Y3" s="17">
        <f>SUM(Y4:Y134)</f>
        <v/>
      </c>
    </row>
    <row r="4" ht="15.75" customHeight="1" s="69">
      <c r="A4" s="58" t="n">
        <v>783</v>
      </c>
      <c r="B4" s="80" t="inlineStr">
        <is>
          <t>DELLA PIERTA PAOLA</t>
        </is>
      </c>
      <c r="C4" s="23">
        <f>SUM(D4:Y4)</f>
        <v/>
      </c>
      <c r="D4" s="23" t="n"/>
      <c r="E4" s="23" t="n"/>
      <c r="F4" s="23" t="n"/>
      <c r="G4" s="23" t="n"/>
      <c r="H4" s="25" t="n"/>
      <c r="I4" s="25" t="n"/>
      <c r="J4" s="25" t="n"/>
      <c r="K4" s="25" t="n"/>
      <c r="L4" s="25" t="n"/>
      <c r="M4" s="23" t="n"/>
      <c r="N4" s="25" t="n"/>
      <c r="O4" s="25" t="n"/>
      <c r="P4" s="23" t="n">
        <v>4650</v>
      </c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</row>
    <row r="5" ht="15.75" customHeight="1" s="69">
      <c r="A5" s="58" t="n">
        <v>782</v>
      </c>
      <c r="B5" s="80" t="inlineStr">
        <is>
          <t>DELLA PIETRA ANNAMARIA</t>
        </is>
      </c>
      <c r="C5" s="28">
        <f>SUM(D5:Y5)</f>
        <v/>
      </c>
      <c r="D5" s="28" t="n"/>
      <c r="E5" s="59" t="n"/>
      <c r="F5" s="28" t="n"/>
      <c r="G5" s="28" t="n"/>
      <c r="H5" s="28" t="n"/>
      <c r="I5" s="28" t="n"/>
      <c r="J5" s="28" t="n"/>
      <c r="K5" s="28" t="n"/>
      <c r="L5" s="28" t="n"/>
      <c r="M5" s="59" t="n"/>
      <c r="N5" s="28" t="n"/>
      <c r="O5" s="28" t="n"/>
      <c r="P5" s="28" t="n">
        <v>4650</v>
      </c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</row>
    <row r="6" ht="15.75" customHeight="1" s="69">
      <c r="A6" s="56" t="n"/>
      <c r="B6" s="61" t="n"/>
      <c r="C6" s="28">
        <f>SUM(D6:Y6)</f>
        <v/>
      </c>
      <c r="D6" s="59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</row>
    <row r="7" ht="15.75" customHeight="1" s="69">
      <c r="A7" s="56" t="n"/>
      <c r="B7" s="61" t="n"/>
      <c r="C7" s="28">
        <f>SUM(D7:Y7)</f>
        <v/>
      </c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</row>
    <row r="8" ht="15.75" customHeight="1" s="69">
      <c r="A8" s="2" t="n"/>
      <c r="B8" s="2" t="n"/>
      <c r="C8" s="59">
        <f>SUM(D8:Y8)</f>
        <v/>
      </c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</row>
    <row r="9" ht="15.75" customHeight="1" s="69">
      <c r="A9" s="2" t="n"/>
      <c r="B9" s="2" t="n"/>
      <c r="C9" s="59">
        <f>SUM(D9:Y9)</f>
        <v/>
      </c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</row>
    <row r="10" ht="15.75" customHeight="1" s="69">
      <c r="A10" s="56" t="n"/>
      <c r="B10" s="21" t="n"/>
      <c r="C10" s="59">
        <f>SUM(D10:Y10)</f>
        <v/>
      </c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</row>
    <row r="11" ht="15.75" customHeight="1" s="69">
      <c r="A11" s="56" t="n"/>
      <c r="B11" s="21" t="n"/>
      <c r="C11" s="59">
        <f>SUM(D11:Y11)</f>
        <v/>
      </c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</row>
    <row r="12" ht="15.75" customHeight="1" s="69">
      <c r="A12" s="56" t="n"/>
      <c r="B12" s="21" t="n"/>
      <c r="C12" s="59">
        <f>SUM(D12:Y12)</f>
        <v/>
      </c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59" t="n"/>
      <c r="Q12" s="59" t="n"/>
      <c r="R12" s="59" t="n"/>
      <c r="S12" s="59" t="n"/>
      <c r="T12" s="59" t="n"/>
      <c r="U12" s="59" t="n"/>
      <c r="V12" s="59" t="n"/>
      <c r="W12" s="59" t="n"/>
      <c r="X12" s="59" t="n"/>
      <c r="Y12" s="59" t="n"/>
    </row>
    <row r="13" ht="15.75" customHeight="1" s="69">
      <c r="A13" s="56" t="n"/>
      <c r="B13" s="21" t="n"/>
      <c r="C13" s="28">
        <f>SUM(D13:Y13)</f>
        <v/>
      </c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</row>
    <row r="14" ht="15.75" customHeight="1" s="69">
      <c r="A14" s="56" t="n"/>
      <c r="B14" s="21" t="n"/>
      <c r="C14" s="28">
        <f>SUM(D14:Y14)</f>
        <v/>
      </c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</row>
    <row r="15" ht="15.75" customHeight="1" s="69">
      <c r="A15" s="56" t="n"/>
      <c r="B15" s="2" t="n"/>
      <c r="C15" s="28">
        <f>SUM(D15:Y15)</f>
        <v/>
      </c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</row>
    <row r="16" ht="15.75" customHeight="1" s="69">
      <c r="A16" s="56" t="n"/>
      <c r="B16" s="2" t="n"/>
      <c r="C16" s="28">
        <f>SUM(D16:Y16)</f>
        <v/>
      </c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</row>
    <row r="17" ht="15.75" customHeight="1" s="69">
      <c r="A17" s="56" t="n"/>
      <c r="B17" s="2" t="n"/>
      <c r="C17" s="28">
        <f>SUM(D17:Y17)</f>
        <v/>
      </c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</row>
    <row r="18" ht="15.75" customHeight="1" s="69">
      <c r="A18" s="56" t="n"/>
      <c r="B18" s="2" t="n"/>
      <c r="C18" s="28">
        <f>SUM(D18:Y18)</f>
        <v/>
      </c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</row>
    <row r="19" ht="15.75" customHeight="1" s="69">
      <c r="A19" s="56" t="n"/>
      <c r="B19" s="2" t="n"/>
      <c r="C19" s="28">
        <f>SUM(D19:Y19)</f>
        <v/>
      </c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</row>
    <row r="20" ht="15.75" customHeight="1" s="69">
      <c r="A20" s="56" t="n"/>
      <c r="B20" s="2" t="n"/>
      <c r="C20" s="28">
        <f>SUM(D20:Y20)</f>
        <v/>
      </c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</row>
    <row r="21" ht="15.75" customHeight="1" s="69">
      <c r="A21" s="56" t="n"/>
      <c r="B21" s="2" t="n"/>
      <c r="C21" s="28">
        <f>SUM(D21:Y21)</f>
        <v/>
      </c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</row>
    <row r="22" ht="15.75" customHeight="1" s="69">
      <c r="A22" s="56" t="n"/>
      <c r="B22" s="2" t="n"/>
      <c r="C22" s="28">
        <f>SUM(D22:Y22)</f>
        <v/>
      </c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</row>
    <row r="23" ht="15.75" customHeight="1" s="69">
      <c r="A23" s="56" t="n"/>
      <c r="B23" s="2" t="n"/>
      <c r="C23" s="28">
        <f>SUM(D23:Y23)</f>
        <v/>
      </c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</row>
    <row r="24" ht="15.75" customHeight="1" s="69">
      <c r="A24" s="56" t="n"/>
      <c r="B24" s="2" t="n"/>
      <c r="C24" s="28">
        <f>SUM(D24:Y24)</f>
        <v/>
      </c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</row>
    <row r="25" ht="15.75" customHeight="1" s="69">
      <c r="A25" s="56" t="n"/>
      <c r="B25" s="2" t="n"/>
      <c r="C25" s="28">
        <f>SUM(D25:Y25)</f>
        <v/>
      </c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</row>
    <row r="26" ht="15.75" customHeight="1" s="69">
      <c r="A26" s="56" t="n"/>
      <c r="B26" s="2" t="n"/>
      <c r="C26" s="28">
        <f>SUM(D26:Y26)</f>
        <v/>
      </c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</row>
    <row r="27" ht="15.75" customHeight="1" s="69">
      <c r="A27" s="56" t="n"/>
      <c r="B27" s="2" t="n"/>
      <c r="C27" s="28">
        <f>SUM(D27:Y27)</f>
        <v/>
      </c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</row>
    <row r="28" ht="15.75" customHeight="1" s="69">
      <c r="A28" s="56" t="n"/>
      <c r="B28" s="2" t="n"/>
      <c r="C28" s="28">
        <f>SUM(D28:Y28)</f>
        <v/>
      </c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</row>
    <row r="29" ht="15.75" customHeight="1" s="69">
      <c r="A29" s="56" t="n"/>
      <c r="B29" s="2" t="n"/>
      <c r="C29" s="28">
        <f>SUM(D29:Y29)</f>
        <v/>
      </c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</row>
    <row r="30" ht="15.75" customHeight="1" s="69">
      <c r="A30" s="56" t="n"/>
      <c r="B30" s="2" t="n"/>
      <c r="C30" s="28">
        <f>SUM(D30:Y30)</f>
        <v/>
      </c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</row>
    <row r="31" ht="15.75" customHeight="1" s="69">
      <c r="A31" s="56" t="n"/>
      <c r="B31" s="2" t="n"/>
      <c r="C31" s="28">
        <f>SUM(D31:Y31)</f>
        <v/>
      </c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</row>
    <row r="32" ht="15.75" customHeight="1" s="69">
      <c r="A32" s="56" t="n"/>
      <c r="B32" s="2" t="n"/>
      <c r="C32" s="28">
        <f>SUM(D32:Y32)</f>
        <v/>
      </c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</row>
    <row r="33" ht="15.75" customHeight="1" s="69">
      <c r="A33" s="56" t="n"/>
      <c r="B33" s="2" t="n"/>
      <c r="C33" s="28">
        <f>SUM(D33:Y33)</f>
        <v/>
      </c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</row>
    <row r="34" ht="15.75" customHeight="1" s="69">
      <c r="A34" s="56" t="n"/>
      <c r="B34" s="2" t="n"/>
      <c r="C34" s="28">
        <f>SUM(D34:Y34)</f>
        <v/>
      </c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</row>
    <row r="35" ht="15.75" customHeight="1" s="69">
      <c r="A35" s="56" t="n"/>
      <c r="B35" s="2" t="n"/>
      <c r="C35" s="28">
        <f>SUM(D35:Y35)</f>
        <v/>
      </c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</row>
    <row r="36" ht="15.75" customHeight="1" s="69">
      <c r="A36" s="56" t="n"/>
      <c r="B36" s="2" t="n"/>
      <c r="C36" s="28">
        <f>SUM(D36:Y36)</f>
        <v/>
      </c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</row>
    <row r="37" ht="15.75" customHeight="1" s="69">
      <c r="A37" s="56" t="n"/>
      <c r="B37" s="2" t="n"/>
      <c r="C37" s="28">
        <f>SUM(D37:Y37)</f>
        <v/>
      </c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</row>
    <row r="38" ht="15.75" customHeight="1" s="69">
      <c r="A38" s="56" t="n"/>
      <c r="B38" s="2" t="n"/>
      <c r="C38" s="28">
        <f>SUM(D38:Y38)</f>
        <v/>
      </c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</row>
    <row r="39" ht="15.75" customHeight="1" s="69">
      <c r="A39" s="56" t="n"/>
      <c r="B39" s="2" t="n"/>
      <c r="C39" s="28">
        <f>SUM(D39:Y39)</f>
        <v/>
      </c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</row>
    <row r="40" ht="15.75" customHeight="1" s="69">
      <c r="A40" s="56" t="n"/>
      <c r="B40" s="2" t="n"/>
      <c r="C40" s="28">
        <f>SUM(D40:Y40)</f>
        <v/>
      </c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</row>
    <row r="41" ht="15.75" customHeight="1" s="69">
      <c r="A41" s="56" t="n"/>
      <c r="B41" s="2" t="n"/>
      <c r="C41" s="28">
        <f>SUM(D41:Y41)</f>
        <v/>
      </c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</row>
    <row r="42" ht="15.75" customHeight="1" s="69">
      <c r="A42" s="56" t="n"/>
      <c r="B42" s="2" t="n"/>
      <c r="C42" s="28">
        <f>SUM(D42:Y42)</f>
        <v/>
      </c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</row>
    <row r="43" ht="15.75" customHeight="1" s="69">
      <c r="A43" s="56" t="n"/>
      <c r="B43" s="2" t="n"/>
      <c r="C43" s="28">
        <f>SUM(D43:Y43)</f>
        <v/>
      </c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</row>
    <row r="44" ht="15.75" customHeight="1" s="69">
      <c r="A44" s="56" t="n"/>
      <c r="B44" s="2" t="n"/>
      <c r="C44" s="28">
        <f>SUM(D44:Y44)</f>
        <v/>
      </c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</row>
    <row r="45" ht="15.75" customHeight="1" s="69">
      <c r="A45" s="56" t="n"/>
      <c r="B45" s="2" t="n"/>
      <c r="C45" s="28">
        <f>SUM(D45:Y45)</f>
        <v/>
      </c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</row>
    <row r="46" ht="15.75" customHeight="1" s="69">
      <c r="A46" s="56" t="n"/>
      <c r="B46" s="2" t="n"/>
      <c r="C46" s="28">
        <f>SUM(D46:Y46)</f>
        <v/>
      </c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</row>
    <row r="47" ht="15.75" customHeight="1" s="69">
      <c r="A47" s="56" t="n"/>
      <c r="B47" s="2" t="n"/>
      <c r="C47" s="28">
        <f>SUM(D47:Y47)</f>
        <v/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</row>
    <row r="48" ht="15.75" customHeight="1" s="69">
      <c r="A48" s="56" t="n"/>
      <c r="B48" s="2" t="n"/>
      <c r="C48" s="28">
        <f>SUM(D48:Y48)</f>
        <v/>
      </c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</row>
    <row r="49" ht="15.75" customHeight="1" s="69">
      <c r="A49" s="56" t="n"/>
      <c r="B49" s="2" t="n"/>
      <c r="C49" s="28">
        <f>SUM(D49:Y49)</f>
        <v/>
      </c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</row>
    <row r="50" ht="15.75" customHeight="1" s="69">
      <c r="A50" s="56" t="n"/>
      <c r="B50" s="2" t="n"/>
      <c r="C50" s="28">
        <f>SUM(D50:Y50)</f>
        <v/>
      </c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</row>
    <row r="51" ht="15.75" customHeight="1" s="69">
      <c r="A51" s="56" t="n"/>
      <c r="B51" s="2" t="n"/>
      <c r="C51" s="28">
        <f>SUM(D51:Y51)</f>
        <v/>
      </c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</row>
    <row r="52" ht="15.75" customHeight="1" s="69">
      <c r="A52" s="56" t="n"/>
      <c r="B52" s="2" t="n"/>
      <c r="C52" s="28">
        <f>SUM(D52:Y52)</f>
        <v/>
      </c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</row>
    <row r="53" ht="15.75" customHeight="1" s="69">
      <c r="A53" s="56" t="n"/>
      <c r="B53" s="2" t="n"/>
      <c r="C53" s="28">
        <f>SUM(D53:Y53)</f>
        <v/>
      </c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</row>
    <row r="54" ht="15.75" customHeight="1" s="69">
      <c r="A54" s="56" t="n"/>
      <c r="B54" s="2" t="n"/>
      <c r="C54" s="28">
        <f>SUM(D54:Y54)</f>
        <v/>
      </c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</row>
    <row r="55" ht="15.75" customHeight="1" s="69">
      <c r="A55" s="56" t="n"/>
      <c r="B55" s="2" t="n"/>
      <c r="C55" s="28">
        <f>SUM(D55:Y55)</f>
        <v/>
      </c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</row>
    <row r="56" ht="15.75" customHeight="1" s="69">
      <c r="A56" s="56" t="n"/>
      <c r="B56" s="2" t="n"/>
      <c r="C56" s="28">
        <f>SUM(D56:Y56)</f>
        <v/>
      </c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</row>
    <row r="57" ht="15.75" customHeight="1" s="69">
      <c r="A57" s="56" t="n"/>
      <c r="B57" s="2" t="n"/>
      <c r="C57" s="28">
        <f>SUM(D57:Y57)</f>
        <v/>
      </c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</row>
    <row r="58" ht="15.75" customHeight="1" s="69">
      <c r="A58" s="56" t="n"/>
      <c r="B58" s="2" t="n"/>
      <c r="C58" s="28">
        <f>SUM(D58:Y58)</f>
        <v/>
      </c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</row>
    <row r="59" ht="15.75" customHeight="1" s="69">
      <c r="A59" s="56" t="n"/>
      <c r="B59" s="2" t="n"/>
      <c r="C59" s="28">
        <f>SUM(D59:Y59)</f>
        <v/>
      </c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</row>
    <row r="60" ht="15.75" customHeight="1" s="69">
      <c r="A60" s="56" t="n"/>
      <c r="B60" s="2" t="n"/>
      <c r="C60" s="28">
        <f>SUM(D60:Y60)</f>
        <v/>
      </c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</row>
    <row r="61" ht="15.75" customHeight="1" s="69">
      <c r="A61" s="56" t="n"/>
      <c r="B61" s="2" t="n"/>
      <c r="C61" s="28">
        <f>SUM(D61:Y61)</f>
        <v/>
      </c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</row>
    <row r="62" ht="15.75" customHeight="1" s="69">
      <c r="A62" s="56" t="n"/>
      <c r="B62" s="2" t="n"/>
      <c r="C62" s="28">
        <f>SUM(D62:Y62)</f>
        <v/>
      </c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</row>
    <row r="63" ht="15.75" customHeight="1" s="69">
      <c r="A63" s="56" t="n"/>
      <c r="B63" s="2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</row>
    <row r="64" ht="15.75" customHeight="1" s="69">
      <c r="A64" s="56" t="n"/>
      <c r="B64" s="2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</row>
    <row r="65" ht="15.75" customHeight="1" s="69">
      <c r="A65" s="56" t="n"/>
      <c r="B65" s="2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</row>
    <row r="66" ht="15.75" customHeight="1" s="69">
      <c r="A66" s="56" t="n"/>
      <c r="B66" s="2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</row>
    <row r="67" ht="15.75" customHeight="1" s="69">
      <c r="A67" s="56" t="n"/>
      <c r="B67" s="2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</row>
    <row r="68" ht="15.75" customHeight="1" s="69">
      <c r="A68" s="56" t="n"/>
      <c r="B68" s="2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</row>
    <row r="69" ht="15.75" customHeight="1" s="69">
      <c r="A69" s="56" t="n"/>
      <c r="B69" s="2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69">
      <c r="A70" s="56" t="n"/>
      <c r="B70" s="2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69">
      <c r="A71" s="56" t="n"/>
      <c r="B71" s="2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69">
      <c r="A72" s="56" t="n"/>
      <c r="B72" s="2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69">
      <c r="A73" s="56" t="n"/>
      <c r="B73" s="2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69">
      <c r="A74" s="56" t="n"/>
      <c r="B74" s="2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69">
      <c r="A75" s="56" t="n"/>
      <c r="B75" s="2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69">
      <c r="A76" s="56" t="n"/>
      <c r="B76" s="2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69">
      <c r="A77" s="56" t="n"/>
      <c r="B77" s="2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69">
      <c r="A78" s="56" t="n"/>
      <c r="B78" s="2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69">
      <c r="A79" s="56" t="n"/>
      <c r="B79" s="2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69">
      <c r="A80" s="56" t="n"/>
      <c r="B80" s="2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69">
      <c r="A81" s="56" t="n"/>
      <c r="B81" s="2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69">
      <c r="A82" s="56" t="n"/>
      <c r="B82" s="2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69">
      <c r="A83" s="56" t="n"/>
      <c r="B83" s="2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69">
      <c r="A84" s="56" t="n"/>
      <c r="B84" s="2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69">
      <c r="A85" s="56" t="n"/>
      <c r="B85" s="2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69">
      <c r="A86" s="56" t="n"/>
      <c r="B86" s="2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69">
      <c r="A87" s="56" t="n"/>
      <c r="B87" s="2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69">
      <c r="A88" s="56" t="n"/>
      <c r="B88" s="2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69">
      <c r="A89" s="56" t="n"/>
      <c r="B89" s="2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69">
      <c r="A90" s="56" t="n"/>
      <c r="B90" s="2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69">
      <c r="A91" s="56" t="n"/>
      <c r="B91" s="2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69">
      <c r="A92" s="56" t="n"/>
      <c r="B92" s="2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69">
      <c r="A93" s="56" t="n"/>
      <c r="B93" s="2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69">
      <c r="A94" s="56" t="n"/>
      <c r="B94" s="2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69">
      <c r="A95" s="56" t="n"/>
      <c r="B95" s="2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69">
      <c r="A96" s="56" t="n"/>
      <c r="B96" s="2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69">
      <c r="A97" s="56" t="n"/>
      <c r="B97" s="2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69">
      <c r="A98" s="56" t="n"/>
      <c r="B98" s="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69">
      <c r="A99" s="56" t="n"/>
      <c r="B99" s="2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69">
      <c r="A100" s="56" t="n"/>
      <c r="B100" s="2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69">
      <c r="A101" s="56" t="n"/>
      <c r="B101" s="2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69">
      <c r="A102" s="56" t="n"/>
      <c r="B102" s="2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69">
      <c r="A103" s="56" t="n"/>
      <c r="B103" s="2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69">
      <c r="A104" s="56" t="n"/>
      <c r="B104" s="2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69">
      <c r="A105" s="56" t="n"/>
      <c r="B105" s="2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69">
      <c r="A106" s="56" t="n"/>
      <c r="B106" s="2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69">
      <c r="A107" s="56" t="n"/>
      <c r="B107" s="2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69">
      <c r="A108" s="56" t="n"/>
      <c r="B108" s="2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69">
      <c r="A109" s="56" t="n"/>
      <c r="B109" s="2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69">
      <c r="A110" s="56" t="n"/>
      <c r="B110" s="2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69">
      <c r="A111" s="56" t="n"/>
      <c r="B111" s="2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69">
      <c r="A112" s="56" t="n"/>
      <c r="B112" s="2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69">
      <c r="A113" s="56" t="n"/>
      <c r="B113" s="2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69">
      <c r="A114" s="56" t="n"/>
      <c r="B114" s="2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69">
      <c r="A115" s="56" t="n"/>
      <c r="B115" s="2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69">
      <c r="A116" s="56" t="n"/>
      <c r="B116" s="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69">
      <c r="A117" s="56" t="n"/>
      <c r="B117" s="2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69">
      <c r="A118" s="56" t="n"/>
      <c r="B118" s="2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69">
      <c r="A119" s="56" t="n"/>
      <c r="B119" s="2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69">
      <c r="A120" s="56" t="n"/>
      <c r="B120" s="2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69">
      <c r="A121" s="56" t="n"/>
      <c r="B121" s="2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69">
      <c r="A122" s="56" t="n"/>
      <c r="B122" s="2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69">
      <c r="A123" s="56" t="n"/>
      <c r="B123" s="2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69">
      <c r="A124" s="56" t="n"/>
      <c r="B124" s="2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69">
      <c r="A125" s="56" t="n"/>
      <c r="B125" s="2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69">
      <c r="A126" s="56" t="n"/>
      <c r="B126" s="2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69">
      <c r="A127" s="56" t="n"/>
      <c r="B127" s="2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69">
      <c r="A128" s="56" t="n"/>
      <c r="B128" s="2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69">
      <c r="A129" s="56" t="n"/>
      <c r="B129" s="2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69">
      <c r="A130" s="56" t="n"/>
      <c r="B130" s="2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69">
      <c r="A131" s="56" t="n"/>
      <c r="B131" s="2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69">
      <c r="A132" s="56" t="n"/>
      <c r="B132" s="2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69">
      <c r="A133" s="56" t="n"/>
      <c r="B133" s="2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69">
      <c r="A134" s="56" t="n"/>
      <c r="B134" s="2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69">
      <c r="A135" s="56" t="n"/>
      <c r="B135" s="2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69">
      <c r="A136" s="56" t="n"/>
      <c r="B136" s="2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69">
      <c r="A137" s="56" t="n"/>
      <c r="B137" s="2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69">
      <c r="A138" s="56" t="n"/>
      <c r="B138" s="2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69">
      <c r="A139" s="56" t="n"/>
      <c r="B139" s="2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69">
      <c r="A140" s="56" t="n"/>
      <c r="B140" s="2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69">
      <c r="A141" s="56" t="n"/>
      <c r="B141" s="2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69">
      <c r="A142" s="56" t="n"/>
      <c r="B142" s="2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69">
      <c r="A143" s="56" t="n"/>
      <c r="B143" s="2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69">
      <c r="A144" s="56" t="n"/>
      <c r="B144" s="2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69">
      <c r="A145" s="56" t="n"/>
      <c r="B145" s="2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69">
      <c r="A146" s="56" t="n"/>
      <c r="B146" s="2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69">
      <c r="A147" s="56" t="n"/>
      <c r="B147" s="2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69">
      <c r="A148" s="56" t="n"/>
      <c r="B148" s="2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69">
      <c r="A149" s="56" t="n"/>
      <c r="B149" s="2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69">
      <c r="A150" s="56" t="n"/>
      <c r="B150" s="2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69">
      <c r="A151" s="56" t="n"/>
      <c r="B151" s="2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69">
      <c r="A152" s="56" t="n"/>
      <c r="B152" s="2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69">
      <c r="A153" s="56" t="n"/>
      <c r="B153" s="2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69">
      <c r="A154" s="56" t="n"/>
      <c r="B154" s="2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69">
      <c r="A155" s="56" t="n"/>
      <c r="B155" s="2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69">
      <c r="A156" s="56" t="n"/>
      <c r="B156" s="2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69">
      <c r="A157" s="56" t="n"/>
      <c r="B157" s="2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69">
      <c r="A158" s="56" t="n"/>
      <c r="B158" s="2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69">
      <c r="A159" s="56" t="n"/>
      <c r="B159" s="2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69">
      <c r="A160" s="56" t="n"/>
      <c r="B160" s="2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69">
      <c r="A161" s="56" t="n"/>
      <c r="B161" s="2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69">
      <c r="A162" s="56" t="n"/>
      <c r="B162" s="2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69">
      <c r="A163" s="56" t="n"/>
      <c r="B163" s="2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69">
      <c r="A164" s="56" t="n"/>
      <c r="B164" s="2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69">
      <c r="A165" s="56" t="n"/>
      <c r="B165" s="2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69">
      <c r="A166" s="56" t="n"/>
      <c r="B166" s="2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69">
      <c r="A167" s="56" t="n"/>
      <c r="B167" s="2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69">
      <c r="A168" s="56" t="n"/>
      <c r="B168" s="2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69">
      <c r="A169" s="56" t="n"/>
      <c r="B169" s="2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69">
      <c r="A170" s="56" t="n"/>
      <c r="B170" s="2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69">
      <c r="A171" s="56" t="n"/>
      <c r="B171" s="2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69">
      <c r="A172" s="56" t="n"/>
      <c r="B172" s="2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69">
      <c r="A173" s="56" t="n"/>
      <c r="B173" s="2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69">
      <c r="A174" s="56" t="n"/>
      <c r="B174" s="2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69">
      <c r="A175" s="56" t="n"/>
      <c r="B175" s="2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69">
      <c r="A176" s="56" t="n"/>
      <c r="B176" s="2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69">
      <c r="A177" s="56" t="n"/>
      <c r="B177" s="2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69">
      <c r="A178" s="56" t="n"/>
      <c r="B178" s="2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69">
      <c r="A179" s="56" t="n"/>
      <c r="B179" s="2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69">
      <c r="A180" s="56" t="n"/>
      <c r="B180" s="2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69">
      <c r="A181" s="56" t="n"/>
      <c r="B181" s="2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69">
      <c r="A182" s="56" t="n"/>
      <c r="B182" s="2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69">
      <c r="A183" s="56" t="n"/>
      <c r="B183" s="2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69">
      <c r="A184" s="56" t="n"/>
      <c r="B184" s="2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69">
      <c r="A185" s="56" t="n"/>
      <c r="B185" s="2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69">
      <c r="A186" s="56" t="n"/>
      <c r="B186" s="2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69">
      <c r="A187" s="56" t="n"/>
      <c r="B187" s="2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69">
      <c r="A188" s="56" t="n"/>
      <c r="B188" s="2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69">
      <c r="A189" s="56" t="n"/>
      <c r="B189" s="2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69">
      <c r="A190" s="56" t="n"/>
      <c r="B190" s="2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69">
      <c r="A191" s="56" t="n"/>
      <c r="B191" s="2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69">
      <c r="A192" s="56" t="n"/>
      <c r="B192" s="2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69">
      <c r="A193" s="56" t="n"/>
      <c r="B193" s="2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69">
      <c r="A194" s="56" t="n"/>
      <c r="B194" s="2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69">
      <c r="A195" s="56" t="n"/>
      <c r="B195" s="2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69">
      <c r="A196" s="56" t="n"/>
      <c r="B196" s="2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69">
      <c r="A197" s="56" t="n"/>
      <c r="B197" s="2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69">
      <c r="A198" s="56" t="n"/>
      <c r="B198" s="2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69">
      <c r="A199" s="56" t="n"/>
      <c r="B199" s="2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69">
      <c r="A200" s="56" t="n"/>
      <c r="B200" s="2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69">
      <c r="A201" s="56" t="n"/>
      <c r="B201" s="2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69">
      <c r="A202" s="56" t="n"/>
      <c r="B202" s="2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69">
      <c r="A203" s="56" t="n"/>
      <c r="B203" s="2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69">
      <c r="A204" s="56" t="n"/>
      <c r="B204" s="2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69">
      <c r="A205" s="56" t="n"/>
      <c r="B205" s="2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69">
      <c r="A206" s="56" t="n"/>
      <c r="B206" s="2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69">
      <c r="A207" s="56" t="n"/>
      <c r="B207" s="2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69">
      <c r="A208" s="56" t="n"/>
      <c r="B208" s="2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69">
      <c r="A209" s="56" t="n"/>
      <c r="B209" s="2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69">
      <c r="A210" s="56" t="n"/>
      <c r="B210" s="2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69">
      <c r="A211" s="56" t="n"/>
      <c r="B211" s="2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69">
      <c r="A212" s="56" t="n"/>
      <c r="B212" s="2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69">
      <c r="A213" s="56" t="n"/>
      <c r="B213" s="2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69">
      <c r="A214" s="56" t="n"/>
      <c r="B214" s="2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69">
      <c r="A215" s="56" t="n"/>
      <c r="B215" s="2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69">
      <c r="A216" s="56" t="n"/>
      <c r="B216" s="2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69">
      <c r="A217" s="56" t="n"/>
      <c r="B217" s="2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69">
      <c r="A218" s="56" t="n"/>
      <c r="B218" s="2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69">
      <c r="A219" s="56" t="n"/>
      <c r="B219" s="2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69">
      <c r="A220" s="56" t="n"/>
      <c r="B220" s="2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69">
      <c r="A221" s="56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69">
      <c r="A222" s="56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69">
      <c r="A223" s="56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69">
      <c r="A224" s="56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69">
      <c r="A225" s="56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69">
      <c r="A226" s="56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69">
      <c r="A227" s="56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69">
      <c r="A228" s="56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69">
      <c r="A229" s="56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69">
      <c r="A230" s="56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69">
      <c r="A231" s="56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69">
      <c r="A232" s="56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69">
      <c r="A233" s="56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69">
      <c r="A234" s="56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69">
      <c r="A235" s="56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69">
      <c r="A236" s="56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69">
      <c r="A237" s="56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69">
      <c r="A238" s="56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69">
      <c r="A239" s="56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69">
      <c r="A240" s="56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69">
      <c r="A241" s="56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69">
      <c r="A242" s="56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69">
      <c r="A243" s="56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69">
      <c r="A244" s="56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69">
      <c r="A245" s="56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69">
      <c r="A246" s="56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69">
      <c r="A247" s="56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69">
      <c r="A248" s="56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69">
      <c r="A249" s="56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69">
      <c r="A250" s="56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69">
      <c r="A251" s="56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69">
      <c r="A252" s="56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69">
      <c r="A253" s="56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69">
      <c r="A254" s="56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69">
      <c r="A255" s="56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69">
      <c r="A256" s="56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69">
      <c r="A257" s="56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69">
      <c r="A258" s="56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69">
      <c r="A259" s="56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69">
      <c r="A260" s="56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 ht="15.75" customHeight="1" s="69">
      <c r="A261" s="56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 ht="15.75" customHeight="1" s="69">
      <c r="A262" s="56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3">
    <mergeCell ref="T1:Y1"/>
    <mergeCell ref="H1:S1"/>
    <mergeCell ref="D1:G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tabColor rgb="FFE06666"/>
    <outlinePr summaryBelow="1" summaryRight="1"/>
    <pageSetUpPr/>
  </sheetPr>
  <dimension ref="A1:Y261"/>
  <sheetViews>
    <sheetView workbookViewId="0">
      <selection activeCell="D2" sqref="D1:L1048576"/>
    </sheetView>
  </sheetViews>
  <sheetFormatPr baseColWidth="8" defaultColWidth="11.25" defaultRowHeight="15" customHeight="1"/>
  <cols>
    <col width="4.875" bestFit="1" customWidth="1" style="69" min="1" max="1"/>
    <col width="38" bestFit="1" customWidth="1" style="69" min="2" max="2"/>
    <col width="9" bestFit="1" customWidth="1" style="69" min="3" max="3"/>
    <col hidden="1" width="10.5" customWidth="1" style="69" min="4" max="4"/>
    <col hidden="1" width="8.625" customWidth="1" style="69" min="5" max="5"/>
    <col hidden="1" width="10.375" customWidth="1" style="69" min="6" max="6"/>
    <col hidden="1" width="9.625" customWidth="1" style="69" min="7" max="7"/>
    <col hidden="1" width="8.625" customWidth="1" style="69" min="8" max="8"/>
    <col hidden="1" width="9.25" customWidth="1" style="69" min="9" max="9"/>
    <col hidden="1" width="7" customWidth="1" style="69" min="10" max="10"/>
    <col hidden="1" width="6.625" customWidth="1" style="69" min="11" max="11"/>
    <col hidden="1" width="9.125" customWidth="1" style="69" min="12" max="12"/>
    <col hidden="1" width="9.125" bestFit="1" customWidth="1" style="69" min="13" max="13"/>
    <col hidden="1" width="8.625" bestFit="1" customWidth="1" style="69" min="14" max="14"/>
    <col hidden="1" width="10.125" bestFit="1" customWidth="1" style="69" min="15" max="15"/>
    <col width="13.875" bestFit="1" customWidth="1" style="69" min="16" max="16"/>
    <col width="11" bestFit="1" customWidth="1" style="69" min="17" max="17"/>
    <col width="12.875" bestFit="1" customWidth="1" style="69" min="18" max="18"/>
    <col width="12" bestFit="1" customWidth="1" style="69" min="19" max="19"/>
    <col width="10.375" bestFit="1" customWidth="1" style="69" min="20" max="20"/>
    <col width="11.625" bestFit="1" customWidth="1" style="69" min="21" max="21"/>
    <col width="8.25" bestFit="1" customWidth="1" style="69" min="22" max="22"/>
    <col width="8.5" bestFit="1" customWidth="1" style="69" min="23" max="23"/>
    <col width="9.125" bestFit="1" customWidth="1" style="69" min="24" max="25"/>
    <col width="8.625" customWidth="1" style="69" min="26" max="26"/>
  </cols>
  <sheetData>
    <row r="1" ht="15.75" customHeight="1" s="69">
      <c r="A1" s="1" t="n"/>
      <c r="B1" s="1" t="n"/>
      <c r="C1" s="3" t="n"/>
      <c r="D1" s="79" t="n">
        <v>2025</v>
      </c>
      <c r="E1" s="73" t="n"/>
      <c r="F1" s="73" t="n"/>
      <c r="G1" s="73" t="n"/>
      <c r="H1" s="78" t="n">
        <v>2026</v>
      </c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7" t="n">
        <v>2027</v>
      </c>
      <c r="U1" s="73" t="n"/>
      <c r="V1" s="73" t="n"/>
      <c r="W1" s="73" t="n"/>
      <c r="X1" s="73" t="n"/>
      <c r="Y1" s="74" t="n"/>
    </row>
    <row r="2" ht="15.75" customHeight="1" s="69">
      <c r="A2" s="1" t="n"/>
      <c r="B2" s="1" t="n"/>
      <c r="C2" s="3" t="n"/>
      <c r="D2" s="7" t="inlineStr">
        <is>
          <t>SETTEMBRE</t>
        </is>
      </c>
      <c r="E2" s="7" t="inlineStr">
        <is>
          <t>OTTOBRE</t>
        </is>
      </c>
      <c r="F2" s="7" t="inlineStr">
        <is>
          <t>NOVEMBRE</t>
        </is>
      </c>
      <c r="G2" s="7" t="inlineStr">
        <is>
          <t>DICEMBRE</t>
        </is>
      </c>
      <c r="H2" s="6" t="inlineStr">
        <is>
          <t>GENNAIO</t>
        </is>
      </c>
      <c r="I2" s="6" t="inlineStr">
        <is>
          <t>FEBBRAIO</t>
        </is>
      </c>
      <c r="J2" s="6" t="inlineStr">
        <is>
          <t>MARZO</t>
        </is>
      </c>
      <c r="K2" s="6" t="inlineStr">
        <is>
          <t>APRILE</t>
        </is>
      </c>
      <c r="L2" s="8" t="inlineStr">
        <is>
          <t>MAGGIO</t>
        </is>
      </c>
      <c r="M2" s="8" t="inlineStr">
        <is>
          <t>GIUGNO</t>
        </is>
      </c>
      <c r="N2" s="8" t="inlineStr">
        <is>
          <t>LUGLIO</t>
        </is>
      </c>
      <c r="O2" s="8" t="inlineStr">
        <is>
          <t>AGOSTO</t>
        </is>
      </c>
      <c r="P2" s="8" t="inlineStr">
        <is>
          <t>SETTEMBRE</t>
        </is>
      </c>
      <c r="Q2" s="8" t="inlineStr">
        <is>
          <t>OTTOBRE</t>
        </is>
      </c>
      <c r="R2" s="8" t="inlineStr">
        <is>
          <t>NOVEMBRE</t>
        </is>
      </c>
      <c r="S2" s="8" t="inlineStr">
        <is>
          <t>DICEMBRE</t>
        </is>
      </c>
      <c r="T2" s="11" t="inlineStr">
        <is>
          <t>GENNAIO</t>
        </is>
      </c>
      <c r="U2" s="11" t="inlineStr">
        <is>
          <t>FEBBRAIO</t>
        </is>
      </c>
      <c r="V2" s="11" t="inlineStr">
        <is>
          <t>MARZO</t>
        </is>
      </c>
      <c r="W2" s="11" t="inlineStr">
        <is>
          <t>APRILE</t>
        </is>
      </c>
      <c r="X2" s="11" t="inlineStr">
        <is>
          <t>MAGGIO</t>
        </is>
      </c>
      <c r="Y2" s="11" t="inlineStr">
        <is>
          <t>GIUGNO</t>
        </is>
      </c>
    </row>
    <row r="3" ht="15.75" customHeight="1" s="69">
      <c r="A3" s="15" t="n"/>
      <c r="B3" s="15" t="inlineStr">
        <is>
          <t>Canoni e servizi</t>
        </is>
      </c>
      <c r="C3" s="17">
        <f>SUM(D3:Y3)</f>
        <v/>
      </c>
      <c r="D3" s="17">
        <f>SUM(D4:D132)</f>
        <v/>
      </c>
      <c r="E3" s="17">
        <f>SUM(E4:E132)</f>
        <v/>
      </c>
      <c r="F3" s="17">
        <f>SUM(F4:F132)</f>
        <v/>
      </c>
      <c r="G3" s="17">
        <f>SUM(G4:G132)</f>
        <v/>
      </c>
      <c r="H3" s="17">
        <f>SUM(H4:H132)</f>
        <v/>
      </c>
      <c r="I3" s="17">
        <f>SUM(I4:I132)</f>
        <v/>
      </c>
      <c r="J3" s="17">
        <f>SUM(J4:J132)</f>
        <v/>
      </c>
      <c r="K3" s="17">
        <f>SUM(K4:K132)</f>
        <v/>
      </c>
      <c r="L3" s="17">
        <f>SUM(L4:L132)</f>
        <v/>
      </c>
      <c r="M3" s="17">
        <f>SUM(M4:M132)</f>
        <v/>
      </c>
      <c r="N3" s="17">
        <f>SUM(N4:N132)</f>
        <v/>
      </c>
      <c r="O3" s="17">
        <f>SUM(O4:O132)</f>
        <v/>
      </c>
      <c r="P3" s="17">
        <f>SUM(P4:P132)</f>
        <v/>
      </c>
      <c r="Q3" s="17">
        <f>SUM(Q4:Q132)</f>
        <v/>
      </c>
      <c r="R3" s="17">
        <f>SUM(R4:R132)</f>
        <v/>
      </c>
      <c r="S3" s="17">
        <f>SUM(S4:S132)</f>
        <v/>
      </c>
      <c r="T3" s="17">
        <f>SUM(T4:T132)</f>
        <v/>
      </c>
      <c r="U3" s="17">
        <f>SUM(U4:U132)</f>
        <v/>
      </c>
      <c r="V3" s="17">
        <f>SUM(V4:V132)</f>
        <v/>
      </c>
      <c r="W3" s="17">
        <f>SUM(W4:W132)</f>
        <v/>
      </c>
      <c r="X3" s="17">
        <f>SUM(X4:X132)</f>
        <v/>
      </c>
      <c r="Y3" s="17">
        <f>SUM(Y4:Y132)</f>
        <v/>
      </c>
    </row>
    <row r="4" ht="15.75" customHeight="1" s="69">
      <c r="A4" s="2" t="n"/>
      <c r="B4" s="21" t="inlineStr">
        <is>
          <t>Pin App</t>
        </is>
      </c>
      <c r="C4" s="23">
        <f>SUM(D4:Y4)</f>
        <v/>
      </c>
      <c r="D4" s="23" t="n"/>
      <c r="E4" s="23" t="n"/>
      <c r="F4" s="23" t="n">
        <v>0</v>
      </c>
      <c r="G4" s="23" t="n"/>
      <c r="H4" s="23" t="n">
        <v>0</v>
      </c>
      <c r="I4" s="25" t="n"/>
      <c r="J4" s="25" t="n"/>
      <c r="K4" s="25" t="n"/>
      <c r="L4" s="25" t="n"/>
      <c r="M4" s="25" t="n"/>
      <c r="N4" s="25" t="n"/>
      <c r="O4" s="25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</row>
    <row r="5" ht="15.75" customHeight="1" s="69">
      <c r="A5" s="2" t="n"/>
      <c r="B5" s="21" t="inlineStr">
        <is>
          <t>Spiagge</t>
        </is>
      </c>
      <c r="C5" s="28">
        <f>SUM(D5:Y5)</f>
        <v/>
      </c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59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</row>
    <row r="6" ht="15.75" customHeight="1" s="69">
      <c r="A6" s="2" t="n"/>
      <c r="B6" s="21" t="inlineStr">
        <is>
          <t>Spese Bancarie</t>
        </is>
      </c>
      <c r="C6" s="28">
        <f>SUM(D6:Y6)</f>
        <v/>
      </c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</row>
    <row r="7" ht="15.75" customHeight="1" s="69">
      <c r="A7" s="2" t="n"/>
      <c r="B7" s="21" t="inlineStr">
        <is>
          <t>Banca sella - canone e-commerce RID</t>
        </is>
      </c>
      <c r="C7" s="28">
        <f>SUM(D7:Y7)</f>
        <v/>
      </c>
      <c r="D7" s="28" t="n"/>
      <c r="E7" s="59" t="n"/>
      <c r="F7" s="59" t="n"/>
      <c r="G7" s="59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</row>
    <row r="8" ht="15.75" customHeight="1" s="69">
      <c r="A8" s="2" t="n">
        <v>1558</v>
      </c>
      <c r="B8" s="21" t="inlineStr">
        <is>
          <t>Oliva Coperture</t>
        </is>
      </c>
      <c r="C8" s="59">
        <f>SUM(D8:Y8)</f>
        <v/>
      </c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</row>
    <row r="9" ht="15.75" customHeight="1" s="69">
      <c r="A9" s="2" t="n">
        <v>15</v>
      </c>
      <c r="B9" s="21" t="inlineStr">
        <is>
          <t>Altamira Srl</t>
        </is>
      </c>
      <c r="C9" s="59">
        <f>SUM(D9:Y9)</f>
        <v/>
      </c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</row>
    <row r="10" ht="15.75" customHeight="1" s="69">
      <c r="A10" s="2" t="n">
        <v>52</v>
      </c>
      <c r="B10" s="21" t="inlineStr">
        <is>
          <t>Aruba S.p.A.</t>
        </is>
      </c>
      <c r="C10" s="59">
        <f>SUM(D10:Y10)</f>
        <v/>
      </c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</row>
    <row r="11" ht="15.75" customHeight="1" s="69">
      <c r="A11" s="2" t="n">
        <v>16</v>
      </c>
      <c r="B11" s="21" t="inlineStr">
        <is>
          <t>SOFTWARE STUDIO S.R.L.</t>
        </is>
      </c>
      <c r="C11" s="59">
        <f>SUM(D11:Y11)</f>
        <v/>
      </c>
      <c r="D11" s="28" t="n"/>
      <c r="E11" s="59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>
        <v>475.8</v>
      </c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</row>
    <row r="12" ht="15.75" customHeight="1" s="69">
      <c r="A12" s="2" t="n"/>
      <c r="B12" s="21" t="inlineStr">
        <is>
          <t>Amalfi Web</t>
        </is>
      </c>
      <c r="C12" s="28">
        <f>SUM(D12:Y12)</f>
        <v/>
      </c>
      <c r="D12" s="28" t="n"/>
      <c r="E12" s="28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</row>
    <row r="13" ht="15.75" customHeight="1" s="69">
      <c r="A13" s="2" t="n"/>
      <c r="B13" s="21" t="inlineStr">
        <is>
          <t>Commissioni Pos</t>
        </is>
      </c>
      <c r="C13" s="28">
        <f>SUM(D13:Y13)</f>
        <v/>
      </c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</row>
    <row r="14" ht="15.75" customHeight="1" s="69">
      <c r="A14" s="2" t="n">
        <v>1069</v>
      </c>
      <c r="B14" s="21" t="inlineStr">
        <is>
          <t>TOPWHITE DI DANIELE RAVELLI</t>
        </is>
      </c>
      <c r="C14" s="28">
        <f>SUM(D14:Y14)</f>
        <v/>
      </c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</row>
    <row r="15" ht="15.75" customHeight="1" s="69">
      <c r="A15" s="2" t="n"/>
      <c r="B15" s="21" t="n"/>
      <c r="C15" s="28">
        <f>SUM(D15:Y15)</f>
        <v/>
      </c>
      <c r="D15" s="28" t="n"/>
      <c r="E15" s="59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</row>
    <row r="16" ht="15.75" customHeight="1" s="69">
      <c r="A16" s="2" t="n"/>
      <c r="B16" s="21" t="n"/>
      <c r="C16" s="28">
        <f>SUM(D16:Y16)</f>
        <v/>
      </c>
      <c r="D16" s="28" t="n"/>
      <c r="E16" s="59" t="n"/>
      <c r="F16" s="59" t="n"/>
      <c r="G16" s="59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</row>
    <row r="17" ht="15.75" customHeight="1" s="69">
      <c r="A17" s="2" t="n"/>
      <c r="B17" s="2" t="n"/>
      <c r="C17" s="28">
        <f>SUM(D17:Y17)</f>
        <v/>
      </c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</row>
    <row r="18" ht="15.75" customHeight="1" s="69">
      <c r="A18" s="2" t="n"/>
      <c r="B18" s="2" t="n"/>
      <c r="C18" s="28">
        <f>SUM(D18:Y18)</f>
        <v/>
      </c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</row>
    <row r="19" ht="15.75" customHeight="1" s="69">
      <c r="A19" s="2" t="n"/>
      <c r="B19" s="2" t="n"/>
      <c r="C19" s="28">
        <f>SUM(D19:Y19)</f>
        <v/>
      </c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</row>
    <row r="20" ht="15.75" customHeight="1" s="69">
      <c r="A20" s="2" t="n"/>
      <c r="B20" s="2" t="n"/>
      <c r="C20" s="28">
        <f>SUM(D20:Y20)</f>
        <v/>
      </c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</row>
    <row r="21" ht="15.75" customHeight="1" s="69">
      <c r="A21" s="2" t="n"/>
      <c r="B21" s="2" t="n"/>
      <c r="C21" s="28">
        <f>SUM(D21:Y21)</f>
        <v/>
      </c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</row>
    <row r="22" ht="15.75" customHeight="1" s="69">
      <c r="A22" s="2" t="n"/>
      <c r="B22" s="2" t="n"/>
      <c r="C22" s="28">
        <f>SUM(D22:Y22)</f>
        <v/>
      </c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</row>
    <row r="23" ht="15.75" customHeight="1" s="69">
      <c r="A23" s="2" t="n"/>
      <c r="B23" s="2" t="n"/>
      <c r="C23" s="28">
        <f>SUM(D23:Y23)</f>
        <v/>
      </c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</row>
    <row r="24" ht="15.75" customHeight="1" s="69">
      <c r="A24" s="2" t="n"/>
      <c r="B24" s="2" t="n"/>
      <c r="C24" s="28">
        <f>SUM(D24:Y24)</f>
        <v/>
      </c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</row>
    <row r="25" ht="15.75" customHeight="1" s="69">
      <c r="A25" s="2" t="n"/>
      <c r="B25" s="2" t="n"/>
      <c r="C25" s="28">
        <f>SUM(D25:Y25)</f>
        <v/>
      </c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</row>
    <row r="26" ht="15.75" customHeight="1" s="69">
      <c r="A26" s="2" t="n"/>
      <c r="B26" s="2" t="n"/>
      <c r="C26" s="28">
        <f>SUM(D26:Y26)</f>
        <v/>
      </c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</row>
    <row r="27" ht="15.75" customHeight="1" s="69">
      <c r="A27" s="2" t="n"/>
      <c r="B27" s="2" t="n"/>
      <c r="C27" s="28">
        <f>SUM(D27:Y27)</f>
        <v/>
      </c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</row>
    <row r="28" ht="15.75" customHeight="1" s="69">
      <c r="A28" s="2" t="n"/>
      <c r="B28" s="2" t="n"/>
      <c r="C28" s="28">
        <f>SUM(D28:Y28)</f>
        <v/>
      </c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</row>
    <row r="29" ht="15.75" customHeight="1" s="69">
      <c r="A29" s="2" t="n"/>
      <c r="B29" s="2" t="n"/>
      <c r="C29" s="28">
        <f>SUM(D29:Y29)</f>
        <v/>
      </c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</row>
    <row r="30" ht="15.75" customHeight="1" s="69">
      <c r="A30" s="2" t="n"/>
      <c r="B30" s="2" t="n"/>
      <c r="C30" s="28">
        <f>SUM(D30:Y30)</f>
        <v/>
      </c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</row>
    <row r="31" ht="15.75" customHeight="1" s="69">
      <c r="A31" s="2" t="n"/>
      <c r="B31" s="2" t="n"/>
      <c r="C31" s="28">
        <f>SUM(D31:Y31)</f>
        <v/>
      </c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</row>
    <row r="32" ht="15.75" customHeight="1" s="69">
      <c r="A32" s="2" t="n"/>
      <c r="B32" s="2" t="n"/>
      <c r="C32" s="28">
        <f>SUM(D32:Y32)</f>
        <v/>
      </c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</row>
    <row r="33" ht="15.75" customHeight="1" s="69">
      <c r="A33" s="2" t="n"/>
      <c r="B33" s="2" t="n"/>
      <c r="C33" s="28">
        <f>SUM(D33:Y33)</f>
        <v/>
      </c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</row>
    <row r="34" ht="15.75" customHeight="1" s="69">
      <c r="A34" s="2" t="n"/>
      <c r="B34" s="2" t="n"/>
      <c r="C34" s="28">
        <f>SUM(D34:Y34)</f>
        <v/>
      </c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</row>
    <row r="35" ht="15.75" customHeight="1" s="69">
      <c r="A35" s="2" t="n"/>
      <c r="B35" s="2" t="n"/>
      <c r="C35" s="28">
        <f>SUM(D35:Y35)</f>
        <v/>
      </c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</row>
    <row r="36" ht="15.75" customHeight="1" s="69">
      <c r="A36" s="2" t="n"/>
      <c r="B36" s="2" t="n"/>
      <c r="C36" s="28">
        <f>SUM(D36:Y36)</f>
        <v/>
      </c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</row>
    <row r="37" ht="15.75" customHeight="1" s="69">
      <c r="A37" s="2" t="n"/>
      <c r="B37" s="2" t="n"/>
      <c r="C37" s="28">
        <f>SUM(D37:Y37)</f>
        <v/>
      </c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</row>
    <row r="38" ht="15.75" customHeight="1" s="69">
      <c r="A38" s="2" t="n"/>
      <c r="B38" s="2" t="n"/>
      <c r="C38" s="28">
        <f>SUM(D38:Y38)</f>
        <v/>
      </c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</row>
    <row r="39" ht="15.75" customHeight="1" s="69">
      <c r="A39" s="2" t="n"/>
      <c r="B39" s="2" t="n"/>
      <c r="C39" s="28">
        <f>SUM(D39:Y39)</f>
        <v/>
      </c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</row>
    <row r="40" ht="15.75" customHeight="1" s="69">
      <c r="A40" s="2" t="n"/>
      <c r="B40" s="2" t="n"/>
      <c r="C40" s="28">
        <f>SUM(D40:Y40)</f>
        <v/>
      </c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</row>
    <row r="41" ht="15.75" customHeight="1" s="69">
      <c r="A41" s="2" t="n"/>
      <c r="B41" s="2" t="n"/>
      <c r="C41" s="28">
        <f>SUM(D41:Y41)</f>
        <v/>
      </c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</row>
    <row r="42" ht="15.75" customHeight="1" s="69">
      <c r="A42" s="2" t="n"/>
      <c r="B42" s="2" t="n"/>
      <c r="C42" s="28">
        <f>SUM(D42:Y42)</f>
        <v/>
      </c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</row>
    <row r="43" ht="15.75" customHeight="1" s="69">
      <c r="A43" s="2" t="n"/>
      <c r="B43" s="2" t="n"/>
      <c r="C43" s="28">
        <f>SUM(D43:Y43)</f>
        <v/>
      </c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</row>
    <row r="44" ht="15.75" customHeight="1" s="69">
      <c r="A44" s="2" t="n"/>
      <c r="B44" s="2" t="n"/>
      <c r="C44" s="28">
        <f>SUM(D44:Y44)</f>
        <v/>
      </c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</row>
    <row r="45" ht="15.75" customHeight="1" s="69">
      <c r="A45" s="2" t="n"/>
      <c r="B45" s="2" t="n"/>
      <c r="C45" s="28">
        <f>SUM(D45:Y45)</f>
        <v/>
      </c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</row>
    <row r="46" ht="15.75" customHeight="1" s="69">
      <c r="A46" s="2" t="n"/>
      <c r="B46" s="2" t="n"/>
      <c r="C46" s="28">
        <f>SUM(D46:Y46)</f>
        <v/>
      </c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</row>
    <row r="47" ht="15.75" customHeight="1" s="69">
      <c r="A47" s="2" t="n"/>
      <c r="B47" s="2" t="n"/>
      <c r="C47" s="28">
        <f>SUM(D47:Y47)</f>
        <v/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</row>
    <row r="48" ht="15.75" customHeight="1" s="69">
      <c r="A48" s="2" t="n"/>
      <c r="B48" s="2" t="n"/>
      <c r="C48" s="28">
        <f>SUM(D48:Y48)</f>
        <v/>
      </c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</row>
    <row r="49" ht="15.75" customHeight="1" s="69">
      <c r="A49" s="2" t="n"/>
      <c r="B49" s="2" t="n"/>
      <c r="C49" s="28">
        <f>SUM(D49:Y49)</f>
        <v/>
      </c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</row>
    <row r="50" ht="15.75" customHeight="1" s="69">
      <c r="A50" s="2" t="n"/>
      <c r="B50" s="2" t="n"/>
      <c r="C50" s="28">
        <f>SUM(D50:Y50)</f>
        <v/>
      </c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</row>
    <row r="51" ht="15.75" customHeight="1" s="69">
      <c r="A51" s="2" t="n"/>
      <c r="B51" s="2" t="n"/>
      <c r="C51" s="28">
        <f>SUM(D51:Y51)</f>
        <v/>
      </c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</row>
    <row r="52" ht="15.75" customHeight="1" s="69">
      <c r="A52" s="2" t="n"/>
      <c r="B52" s="2" t="n"/>
      <c r="C52" s="28">
        <f>SUM(D52:Y52)</f>
        <v/>
      </c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</row>
    <row r="53" ht="15.75" customHeight="1" s="69">
      <c r="A53" s="2" t="n"/>
      <c r="B53" s="2" t="n"/>
      <c r="C53" s="28">
        <f>SUM(D53:Y53)</f>
        <v/>
      </c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</row>
    <row r="54" ht="15.75" customHeight="1" s="69">
      <c r="A54" s="2" t="n"/>
      <c r="B54" s="2" t="n"/>
      <c r="C54" s="28">
        <f>SUM(D54:Y54)</f>
        <v/>
      </c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</row>
    <row r="55" ht="15.75" customHeight="1" s="69">
      <c r="A55" s="2" t="n"/>
      <c r="B55" s="2" t="n"/>
      <c r="C55" s="28">
        <f>SUM(D55:Y55)</f>
        <v/>
      </c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</row>
    <row r="56" ht="15.75" customHeight="1" s="69">
      <c r="A56" s="2" t="n"/>
      <c r="B56" s="2" t="n"/>
      <c r="C56" s="28">
        <f>SUM(D56:Y56)</f>
        <v/>
      </c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</row>
    <row r="57" ht="15.75" customHeight="1" s="69">
      <c r="A57" s="2" t="n"/>
      <c r="B57" s="2" t="n"/>
      <c r="C57" s="28">
        <f>SUM(D57:Y57)</f>
        <v/>
      </c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</row>
    <row r="58" ht="15.75" customHeight="1" s="69">
      <c r="A58" s="2" t="n"/>
      <c r="B58" s="2" t="n"/>
      <c r="C58" s="28">
        <f>SUM(D58:Y58)</f>
        <v/>
      </c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</row>
    <row r="59" ht="15.75" customHeight="1" s="69">
      <c r="A59" s="2" t="n"/>
      <c r="B59" s="2" t="n"/>
      <c r="C59" s="28">
        <f>SUM(D59:Y59)</f>
        <v/>
      </c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</row>
    <row r="60" ht="15.75" customHeight="1" s="69">
      <c r="A60" s="2" t="n"/>
      <c r="B60" s="2" t="n"/>
      <c r="C60" s="28">
        <f>SUM(D60:Y60)</f>
        <v/>
      </c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</row>
    <row r="61" ht="15.75" customHeight="1" s="69">
      <c r="A61" s="2" t="n"/>
      <c r="B61" s="2" t="n"/>
      <c r="C61" s="28">
        <f>SUM(D61:Y61)</f>
        <v/>
      </c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</row>
    <row r="62" ht="15.75" customHeight="1" s="69">
      <c r="A62" s="2" t="n"/>
      <c r="B62" s="2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</row>
    <row r="63" ht="15.75" customHeight="1" s="69">
      <c r="A63" s="2" t="n"/>
      <c r="B63" s="2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</row>
    <row r="64" ht="15.75" customHeight="1" s="69">
      <c r="A64" s="2" t="n"/>
      <c r="B64" s="2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</row>
    <row r="65" ht="15.75" customHeight="1" s="69">
      <c r="A65" s="2" t="n"/>
      <c r="B65" s="2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</row>
    <row r="66" ht="15.75" customHeight="1" s="69">
      <c r="A66" s="2" t="n"/>
      <c r="B66" s="2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</row>
    <row r="67" ht="15.75" customHeight="1" s="69">
      <c r="A67" s="2" t="n"/>
      <c r="B67" s="2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</row>
    <row r="68" ht="15.75" customHeight="1" s="69">
      <c r="A68" s="2" t="n"/>
      <c r="B68" s="2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2" t="n"/>
      <c r="Q68" s="2" t="n"/>
      <c r="R68" s="2" t="n"/>
      <c r="S68" s="2" t="n"/>
      <c r="T68" s="2" t="n"/>
      <c r="U68" s="2" t="n"/>
      <c r="V68" s="2" t="n"/>
    </row>
    <row r="69" ht="15.75" customHeight="1" s="69">
      <c r="A69" s="2" t="n"/>
      <c r="B69" s="2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69">
      <c r="A70" s="2" t="n"/>
      <c r="B70" s="2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69">
      <c r="A71" s="2" t="n"/>
      <c r="B71" s="2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69">
      <c r="A72" s="2" t="n"/>
      <c r="B72" s="2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69">
      <c r="A73" s="2" t="n"/>
      <c r="B73" s="2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69">
      <c r="A74" s="2" t="n"/>
      <c r="B74" s="2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69">
      <c r="A75" s="2" t="n"/>
      <c r="B75" s="2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69">
      <c r="A76" s="2" t="n"/>
      <c r="B76" s="2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69">
      <c r="A77" s="2" t="n"/>
      <c r="B77" s="2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69">
      <c r="A78" s="2" t="n"/>
      <c r="B78" s="2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69">
      <c r="A79" s="2" t="n"/>
      <c r="B79" s="2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69">
      <c r="A80" s="2" t="n"/>
      <c r="B80" s="2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69">
      <c r="A81" s="2" t="n"/>
      <c r="B81" s="2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69">
      <c r="A82" s="2" t="n"/>
      <c r="B82" s="2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69">
      <c r="A83" s="2" t="n"/>
      <c r="B83" s="2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69">
      <c r="A84" s="2" t="n"/>
      <c r="B84" s="2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69">
      <c r="A85" s="2" t="n"/>
      <c r="B85" s="2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69">
      <c r="A86" s="2" t="n"/>
      <c r="B86" s="2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69">
      <c r="A87" s="2" t="n"/>
      <c r="B87" s="2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69">
      <c r="A88" s="2" t="n"/>
      <c r="B88" s="2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69">
      <c r="A89" s="2" t="n"/>
      <c r="B89" s="2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69">
      <c r="A90" s="2" t="n"/>
      <c r="B90" s="2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69">
      <c r="A91" s="2" t="n"/>
      <c r="B91" s="2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69">
      <c r="A92" s="2" t="n"/>
      <c r="B92" s="2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69">
      <c r="A93" s="2" t="n"/>
      <c r="B93" s="2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69">
      <c r="A94" s="2" t="n"/>
      <c r="B94" s="2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69">
      <c r="A95" s="2" t="n"/>
      <c r="B95" s="2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69">
      <c r="A96" s="2" t="n"/>
      <c r="B96" s="2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69">
      <c r="A97" s="2" t="n"/>
      <c r="B97" s="2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69">
      <c r="A98" s="2" t="n"/>
      <c r="B98" s="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69">
      <c r="A99" s="2" t="n"/>
      <c r="B99" s="2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69">
      <c r="A100" s="2" t="n"/>
      <c r="B100" s="2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69">
      <c r="A101" s="2" t="n"/>
      <c r="B101" s="2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69">
      <c r="A102" s="2" t="n"/>
      <c r="B102" s="2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69">
      <c r="A103" s="2" t="n"/>
      <c r="B103" s="2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69">
      <c r="A104" s="2" t="n"/>
      <c r="B104" s="2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69">
      <c r="A105" s="2" t="n"/>
      <c r="B105" s="2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69">
      <c r="A106" s="2" t="n"/>
      <c r="B106" s="2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69">
      <c r="A107" s="2" t="n"/>
      <c r="B107" s="2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69">
      <c r="A108" s="2" t="n"/>
      <c r="B108" s="2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69">
      <c r="A109" s="2" t="n"/>
      <c r="B109" s="2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69">
      <c r="A110" s="2" t="n"/>
      <c r="B110" s="2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69">
      <c r="A111" s="2" t="n"/>
      <c r="B111" s="2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69">
      <c r="A112" s="2" t="n"/>
      <c r="B112" s="2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69">
      <c r="A113" s="2" t="n"/>
      <c r="B113" s="2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69">
      <c r="A114" s="2" t="n"/>
      <c r="B114" s="2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69">
      <c r="A115" s="2" t="n"/>
      <c r="B115" s="2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69">
      <c r="A116" s="2" t="n"/>
      <c r="B116" s="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69">
      <c r="A117" s="2" t="n"/>
      <c r="B117" s="2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69">
      <c r="A118" s="2" t="n"/>
      <c r="B118" s="2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69">
      <c r="A119" s="2" t="n"/>
      <c r="B119" s="2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69">
      <c r="A120" s="2" t="n"/>
      <c r="B120" s="2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69">
      <c r="A121" s="2" t="n"/>
      <c r="B121" s="2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69">
      <c r="A122" s="2" t="n"/>
      <c r="B122" s="2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69">
      <c r="A123" s="2" t="n"/>
      <c r="B123" s="2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69">
      <c r="A124" s="2" t="n"/>
      <c r="B124" s="2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69">
      <c r="A125" s="2" t="n"/>
      <c r="B125" s="2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69">
      <c r="A126" s="2" t="n"/>
      <c r="B126" s="2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69">
      <c r="A127" s="2" t="n"/>
      <c r="B127" s="2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69">
      <c r="A128" s="2" t="n"/>
      <c r="B128" s="2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69">
      <c r="A129" s="2" t="n"/>
      <c r="B129" s="2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69">
      <c r="A130" s="2" t="n"/>
      <c r="B130" s="2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69">
      <c r="A131" s="2" t="n"/>
      <c r="B131" s="2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69">
      <c r="A132" s="2" t="n"/>
      <c r="B132" s="2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69">
      <c r="A133" s="2" t="n"/>
      <c r="B133" s="2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69">
      <c r="A134" s="2" t="n"/>
      <c r="B134" s="2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69">
      <c r="A135" s="2" t="n"/>
      <c r="B135" s="2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69">
      <c r="A136" s="2" t="n"/>
      <c r="B136" s="2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69">
      <c r="A137" s="2" t="n"/>
      <c r="B137" s="2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69">
      <c r="A138" s="2" t="n"/>
      <c r="B138" s="2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69">
      <c r="A139" s="2" t="n"/>
      <c r="B139" s="2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69">
      <c r="A140" s="2" t="n"/>
      <c r="B140" s="2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69">
      <c r="A141" s="2" t="n"/>
      <c r="B141" s="2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69">
      <c r="A142" s="2" t="n"/>
      <c r="B142" s="2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69">
      <c r="A143" s="2" t="n"/>
      <c r="B143" s="2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69">
      <c r="A144" s="2" t="n"/>
      <c r="B144" s="2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69">
      <c r="A145" s="2" t="n"/>
      <c r="B145" s="2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69">
      <c r="A146" s="2" t="n"/>
      <c r="B146" s="2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69">
      <c r="A147" s="2" t="n"/>
      <c r="B147" s="2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69">
      <c r="A148" s="2" t="n"/>
      <c r="B148" s="2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69">
      <c r="A149" s="2" t="n"/>
      <c r="B149" s="2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69">
      <c r="A150" s="2" t="n"/>
      <c r="B150" s="2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69">
      <c r="A151" s="2" t="n"/>
      <c r="B151" s="2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69">
      <c r="A152" s="2" t="n"/>
      <c r="B152" s="2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69">
      <c r="A153" s="2" t="n"/>
      <c r="B153" s="2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69">
      <c r="A154" s="2" t="n"/>
      <c r="B154" s="2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69">
      <c r="A155" s="2" t="n"/>
      <c r="B155" s="2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69">
      <c r="A156" s="2" t="n"/>
      <c r="B156" s="2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69">
      <c r="A157" s="2" t="n"/>
      <c r="B157" s="2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69">
      <c r="A158" s="2" t="n"/>
      <c r="B158" s="2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69">
      <c r="A159" s="2" t="n"/>
      <c r="B159" s="2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69">
      <c r="A160" s="2" t="n"/>
      <c r="B160" s="2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69">
      <c r="A161" s="2" t="n"/>
      <c r="B161" s="2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69">
      <c r="A162" s="2" t="n"/>
      <c r="B162" s="2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69">
      <c r="A163" s="2" t="n"/>
      <c r="B163" s="2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69">
      <c r="A164" s="2" t="n"/>
      <c r="B164" s="2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69">
      <c r="A165" s="2" t="n"/>
      <c r="B165" s="2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69">
      <c r="A166" s="2" t="n"/>
      <c r="B166" s="2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69">
      <c r="A167" s="2" t="n"/>
      <c r="B167" s="2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69">
      <c r="A168" s="2" t="n"/>
      <c r="B168" s="2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69">
      <c r="A169" s="2" t="n"/>
      <c r="B169" s="2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69">
      <c r="A170" s="2" t="n"/>
      <c r="B170" s="2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69">
      <c r="A171" s="2" t="n"/>
      <c r="B171" s="2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69">
      <c r="A172" s="2" t="n"/>
      <c r="B172" s="2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69">
      <c r="A173" s="2" t="n"/>
      <c r="B173" s="2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69">
      <c r="A174" s="2" t="n"/>
      <c r="B174" s="2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69">
      <c r="A175" s="2" t="n"/>
      <c r="B175" s="2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69">
      <c r="A176" s="2" t="n"/>
      <c r="B176" s="2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69">
      <c r="A177" s="2" t="n"/>
      <c r="B177" s="2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69">
      <c r="A178" s="2" t="n"/>
      <c r="B178" s="2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69">
      <c r="A179" s="2" t="n"/>
      <c r="B179" s="2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69">
      <c r="A180" s="2" t="n"/>
      <c r="B180" s="2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69">
      <c r="A181" s="2" t="n"/>
      <c r="B181" s="2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69">
      <c r="A182" s="2" t="n"/>
      <c r="B182" s="2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69">
      <c r="A183" s="2" t="n"/>
      <c r="B183" s="2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69">
      <c r="A184" s="2" t="n"/>
      <c r="B184" s="2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69">
      <c r="A185" s="2" t="n"/>
      <c r="B185" s="2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69">
      <c r="A186" s="2" t="n"/>
      <c r="B186" s="2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69">
      <c r="A187" s="2" t="n"/>
      <c r="B187" s="2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69">
      <c r="A188" s="2" t="n"/>
      <c r="B188" s="2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69">
      <c r="A189" s="2" t="n"/>
      <c r="B189" s="2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69">
      <c r="A190" s="2" t="n"/>
      <c r="B190" s="2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69">
      <c r="A191" s="2" t="n"/>
      <c r="B191" s="2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69">
      <c r="A192" s="2" t="n"/>
      <c r="B192" s="2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69">
      <c r="A193" s="2" t="n"/>
      <c r="B193" s="2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69">
      <c r="A194" s="2" t="n"/>
      <c r="B194" s="2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69">
      <c r="A195" s="2" t="n"/>
      <c r="B195" s="2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69">
      <c r="A196" s="2" t="n"/>
      <c r="B196" s="2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69">
      <c r="A197" s="2" t="n"/>
      <c r="B197" s="2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69">
      <c r="A198" s="2" t="n"/>
      <c r="B198" s="2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69">
      <c r="A199" s="2" t="n"/>
      <c r="B199" s="2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69">
      <c r="A200" s="2" t="n"/>
      <c r="B200" s="2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69">
      <c r="A201" s="2" t="n"/>
      <c r="B201" s="2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69">
      <c r="A202" s="2" t="n"/>
      <c r="B202" s="2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69">
      <c r="A203" s="2" t="n"/>
      <c r="B203" s="2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69">
      <c r="A204" s="2" t="n"/>
      <c r="B204" s="2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69">
      <c r="A205" s="2" t="n"/>
      <c r="B205" s="2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69">
      <c r="A206" s="2" t="n"/>
      <c r="B206" s="2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69">
      <c r="A207" s="2" t="n"/>
      <c r="B207" s="2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69">
      <c r="A208" s="2" t="n"/>
      <c r="B208" s="2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69">
      <c r="A209" s="2" t="n"/>
      <c r="B209" s="2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69">
      <c r="A210" s="2" t="n"/>
      <c r="B210" s="2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69">
      <c r="A211" s="2" t="n"/>
      <c r="B211" s="2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69">
      <c r="A212" s="2" t="n"/>
      <c r="B212" s="2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69">
      <c r="A213" s="2" t="n"/>
      <c r="B213" s="2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69">
      <c r="A214" s="2" t="n"/>
      <c r="B214" s="2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69">
      <c r="A215" s="2" t="n"/>
      <c r="B215" s="2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69">
      <c r="A216" s="2" t="n"/>
      <c r="B216" s="2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69">
      <c r="A217" s="2" t="n"/>
      <c r="B217" s="2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69">
      <c r="A218" s="2" t="n"/>
      <c r="B218" s="2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69">
      <c r="A219" s="2" t="n"/>
      <c r="B219" s="2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69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69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69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69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69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69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69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69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69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6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69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69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69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69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69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69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69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69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69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6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69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69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69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69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69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69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69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69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69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6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69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69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69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69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69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69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69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69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69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6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69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 ht="15.75" customHeight="1" s="69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3">
    <mergeCell ref="T1:Y1"/>
    <mergeCell ref="H1:S1"/>
    <mergeCell ref="D1:G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tabColor rgb="FFEA9999"/>
    <outlinePr summaryBelow="1" summaryRight="1"/>
    <pageSetUpPr/>
  </sheetPr>
  <dimension ref="A1:AA220"/>
  <sheetViews>
    <sheetView workbookViewId="0">
      <selection activeCell="O11" sqref="O11"/>
    </sheetView>
  </sheetViews>
  <sheetFormatPr baseColWidth="8" defaultColWidth="10.875" defaultRowHeight="15" customHeight="1"/>
  <cols>
    <col width="4.875" bestFit="1" customWidth="1" style="69" min="1" max="1"/>
    <col width="43" bestFit="1" customWidth="1" style="69" min="2" max="2"/>
    <col width="12.875" bestFit="1" customWidth="1" style="69" min="3" max="3"/>
    <col hidden="1" width="10.5" customWidth="1" style="69" min="4" max="4"/>
    <col hidden="1" width="8.625" customWidth="1" style="69" min="5" max="5"/>
    <col hidden="1" width="10.375" customWidth="1" style="69" min="6" max="6"/>
    <col hidden="1" width="9.625" customWidth="1" style="69" min="7" max="7"/>
    <col hidden="1" width="8.625" customWidth="1" style="69" min="8" max="8"/>
    <col hidden="1" width="9.25" customWidth="1" style="69" min="9" max="9"/>
    <col hidden="1" width="7" customWidth="1" style="69" min="10" max="10"/>
    <col hidden="1" width="6.625" customWidth="1" style="69" min="11" max="11"/>
    <col hidden="1" width="9.125" customWidth="1" style="69" min="12" max="13"/>
    <col hidden="1" width="13" customWidth="1" style="69" min="13" max="13"/>
    <col hidden="1" width="8.625" bestFit="1" customWidth="1" style="69" min="14" max="14"/>
    <col hidden="1" width="12.875" bestFit="1" customWidth="1" style="69" min="15" max="15"/>
    <col width="13.875" bestFit="1" customWidth="1" style="69" min="16" max="16"/>
    <col width="12.875" bestFit="1" customWidth="1" style="69" min="17" max="19"/>
    <col width="10.375" bestFit="1" customWidth="1" style="69" min="20" max="20"/>
    <col width="11.625" bestFit="1" customWidth="1" style="69" min="21" max="21"/>
    <col width="8.25" bestFit="1" customWidth="1" style="69" min="22" max="22"/>
    <col width="8.5" bestFit="1" customWidth="1" style="69" min="23" max="23"/>
    <col width="9.125" bestFit="1" customWidth="1" style="69" min="24" max="25"/>
    <col width="10.875" customWidth="1" style="69" min="26" max="27"/>
  </cols>
  <sheetData>
    <row r="1" ht="15.75" customHeight="1" s="69">
      <c r="A1" s="1" t="n"/>
      <c r="B1" s="1" t="n"/>
      <c r="C1" s="3" t="n"/>
      <c r="D1" s="79" t="n">
        <v>2025</v>
      </c>
      <c r="E1" s="73" t="n"/>
      <c r="F1" s="73" t="n"/>
      <c r="G1" s="73" t="n"/>
      <c r="H1" s="78" t="n">
        <v>2026</v>
      </c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7" t="n">
        <v>2027</v>
      </c>
      <c r="U1" s="73" t="n"/>
      <c r="V1" s="73" t="n"/>
      <c r="W1" s="73" t="n"/>
      <c r="X1" s="73" t="n"/>
      <c r="Y1" s="74" t="n"/>
      <c r="Z1" s="1" t="n"/>
      <c r="AA1" s="1" t="n"/>
    </row>
    <row r="2" ht="15.75" customHeight="1" s="69">
      <c r="A2" s="1" t="n"/>
      <c r="B2" s="1" t="n"/>
      <c r="C2" s="3" t="n"/>
      <c r="D2" s="7" t="inlineStr">
        <is>
          <t>SETTEMBRE</t>
        </is>
      </c>
      <c r="E2" s="7" t="inlineStr">
        <is>
          <t>OTTOBRE</t>
        </is>
      </c>
      <c r="F2" s="7" t="inlineStr">
        <is>
          <t>NOVEMBRE</t>
        </is>
      </c>
      <c r="G2" s="7" t="inlineStr">
        <is>
          <t>DICEMBRE</t>
        </is>
      </c>
      <c r="H2" s="6" t="inlineStr">
        <is>
          <t>GENNAIO</t>
        </is>
      </c>
      <c r="I2" s="6" t="inlineStr">
        <is>
          <t>FEBBRAIO</t>
        </is>
      </c>
      <c r="J2" s="6" t="inlineStr">
        <is>
          <t>MARZO</t>
        </is>
      </c>
      <c r="K2" s="6" t="inlineStr">
        <is>
          <t>APRILE</t>
        </is>
      </c>
      <c r="L2" s="8" t="inlineStr">
        <is>
          <t>MAGGIO</t>
        </is>
      </c>
      <c r="M2" s="8" t="inlineStr">
        <is>
          <t>GIUGNO</t>
        </is>
      </c>
      <c r="N2" s="8" t="inlineStr">
        <is>
          <t>LUGLIO</t>
        </is>
      </c>
      <c r="O2" s="8" t="inlineStr">
        <is>
          <t>AGOSTO</t>
        </is>
      </c>
      <c r="P2" s="8" t="inlineStr">
        <is>
          <t>SETTEMBRE</t>
        </is>
      </c>
      <c r="Q2" s="8" t="inlineStr">
        <is>
          <t>OTTOBRE</t>
        </is>
      </c>
      <c r="R2" s="8" t="inlineStr">
        <is>
          <t>NOVEMBRE</t>
        </is>
      </c>
      <c r="S2" s="8" t="inlineStr">
        <is>
          <t>DICEMBRE</t>
        </is>
      </c>
      <c r="T2" s="11" t="inlineStr">
        <is>
          <t>GENNAIO</t>
        </is>
      </c>
      <c r="U2" s="11" t="inlineStr">
        <is>
          <t>FEBBRAIO</t>
        </is>
      </c>
      <c r="V2" s="11" t="inlineStr">
        <is>
          <t>MARZO</t>
        </is>
      </c>
      <c r="W2" s="11" t="inlineStr">
        <is>
          <t>APRILE</t>
        </is>
      </c>
      <c r="X2" s="11" t="inlineStr">
        <is>
          <t>MAGGIO</t>
        </is>
      </c>
      <c r="Y2" s="11" t="inlineStr">
        <is>
          <t>GIUGNO</t>
        </is>
      </c>
      <c r="Z2" s="1" t="n"/>
      <c r="AA2" s="1" t="n"/>
    </row>
    <row r="3" ht="15.75" customHeight="1" s="69">
      <c r="A3" s="15" t="n"/>
      <c r="B3" s="2" t="n"/>
      <c r="C3" s="17">
        <f>SUM(D3:Y3)</f>
        <v/>
      </c>
      <c r="D3" s="17">
        <f>SUM(D5:D135)</f>
        <v/>
      </c>
      <c r="E3" s="17">
        <f>SUM(E5:E135)</f>
        <v/>
      </c>
      <c r="F3" s="17">
        <f>SUM(F5:F135)</f>
        <v/>
      </c>
      <c r="G3" s="17">
        <f>SUM(G5:G135)</f>
        <v/>
      </c>
      <c r="H3" s="17">
        <f>SUM(H5:H135)</f>
        <v/>
      </c>
      <c r="I3" s="17">
        <f>SUM(I5:I135)</f>
        <v/>
      </c>
      <c r="J3" s="17">
        <f>SUM(J5:J135)</f>
        <v/>
      </c>
      <c r="K3" s="17">
        <f>SUM(K5:K135)</f>
        <v/>
      </c>
      <c r="L3" s="17">
        <f>+L4+L5+L6+L7+L8+L9+L10+L12+L13+L14+L15+L16+L17+L18</f>
        <v/>
      </c>
      <c r="M3" s="17">
        <f>+M4+M5+M6+M7+M8+M9+M10+M12+M13+M14+M15+M16+M17+M18</f>
        <v/>
      </c>
      <c r="N3" s="17">
        <f>+N4+N5+N6+N7+N8+N9+N10+N12+N13+N14+N15+N16+N17+N18</f>
        <v/>
      </c>
      <c r="O3" s="17">
        <f>+O4+O5+O6+O7+O8+O9+O10+O12+O13+O14+O15+O16+O17+O18</f>
        <v/>
      </c>
      <c r="P3" s="17">
        <f>+P4+P5+P6+P7+P8+P9+P10+P12+P13+P14+P15+P16+P17+P18</f>
        <v/>
      </c>
      <c r="Q3" s="17">
        <f>+Q4+Q5+Q6+Q7+Q8+Q9+Q10+Q12+Q13+Q14+Q15+Q16+Q17+Q18</f>
        <v/>
      </c>
      <c r="R3" s="17">
        <f>+R4+R5+R6+R7+R8+R9+R10+R12+R13+R14+R15+R16+R17+R18</f>
        <v/>
      </c>
      <c r="S3" s="17">
        <f>+S4+S5+S6+S7+S8+S9+S10+S12+S13+S14+S15+S16+S17+S18</f>
        <v/>
      </c>
      <c r="T3" s="17">
        <f>+T4+T5+T6+T7+T8+T9+T10+T12+T13+T14+T15+T16+T17+T18</f>
        <v/>
      </c>
      <c r="U3" s="17">
        <f>+U4+U5+U6+U7+U8+U9+U10+U12+U13+U14+U15+U16+U17+U18</f>
        <v/>
      </c>
      <c r="V3" s="17">
        <f>+V4+V5+V6+V7+V8+V9+V10+V12+V13+V14+V15+V16+V17+V18</f>
        <v/>
      </c>
      <c r="W3" s="17">
        <f>+W4+W5+W6+W7+W8+W9+W10+W12+W13+W14+W15+W16+W17+W18</f>
        <v/>
      </c>
      <c r="X3" s="17">
        <f>+X4+X5+X6+X7+X8+X9+X10+X12+X13+X14+X15+X16+X17+X18</f>
        <v/>
      </c>
      <c r="Y3" s="17">
        <f>+Y4+Y5+Y6+Y7+Y8+Y9+Y10+Y12+Y13+Y14+Y15+Y16+Y17+Y18</f>
        <v/>
      </c>
      <c r="Z3" s="15" t="n"/>
      <c r="AA3" s="15" t="n"/>
    </row>
    <row r="4" ht="15.75" customHeight="1" s="69">
      <c r="A4" s="2" t="n"/>
      <c r="B4" s="21" t="inlineStr">
        <is>
          <t>Variee ed Eventuali</t>
        </is>
      </c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>
        <v>15000</v>
      </c>
      <c r="Q4" s="23" t="n">
        <v>15000</v>
      </c>
      <c r="R4" s="23" t="n">
        <v>15000</v>
      </c>
      <c r="S4" s="23" t="n">
        <v>15000</v>
      </c>
      <c r="T4" s="23" t="n"/>
      <c r="U4" s="23" t="n"/>
      <c r="V4" s="23" t="n"/>
      <c r="W4" s="23" t="n"/>
      <c r="X4" s="23" t="n"/>
      <c r="Y4" s="23" t="n"/>
      <c r="Z4" s="2" t="n"/>
      <c r="AA4" s="2" t="n"/>
    </row>
    <row r="5" ht="15.75" customHeight="1" s="69">
      <c r="A5" s="2" t="n">
        <v>266</v>
      </c>
      <c r="B5" s="21" t="inlineStr">
        <is>
          <t>B &amp; T SpA</t>
        </is>
      </c>
      <c r="C5" s="23">
        <f>SUM(D5:Y5)</f>
        <v/>
      </c>
      <c r="D5" s="23" t="n"/>
      <c r="E5" s="23" t="n"/>
      <c r="F5" s="23" t="n">
        <v>0</v>
      </c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" t="n"/>
      <c r="AA5" s="2" t="n"/>
    </row>
    <row r="6" ht="15.75" customHeight="1" s="69">
      <c r="A6" s="2" t="n">
        <v>1734</v>
      </c>
      <c r="B6" s="21" t="inlineStr">
        <is>
          <t>Ce.Di.S. srl</t>
        </is>
      </c>
      <c r="C6" s="23">
        <f>SUM(D6:Y6)</f>
        <v/>
      </c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" t="n"/>
      <c r="AA6" s="2" t="n"/>
    </row>
    <row r="7" ht="15.75" customHeight="1" s="69">
      <c r="A7" s="2" t="n">
        <v>716</v>
      </c>
      <c r="B7" s="21" t="inlineStr">
        <is>
          <t>CERAMICA D'ARTE SICIGNANO SRL</t>
        </is>
      </c>
      <c r="C7" s="23">
        <f>SUM(D7:Y7)</f>
        <v/>
      </c>
      <c r="D7" s="59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59" t="n">
        <v>26146.37</v>
      </c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2" t="n"/>
      <c r="AA7" s="2" t="n"/>
    </row>
    <row r="8" ht="15.75" customHeight="1" s="69">
      <c r="A8" s="2" t="n">
        <v>1640</v>
      </c>
      <c r="B8" s="21" t="inlineStr">
        <is>
          <t>Domus Tappezzeria D'Arredo S.R.L.</t>
        </is>
      </c>
      <c r="C8" s="23">
        <f>SUM(D8:Y8)</f>
        <v/>
      </c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" t="n"/>
      <c r="AA8" s="2" t="n"/>
    </row>
    <row r="9" ht="15.75" customHeight="1" s="69">
      <c r="A9" s="2" t="n">
        <v>1607</v>
      </c>
      <c r="B9" s="21" t="inlineStr">
        <is>
          <t>LAUDATO GRU DI LAUDATO FRANCESCO</t>
        </is>
      </c>
      <c r="C9" s="23">
        <f>SUM(D9:Y9)</f>
        <v/>
      </c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" t="n"/>
      <c r="AA9" s="2" t="n"/>
    </row>
    <row r="10" ht="16.5" customHeight="1" s="69">
      <c r="A10" s="2" t="n">
        <v>734</v>
      </c>
      <c r="B10" s="21" t="inlineStr">
        <is>
          <t>LEONE S.R.L.</t>
        </is>
      </c>
      <c r="C10" s="23">
        <f>SUM(D10:Y10)</f>
        <v/>
      </c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" t="n"/>
      <c r="AA10" s="2" t="n"/>
    </row>
    <row r="11" ht="15.75" customHeight="1" s="69">
      <c r="A11" s="2" t="n">
        <v>1008</v>
      </c>
      <c r="B11" s="21" t="inlineStr">
        <is>
          <t>MIELE GIUSEPPE E FIGLI SPA</t>
        </is>
      </c>
      <c r="C11" s="23">
        <f>SUM(D11:Y11)</f>
        <v/>
      </c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" t="n"/>
      <c r="AA11" s="2" t="n"/>
    </row>
    <row r="12" ht="15.75" customHeight="1" s="69">
      <c r="A12" s="2" t="n">
        <v>1672</v>
      </c>
      <c r="B12" s="21" t="inlineStr">
        <is>
          <t>OMBRELLONI LETTINI ITALIA S.R.L.</t>
        </is>
      </c>
      <c r="C12" s="23">
        <f>SUM(D12:Y12)</f>
        <v/>
      </c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" t="n"/>
      <c r="AA12" s="2" t="n"/>
    </row>
    <row r="13" ht="15.75" customHeight="1" s="69">
      <c r="A13" s="2" t="n">
        <v>64</v>
      </c>
      <c r="B13" s="21" t="inlineStr">
        <is>
          <t>PARAVIA ELEVATORS SRL</t>
        </is>
      </c>
      <c r="C13" s="23">
        <f>SUM(D13:Y13)</f>
        <v/>
      </c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59" t="n"/>
      <c r="Q13" s="59" t="n"/>
      <c r="R13" s="59" t="n"/>
      <c r="S13" s="59" t="n"/>
      <c r="T13" s="59" t="n"/>
      <c r="U13" s="59" t="n"/>
      <c r="V13" s="59" t="n"/>
      <c r="W13" s="59" t="n"/>
      <c r="X13" s="59" t="n"/>
      <c r="Y13" s="59" t="n"/>
      <c r="Z13" s="2" t="n"/>
      <c r="AA13" s="2" t="n"/>
    </row>
    <row r="14" ht="15.75" customHeight="1" s="69">
      <c r="A14" s="2" t="n">
        <v>863</v>
      </c>
      <c r="B14" s="21" t="inlineStr">
        <is>
          <t>SALA GIANPIERO</t>
        </is>
      </c>
      <c r="C14" s="23">
        <f>SUM(D14:Y14)</f>
        <v/>
      </c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>
        <v>88139.3</v>
      </c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" t="n"/>
      <c r="AA14" s="2" t="n"/>
    </row>
    <row r="15" ht="15.75" customHeight="1" s="69">
      <c r="A15" s="2" t="n">
        <v>121</v>
      </c>
      <c r="B15" s="21" t="inlineStr">
        <is>
          <t>Santelia Luigi</t>
        </is>
      </c>
      <c r="C15" s="23">
        <f>SUM(D15:Y15)</f>
        <v/>
      </c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>
        <v>15000</v>
      </c>
      <c r="R15" s="28" t="n"/>
      <c r="S15" s="28" t="n"/>
      <c r="T15" s="28" t="n"/>
      <c r="U15" s="28" t="n"/>
      <c r="V15" s="28" t="n"/>
      <c r="W15" s="28" t="n"/>
      <c r="X15" s="28" t="n"/>
      <c r="Y15" s="28" t="n"/>
      <c r="Z15" s="2" t="n"/>
      <c r="AA15" s="2" t="n"/>
    </row>
    <row r="16" ht="15.75" customHeight="1" s="69">
      <c r="A16" s="2" t="n">
        <v>1214</v>
      </c>
      <c r="B16" s="21" t="inlineStr">
        <is>
          <t>VDA GROUP S.p.A. a socio unico</t>
        </is>
      </c>
      <c r="C16" s="23">
        <f>SUM(D16:Y16)</f>
        <v/>
      </c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" t="n"/>
      <c r="AA16" s="2" t="n"/>
    </row>
    <row r="17" ht="15.75" customHeight="1" s="69">
      <c r="A17" s="2" t="n">
        <v>1662</v>
      </c>
      <c r="B17" s="21" t="inlineStr">
        <is>
          <t>Indel B Spa</t>
        </is>
      </c>
      <c r="C17" s="23">
        <f>SUM(D17:Y17)</f>
        <v/>
      </c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" t="n"/>
      <c r="AA17" s="2" t="n"/>
    </row>
    <row r="18" ht="15.75" customHeight="1" s="69">
      <c r="A18" s="2" t="n">
        <v>1054</v>
      </c>
      <c r="B18" s="2" t="inlineStr">
        <is>
          <t>O.V.I.T. SRL</t>
        </is>
      </c>
      <c r="C18" s="23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>
        <v>171</v>
      </c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" t="n"/>
      <c r="AA18" s="2" t="n"/>
    </row>
    <row r="19" ht="15.75" customHeight="1" s="69">
      <c r="A19" s="2" t="n">
        <v>1034</v>
      </c>
      <c r="B19" s="2" t="inlineStr">
        <is>
          <t>ORIL SRL</t>
        </is>
      </c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>
        <v>66.08</v>
      </c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" t="n"/>
      <c r="AA19" s="2" t="n"/>
    </row>
    <row r="20" ht="15.75" customHeight="1" s="69">
      <c r="A20" s="2" t="n">
        <v>777</v>
      </c>
      <c r="B20" s="2" t="inlineStr">
        <is>
          <t>ACCONCIANGIOCO &amp; MANADRA SNC</t>
        </is>
      </c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>
        <v>12420</v>
      </c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" t="n"/>
      <c r="AA20" s="2" t="n"/>
    </row>
    <row r="21" ht="15.75" customHeight="1" s="69">
      <c r="A21" s="2" t="n">
        <v>412</v>
      </c>
      <c r="B21" s="2" t="inlineStr">
        <is>
          <t>Alberto D Urso S.a.s. di Tecla Apicella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>
        <v>334.87</v>
      </c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" t="n"/>
      <c r="AA21" s="2" t="n"/>
    </row>
    <row r="22" ht="15.75" customHeight="1" s="69">
      <c r="A22" s="2" t="n">
        <v>779</v>
      </c>
      <c r="B22" s="2" t="inlineStr">
        <is>
          <t>FORNITORE ANTE 2024</t>
        </is>
      </c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>
        <v>54039.74</v>
      </c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" t="n"/>
      <c r="AA22" s="2" t="n"/>
    </row>
    <row r="23" ht="15.75" customHeight="1" s="69">
      <c r="A23" s="2" t="n">
        <v>1162</v>
      </c>
      <c r="B23" s="2" t="inlineStr">
        <is>
          <t>STE elettrico</t>
        </is>
      </c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>
        <v>49500</v>
      </c>
      <c r="R23" s="28" t="n"/>
      <c r="S23" s="28" t="n"/>
      <c r="T23" s="28" t="n"/>
      <c r="U23" s="28" t="n"/>
      <c r="V23" s="28" t="n"/>
      <c r="W23" s="28" t="n"/>
      <c r="X23" s="28" t="n"/>
      <c r="Y23" s="28" t="n"/>
      <c r="Z23" s="2" t="n"/>
      <c r="AA23" s="2" t="n"/>
    </row>
    <row r="24" ht="15.75" customHeight="1" s="69">
      <c r="A24" s="2" t="n"/>
      <c r="B24" s="2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" t="n"/>
      <c r="AA24" s="2" t="n"/>
    </row>
    <row r="25" ht="15.75" customHeight="1" s="69">
      <c r="A25" s="2" t="n"/>
      <c r="B25" s="2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" t="n"/>
      <c r="AA25" s="2" t="n"/>
    </row>
    <row r="26" ht="15.75" customHeight="1" s="69">
      <c r="A26" s="2" t="n"/>
      <c r="B26" s="2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" t="n"/>
      <c r="AA26" s="2" t="n"/>
    </row>
    <row r="27" ht="15.75" customHeight="1" s="69">
      <c r="A27" s="2" t="n"/>
      <c r="B27" s="2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" t="n"/>
      <c r="AA27" s="2" t="n"/>
    </row>
    <row r="28" ht="15.75" customHeight="1" s="69">
      <c r="A28" s="2" t="n"/>
      <c r="B28" s="2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" t="n"/>
      <c r="AA28" s="2" t="n"/>
    </row>
    <row r="29" ht="15.75" customHeight="1" s="69">
      <c r="A29" s="2" t="n"/>
      <c r="B29" s="2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" t="n"/>
      <c r="AA29" s="2" t="n"/>
    </row>
    <row r="30" ht="15.75" customHeight="1" s="69">
      <c r="A30" s="2" t="n"/>
      <c r="B30" s="2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" t="n"/>
      <c r="AA30" s="2" t="n"/>
    </row>
    <row r="31" ht="15.75" customHeight="1" s="69">
      <c r="A31" s="2" t="n"/>
      <c r="B31" s="2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" t="n"/>
      <c r="AA31" s="2" t="n"/>
    </row>
    <row r="32" ht="15.75" customHeight="1" s="69">
      <c r="A32" s="2" t="n"/>
      <c r="B32" s="2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" t="n"/>
      <c r="AA32" s="2" t="n"/>
    </row>
    <row r="33" ht="15.75" customHeight="1" s="69">
      <c r="A33" s="2" t="n"/>
      <c r="B33" s="2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" t="n"/>
      <c r="AA33" s="2" t="n"/>
    </row>
    <row r="34" ht="15.75" customHeight="1" s="69">
      <c r="A34" s="2" t="n"/>
      <c r="B34" s="2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" t="n"/>
      <c r="AA34" s="2" t="n"/>
    </row>
    <row r="35" ht="15.75" customHeight="1" s="69">
      <c r="A35" s="2" t="n"/>
      <c r="B35" s="2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" t="n"/>
      <c r="AA35" s="2" t="n"/>
    </row>
    <row r="36" ht="15.75" customHeight="1" s="69">
      <c r="A36" s="2" t="n"/>
      <c r="B36" s="2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" t="n"/>
      <c r="AA36" s="2" t="n"/>
    </row>
    <row r="37" ht="15.75" customHeight="1" s="69">
      <c r="A37" s="2" t="n"/>
      <c r="B37" s="2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" t="n"/>
      <c r="AA37" s="2" t="n"/>
    </row>
    <row r="38" ht="15.75" customHeight="1" s="69">
      <c r="A38" s="2" t="n"/>
      <c r="B38" s="2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" t="n"/>
      <c r="AA38" s="2" t="n"/>
    </row>
    <row r="39" ht="15.75" customHeight="1" s="69">
      <c r="A39" s="2" t="n"/>
      <c r="B39" s="2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" t="n"/>
      <c r="AA39" s="2" t="n"/>
    </row>
    <row r="40" ht="15.75" customHeight="1" s="69">
      <c r="A40" s="2" t="n"/>
      <c r="B40" s="2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" t="n"/>
      <c r="AA40" s="2" t="n"/>
    </row>
    <row r="41" ht="15.75" customHeight="1" s="69">
      <c r="A41" s="2" t="n"/>
      <c r="B41" s="2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" t="n"/>
      <c r="AA41" s="2" t="n"/>
    </row>
    <row r="42" ht="15.75" customHeight="1" s="69">
      <c r="A42" s="2" t="n"/>
      <c r="B42" s="2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" t="n"/>
      <c r="AA42" s="2" t="n"/>
    </row>
    <row r="43" ht="15.75" customHeight="1" s="69">
      <c r="A43" s="2" t="n"/>
      <c r="B43" s="2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" t="n"/>
      <c r="AA43" s="2" t="n"/>
    </row>
    <row r="44" ht="15.75" customHeight="1" s="69">
      <c r="A44" s="2" t="n"/>
      <c r="B44" s="2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" t="n"/>
      <c r="AA44" s="2" t="n"/>
    </row>
    <row r="45" ht="15.75" customHeight="1" s="69">
      <c r="A45" s="2" t="n"/>
      <c r="B45" s="2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" t="n"/>
      <c r="AA45" s="2" t="n"/>
    </row>
    <row r="46" ht="15.75" customHeight="1" s="69">
      <c r="A46" s="2" t="n"/>
      <c r="B46" s="2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" t="n"/>
      <c r="AA46" s="2" t="n"/>
    </row>
    <row r="47" ht="15.75" customHeight="1" s="69">
      <c r="A47" s="2" t="n"/>
      <c r="B47" s="2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" t="n"/>
      <c r="AA47" s="2" t="n"/>
    </row>
    <row r="48" ht="15.75" customHeight="1" s="69">
      <c r="A48" s="2" t="n"/>
      <c r="B48" s="2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" t="n"/>
      <c r="AA48" s="2" t="n"/>
    </row>
    <row r="49" ht="15.75" customHeight="1" s="69">
      <c r="A49" s="2" t="n"/>
      <c r="B49" s="2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" t="n"/>
      <c r="AA49" s="2" t="n"/>
    </row>
    <row r="50" ht="15.75" customHeight="1" s="69">
      <c r="A50" s="2" t="n"/>
      <c r="B50" s="2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" t="n"/>
      <c r="AA50" s="2" t="n"/>
    </row>
    <row r="51" ht="15.75" customHeight="1" s="69">
      <c r="A51" s="2" t="n"/>
      <c r="B51" s="2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" t="n"/>
      <c r="AA51" s="2" t="n"/>
    </row>
    <row r="52" ht="15.75" customHeight="1" s="69">
      <c r="A52" s="2" t="n"/>
      <c r="B52" s="2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" t="n"/>
      <c r="AA52" s="2" t="n"/>
    </row>
    <row r="53" ht="15.75" customHeight="1" s="69">
      <c r="A53" s="2" t="n"/>
      <c r="B53" s="2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" t="n"/>
      <c r="AA53" s="2" t="n"/>
    </row>
    <row r="54" ht="15.75" customHeight="1" s="69">
      <c r="A54" s="2" t="n"/>
      <c r="B54" s="2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" t="n"/>
      <c r="AA54" s="2" t="n"/>
    </row>
    <row r="55" ht="15.75" customHeight="1" s="69">
      <c r="A55" s="2" t="n"/>
      <c r="B55" s="2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" t="n"/>
      <c r="AA55" s="2" t="n"/>
    </row>
    <row r="56" ht="15.75" customHeight="1" s="69">
      <c r="A56" s="2" t="n"/>
      <c r="B56" s="2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" t="n"/>
      <c r="AA56" s="2" t="n"/>
    </row>
    <row r="57" ht="15.75" customHeight="1" s="69">
      <c r="A57" s="2" t="n"/>
      <c r="B57" s="2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" t="n"/>
      <c r="AA57" s="2" t="n"/>
    </row>
    <row r="58" ht="15.75" customHeight="1" s="69">
      <c r="A58" s="2" t="n"/>
      <c r="B58" s="2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" t="n"/>
      <c r="AA58" s="2" t="n"/>
    </row>
    <row r="59" ht="15.75" customHeight="1" s="69">
      <c r="A59" s="2" t="n"/>
      <c r="B59" s="2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" t="n"/>
      <c r="AA59" s="2" t="n"/>
    </row>
    <row r="60" ht="15.75" customHeight="1" s="69">
      <c r="A60" s="2" t="n"/>
      <c r="B60" s="2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" t="n"/>
      <c r="AA60" s="2" t="n"/>
    </row>
    <row r="61" ht="15.75" customHeight="1" s="69">
      <c r="A61" s="2" t="n"/>
      <c r="B61" s="2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" t="n"/>
      <c r="AA61" s="2" t="n"/>
    </row>
    <row r="62" ht="15.75" customHeight="1" s="69">
      <c r="A62" s="2" t="n"/>
      <c r="B62" s="2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" t="n"/>
      <c r="AA62" s="2" t="n"/>
    </row>
    <row r="63" ht="15.75" customHeight="1" s="69">
      <c r="A63" s="2" t="n"/>
      <c r="B63" s="2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" t="n"/>
      <c r="AA63" s="2" t="n"/>
    </row>
    <row r="64" ht="15.75" customHeight="1" s="69">
      <c r="A64" s="2" t="n"/>
      <c r="B64" s="2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" t="n"/>
      <c r="AA64" s="2" t="n"/>
    </row>
    <row r="65" ht="15.75" customHeight="1" s="69">
      <c r="A65" s="2" t="n"/>
      <c r="B65" s="2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" t="n"/>
      <c r="AA65" s="2" t="n"/>
    </row>
    <row r="66" ht="15.75" customHeight="1" s="69">
      <c r="A66" s="2" t="n"/>
      <c r="B66" s="2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" t="n"/>
      <c r="AA66" s="2" t="n"/>
    </row>
    <row r="67" ht="15.75" customHeight="1" s="69">
      <c r="A67" s="2" t="n"/>
      <c r="B67" s="2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" t="n"/>
      <c r="AA67" s="2" t="n"/>
    </row>
    <row r="68" ht="15.75" customHeight="1" s="69">
      <c r="A68" s="2" t="n"/>
      <c r="B68" s="2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" t="n"/>
      <c r="AA68" s="2" t="n"/>
    </row>
    <row r="69" ht="15.75" customHeight="1" s="69">
      <c r="A69" s="2" t="n"/>
      <c r="B69" s="2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" t="n"/>
      <c r="AA69" s="2" t="n"/>
    </row>
    <row r="70" ht="15.75" customHeight="1" s="69">
      <c r="A70" s="2" t="n"/>
      <c r="B70" s="2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5.75" customHeight="1" s="69">
      <c r="A71" s="2" t="n"/>
      <c r="B71" s="2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5.75" customHeight="1" s="69">
      <c r="A72" s="2" t="n"/>
      <c r="B72" s="2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5.75" customHeight="1" s="69">
      <c r="A73" s="2" t="n"/>
      <c r="B73" s="2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5.75" customHeight="1" s="69">
      <c r="A74" s="2" t="n"/>
      <c r="B74" s="2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5.75" customHeight="1" s="69">
      <c r="A75" s="2" t="n"/>
      <c r="B75" s="2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5.75" customHeight="1" s="69">
      <c r="A76" s="2" t="n"/>
      <c r="B76" s="2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5.75" customHeight="1" s="69">
      <c r="A77" s="2" t="n"/>
      <c r="B77" s="2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5.75" customHeight="1" s="69">
      <c r="A78" s="2" t="n"/>
      <c r="B78" s="2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5.75" customHeight="1" s="69">
      <c r="A79" s="2" t="n"/>
      <c r="B79" s="2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5.75" customHeight="1" s="69">
      <c r="A80" s="2" t="n"/>
      <c r="B80" s="2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5.75" customHeight="1" s="69">
      <c r="A81" s="2" t="n"/>
      <c r="B81" s="2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5.75" customHeight="1" s="69">
      <c r="A82" s="2" t="n"/>
      <c r="B82" s="2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5.75" customHeight="1" s="69">
      <c r="A83" s="2" t="n"/>
      <c r="B83" s="2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5.75" customHeight="1" s="69">
      <c r="A84" s="2" t="n"/>
      <c r="B84" s="2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5.75" customHeight="1" s="69">
      <c r="A85" s="2" t="n"/>
      <c r="B85" s="2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5.75" customHeight="1" s="69">
      <c r="A86" s="2" t="n"/>
      <c r="B86" s="2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5.75" customHeight="1" s="69">
      <c r="A87" s="2" t="n"/>
      <c r="B87" s="2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5.75" customHeight="1" s="69">
      <c r="A88" s="2" t="n"/>
      <c r="B88" s="2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5.75" customHeight="1" s="69">
      <c r="A89" s="2" t="n"/>
      <c r="B89" s="2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5.75" customHeight="1" s="69">
      <c r="A90" s="2" t="n"/>
      <c r="B90" s="2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5.75" customHeight="1" s="69">
      <c r="A91" s="2" t="n"/>
      <c r="B91" s="2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5.75" customHeight="1" s="69">
      <c r="A92" s="2" t="n"/>
      <c r="B92" s="2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5.75" customHeight="1" s="69">
      <c r="A93" s="2" t="n"/>
      <c r="B93" s="2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5.75" customHeight="1" s="69">
      <c r="A94" s="2" t="n"/>
      <c r="B94" s="2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5.75" customHeight="1" s="69">
      <c r="A95" s="2" t="n"/>
      <c r="B95" s="2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5.75" customHeight="1" s="69">
      <c r="A96" s="2" t="n"/>
      <c r="B96" s="2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5.75" customHeight="1" s="69">
      <c r="A97" s="2" t="n"/>
      <c r="B97" s="2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5.75" customHeight="1" s="69">
      <c r="A98" s="2" t="n"/>
      <c r="B98" s="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5.75" customHeight="1" s="69">
      <c r="A99" s="2" t="n"/>
      <c r="B99" s="2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5.75" customHeight="1" s="69">
      <c r="A100" s="2" t="n"/>
      <c r="B100" s="2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5.75" customHeight="1" s="69">
      <c r="A101" s="2" t="n"/>
      <c r="B101" s="2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5.75" customHeight="1" s="69">
      <c r="A102" s="2" t="n"/>
      <c r="B102" s="2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5.75" customHeight="1" s="69">
      <c r="A103" s="2" t="n"/>
      <c r="B103" s="2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5.75" customHeight="1" s="69">
      <c r="A104" s="2" t="n"/>
      <c r="B104" s="2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5.75" customHeight="1" s="69">
      <c r="A105" s="2" t="n"/>
      <c r="B105" s="2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5.75" customHeight="1" s="69">
      <c r="A106" s="2" t="n"/>
      <c r="B106" s="2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5.75" customHeight="1" s="69">
      <c r="A107" s="2" t="n"/>
      <c r="B107" s="2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5.75" customHeight="1" s="69">
      <c r="A108" s="2" t="n"/>
      <c r="B108" s="2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5.75" customHeight="1" s="69">
      <c r="A109" s="2" t="n"/>
      <c r="B109" s="2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5.75" customHeight="1" s="69">
      <c r="A110" s="2" t="n"/>
      <c r="B110" s="2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5.75" customHeight="1" s="69">
      <c r="A111" s="2" t="n"/>
      <c r="B111" s="2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5.75" customHeight="1" s="69">
      <c r="A112" s="2" t="n"/>
      <c r="B112" s="2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5.75" customHeight="1" s="69">
      <c r="A113" s="2" t="n"/>
      <c r="B113" s="2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5.75" customHeight="1" s="69">
      <c r="A114" s="2" t="n"/>
      <c r="B114" s="2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5.75" customHeight="1" s="69">
      <c r="A115" s="2" t="n"/>
      <c r="B115" s="2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5.75" customHeight="1" s="69">
      <c r="A116" s="2" t="n"/>
      <c r="B116" s="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5.75" customHeight="1" s="69">
      <c r="A117" s="2" t="n"/>
      <c r="B117" s="2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5.75" customHeight="1" s="69">
      <c r="A118" s="2" t="n"/>
      <c r="B118" s="2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5.75" customHeight="1" s="69">
      <c r="A119" s="2" t="n"/>
      <c r="B119" s="2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5.75" customHeight="1" s="69">
      <c r="A120" s="2" t="n"/>
      <c r="B120" s="2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5.75" customHeight="1" s="69">
      <c r="A121" s="2" t="n"/>
      <c r="B121" s="2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5.75" customHeight="1" s="69">
      <c r="A122" s="2" t="n"/>
      <c r="B122" s="2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5.75" customHeight="1" s="69">
      <c r="A123" s="2" t="n"/>
      <c r="B123" s="2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5.75" customHeight="1" s="69">
      <c r="A124" s="2" t="n"/>
      <c r="B124" s="2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5.75" customHeight="1" s="69">
      <c r="A125" s="2" t="n"/>
      <c r="B125" s="2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5.75" customHeight="1" s="69">
      <c r="A126" s="2" t="n"/>
      <c r="B126" s="2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5.75" customHeight="1" s="69">
      <c r="A127" s="2" t="n"/>
      <c r="B127" s="2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5.75" customHeight="1" s="69">
      <c r="A128" s="2" t="n"/>
      <c r="B128" s="2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5.75" customHeight="1" s="69">
      <c r="A129" s="2" t="n"/>
      <c r="B129" s="2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5.75" customHeight="1" s="69">
      <c r="A130" s="2" t="n"/>
      <c r="B130" s="2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5.75" customHeight="1" s="69">
      <c r="A131" s="2" t="n"/>
      <c r="B131" s="2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5.75" customHeight="1" s="69">
      <c r="A132" s="2" t="n"/>
      <c r="B132" s="2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5.75" customHeight="1" s="69">
      <c r="A133" s="2" t="n"/>
      <c r="B133" s="2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5.75" customHeight="1" s="69">
      <c r="A134" s="2" t="n"/>
      <c r="B134" s="2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5.75" customHeight="1" s="69">
      <c r="A135" s="2" t="n"/>
      <c r="B135" s="2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5.75" customHeight="1" s="69">
      <c r="A136" s="2" t="n"/>
      <c r="B136" s="2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5.75" customHeight="1" s="69">
      <c r="A137" s="2" t="n"/>
      <c r="B137" s="2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5.75" customHeight="1" s="69">
      <c r="A138" s="2" t="n"/>
      <c r="B138" s="2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5.75" customHeight="1" s="69">
      <c r="A139" s="2" t="n"/>
      <c r="B139" s="2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5.75" customHeight="1" s="69">
      <c r="A140" s="2" t="n"/>
      <c r="B140" s="2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5.75" customHeight="1" s="69">
      <c r="A141" s="2" t="n"/>
      <c r="B141" s="2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5.75" customHeight="1" s="69">
      <c r="A142" s="2" t="n"/>
      <c r="B142" s="2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5.75" customHeight="1" s="69">
      <c r="A143" s="2" t="n"/>
      <c r="B143" s="2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5.75" customHeight="1" s="69">
      <c r="A144" s="2" t="n"/>
      <c r="B144" s="2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5.75" customHeight="1" s="69">
      <c r="A145" s="2" t="n"/>
      <c r="B145" s="2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5.75" customHeight="1" s="69">
      <c r="A146" s="2" t="n"/>
      <c r="B146" s="2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5.75" customHeight="1" s="69">
      <c r="A147" s="2" t="n"/>
      <c r="B147" s="2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5.75" customHeight="1" s="69">
      <c r="A148" s="2" t="n"/>
      <c r="B148" s="2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5.75" customHeight="1" s="69">
      <c r="A149" s="2" t="n"/>
      <c r="B149" s="2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5.75" customHeight="1" s="69">
      <c r="A150" s="2" t="n"/>
      <c r="B150" s="2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5.75" customHeight="1" s="69">
      <c r="A151" s="2" t="n"/>
      <c r="B151" s="2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5.75" customHeight="1" s="69">
      <c r="A152" s="2" t="n"/>
      <c r="B152" s="2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5.75" customHeight="1" s="69">
      <c r="A153" s="2" t="n"/>
      <c r="B153" s="2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5.75" customHeight="1" s="69">
      <c r="A154" s="2" t="n"/>
      <c r="B154" s="2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5.75" customHeight="1" s="69">
      <c r="A155" s="2" t="n"/>
      <c r="B155" s="2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5.75" customHeight="1" s="69">
      <c r="A156" s="2" t="n"/>
      <c r="B156" s="2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5.75" customHeight="1" s="69">
      <c r="A157" s="2" t="n"/>
      <c r="B157" s="2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5.75" customHeight="1" s="69">
      <c r="A158" s="2" t="n"/>
      <c r="B158" s="2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5.75" customHeight="1" s="69">
      <c r="A159" s="2" t="n"/>
      <c r="B159" s="2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5.75" customHeight="1" s="69">
      <c r="A160" s="2" t="n"/>
      <c r="B160" s="2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5.75" customHeight="1" s="69">
      <c r="A161" s="2" t="n"/>
      <c r="B161" s="2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5.75" customHeight="1" s="69">
      <c r="A162" s="2" t="n"/>
      <c r="B162" s="2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5.75" customHeight="1" s="69">
      <c r="A163" s="2" t="n"/>
      <c r="B163" s="2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5.75" customHeight="1" s="69">
      <c r="A164" s="2" t="n"/>
      <c r="B164" s="2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5.75" customHeight="1" s="69">
      <c r="A165" s="2" t="n"/>
      <c r="B165" s="2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5.75" customHeight="1" s="69">
      <c r="A166" s="2" t="n"/>
      <c r="B166" s="2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5.75" customHeight="1" s="69">
      <c r="A167" s="2" t="n"/>
      <c r="B167" s="2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5.75" customHeight="1" s="69">
      <c r="A168" s="2" t="n"/>
      <c r="B168" s="2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5.75" customHeight="1" s="69">
      <c r="A169" s="2" t="n"/>
      <c r="B169" s="2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5.75" customHeight="1" s="69">
      <c r="A170" s="2" t="n"/>
      <c r="B170" s="2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5.75" customHeight="1" s="69">
      <c r="A171" s="2" t="n"/>
      <c r="B171" s="2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5.75" customHeight="1" s="69">
      <c r="A172" s="2" t="n"/>
      <c r="B172" s="2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5.75" customHeight="1" s="69">
      <c r="A173" s="2" t="n"/>
      <c r="B173" s="2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5.75" customHeight="1" s="69">
      <c r="A174" s="2" t="n"/>
      <c r="B174" s="2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5.75" customHeight="1" s="69">
      <c r="A175" s="2" t="n"/>
      <c r="B175" s="2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5.75" customHeight="1" s="69">
      <c r="A176" s="2" t="n"/>
      <c r="B176" s="2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5.75" customHeight="1" s="69">
      <c r="A177" s="2" t="n"/>
      <c r="B177" s="2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5.75" customHeight="1" s="69">
      <c r="A178" s="2" t="n"/>
      <c r="B178" s="2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5.75" customHeight="1" s="69">
      <c r="A179" s="2" t="n"/>
      <c r="B179" s="2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5.75" customHeight="1" s="69">
      <c r="A180" s="2" t="n"/>
      <c r="B180" s="2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5.75" customHeight="1" s="69">
      <c r="A181" s="2" t="n"/>
      <c r="B181" s="2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5.75" customHeight="1" s="69">
      <c r="A182" s="2" t="n"/>
      <c r="B182" s="2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5.75" customHeight="1" s="69">
      <c r="A183" s="2" t="n"/>
      <c r="B183" s="2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5.75" customHeight="1" s="69">
      <c r="A184" s="2" t="n"/>
      <c r="B184" s="2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5.75" customHeight="1" s="69">
      <c r="A185" s="2" t="n"/>
      <c r="B185" s="2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5.75" customHeight="1" s="69">
      <c r="A186" s="2" t="n"/>
      <c r="B186" s="2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5.75" customHeight="1" s="69">
      <c r="A187" s="2" t="n"/>
      <c r="B187" s="2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5.75" customHeight="1" s="69">
      <c r="A188" s="2" t="n"/>
      <c r="B188" s="2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5.75" customHeight="1" s="69">
      <c r="A189" s="2" t="n"/>
      <c r="B189" s="2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5.75" customHeight="1" s="69">
      <c r="A190" s="2" t="n"/>
      <c r="B190" s="2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5.75" customHeight="1" s="69">
      <c r="A191" s="2" t="n"/>
      <c r="B191" s="2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5.75" customHeight="1" s="69">
      <c r="A192" s="2" t="n"/>
      <c r="B192" s="2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5.75" customHeight="1" s="69">
      <c r="A193" s="2" t="n"/>
      <c r="B193" s="2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5.75" customHeight="1" s="69">
      <c r="A194" s="2" t="n"/>
      <c r="B194" s="2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5.75" customHeight="1" s="69">
      <c r="A195" s="2" t="n"/>
      <c r="B195" s="2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5.75" customHeight="1" s="69">
      <c r="A196" s="2" t="n"/>
      <c r="B196" s="2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5.75" customHeight="1" s="69">
      <c r="A197" s="2" t="n"/>
      <c r="B197" s="2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5.75" customHeight="1" s="69">
      <c r="A198" s="2" t="n"/>
      <c r="B198" s="2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5.75" customHeight="1" s="69">
      <c r="A199" s="2" t="n"/>
      <c r="B199" s="2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5.75" customHeight="1" s="69">
      <c r="A200" s="2" t="n"/>
      <c r="B200" s="2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5.75" customHeight="1" s="69">
      <c r="A201" s="2" t="n"/>
      <c r="B201" s="2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5.75" customHeight="1" s="69">
      <c r="A202" s="2" t="n"/>
      <c r="B202" s="2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5.75" customHeight="1" s="69">
      <c r="A203" s="2" t="n"/>
      <c r="B203" s="2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5.75" customHeight="1" s="69">
      <c r="A204" s="2" t="n"/>
      <c r="B204" s="2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5.75" customHeight="1" s="69">
      <c r="A205" s="2" t="n"/>
      <c r="B205" s="2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5.75" customHeight="1" s="69">
      <c r="A206" s="2" t="n"/>
      <c r="B206" s="2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5.75" customHeight="1" s="69">
      <c r="A207" s="2" t="n"/>
      <c r="B207" s="2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5.75" customHeight="1" s="69">
      <c r="A208" s="2" t="n"/>
      <c r="B208" s="2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5.75" customHeight="1" s="69">
      <c r="A209" s="2" t="n"/>
      <c r="B209" s="2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5.75" customHeight="1" s="69">
      <c r="A210" s="2" t="n"/>
      <c r="B210" s="2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5.75" customHeight="1" s="69">
      <c r="A211" s="2" t="n"/>
      <c r="B211" s="2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5.75" customHeight="1" s="69">
      <c r="A212" s="2" t="n"/>
      <c r="B212" s="2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5.75" customHeight="1" s="69">
      <c r="A213" s="2" t="n"/>
      <c r="B213" s="2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5.75" customHeight="1" s="69">
      <c r="A214" s="2" t="n"/>
      <c r="B214" s="2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5.75" customHeight="1" s="69">
      <c r="A215" s="2" t="n"/>
      <c r="B215" s="2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5.75" customHeight="1" s="69">
      <c r="A216" s="2" t="n"/>
      <c r="B216" s="2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5.75" customHeight="1" s="69">
      <c r="A217" s="2" t="n"/>
      <c r="B217" s="2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5.75" customHeight="1" s="69">
      <c r="A218" s="2" t="n"/>
      <c r="B218" s="2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5.75" customHeight="1" s="69">
      <c r="A219" s="2" t="n"/>
      <c r="B219" s="2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5.75" customHeight="1" s="69">
      <c r="A220" s="2" t="n"/>
      <c r="B220" s="2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3">
    <mergeCell ref="T1:Y1"/>
    <mergeCell ref="H1:S1"/>
    <mergeCell ref="D1:G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Z220"/>
  <sheetViews>
    <sheetView workbookViewId="0">
      <selection activeCell="A1" sqref="A1"/>
    </sheetView>
  </sheetViews>
  <sheetFormatPr baseColWidth="8" defaultColWidth="11.25" defaultRowHeight="15" customHeight="1"/>
  <cols>
    <col width="17.25" customWidth="1" style="69" min="1" max="1"/>
    <col width="11" customWidth="1" style="69" min="2" max="2"/>
    <col width="6.625" customWidth="1" style="69" min="3" max="8"/>
    <col width="6.875" customWidth="1" style="69" min="9" max="22"/>
    <col width="8.625" customWidth="1" style="69" min="23" max="26"/>
  </cols>
  <sheetData>
    <row r="1" ht="15.75" customHeight="1" s="69">
      <c r="A1" s="88" t="inlineStr">
        <is>
          <t xml:space="preserve">Debiti non inseriti nel piano 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69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69">
      <c r="A3" s="80" t="inlineStr">
        <is>
          <t>Fornitore</t>
        </is>
      </c>
      <c r="B3" s="80" t="inlineStr">
        <is>
          <t xml:space="preserve">Importo 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69">
      <c r="A4" s="62" t="inlineStr">
        <is>
          <t>Caparre da girocantare aOrti</t>
        </is>
      </c>
      <c r="B4" s="62" t="n">
        <v>130556.57</v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69">
      <c r="A5" s="80" t="inlineStr">
        <is>
          <t>SDP</t>
        </is>
      </c>
      <c r="B5" s="55" t="n">
        <v>33600</v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69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69">
      <c r="A7" s="80" t="inlineStr">
        <is>
          <t>Panorama Company</t>
        </is>
      </c>
      <c r="B7" s="56" t="n">
        <v>412036.53</v>
      </c>
      <c r="C7" s="2" t="n"/>
      <c r="D7" s="2" t="n"/>
      <c r="E7" s="2" t="n"/>
      <c r="F7" s="2" t="n"/>
      <c r="G7" s="2" t="n"/>
      <c r="H7" s="1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69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6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69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69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69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69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69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69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69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69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69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6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69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69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69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69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69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69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69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69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69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6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69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69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69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69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6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6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6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6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69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6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69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69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69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69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69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69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69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69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69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6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69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69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69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69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69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69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69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69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69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6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69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69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69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69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69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69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69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69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69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69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69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69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69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69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69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69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69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69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6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69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69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69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69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69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69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69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69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69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6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69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69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69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69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69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69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69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69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69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6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69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69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69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69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69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69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69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69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69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6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69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69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69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69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69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69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69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69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69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6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69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69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69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69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69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69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69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69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69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6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69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69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69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69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69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69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69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69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69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6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69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69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69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69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69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69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69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69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69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6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69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69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69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69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69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69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69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69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69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6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69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69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69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69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69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69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69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69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69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69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69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69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69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69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69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69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69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69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6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69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69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69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69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69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69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69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69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69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6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69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69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69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69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69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69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69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69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69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6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69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69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69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69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69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69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69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69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69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6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69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69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69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69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69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69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69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69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69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6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69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1">
    <mergeCell ref="A1:B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20"/>
  <sheetViews>
    <sheetView workbookViewId="0">
      <selection activeCell="A1" sqref="A1"/>
    </sheetView>
  </sheetViews>
  <sheetFormatPr baseColWidth="8" defaultColWidth="11.25" defaultRowHeight="15" customHeight="1"/>
  <cols>
    <col width="5.375" customWidth="1" style="69" min="1" max="1"/>
    <col width="26.5" customWidth="1" style="69" min="2" max="2"/>
    <col width="5.375" customWidth="1" style="69" min="3" max="14"/>
    <col width="8.625" customWidth="1" style="69" min="15" max="26"/>
  </cols>
  <sheetData>
    <row r="1" ht="15.75" customHeight="1" s="69">
      <c r="A1" s="15" t="inlineStr">
        <is>
          <t>Fornitori NON mappati in d_fornitori.csv — assegnare una voce (hotelops fornitori) e rigenerare</t>
        </is>
      </c>
      <c r="B1" s="2" t="n"/>
    </row>
    <row r="2" ht="15.75" customHeight="1" s="69">
      <c r="A2" s="15" t="inlineStr">
        <is>
          <t>Cod</t>
        </is>
      </c>
      <c r="B2" s="15" t="inlineStr">
        <is>
          <t>Nome (da export)</t>
        </is>
      </c>
      <c r="C2" s="15" t="inlineStr">
        <is>
          <t>GENNAIO</t>
        </is>
      </c>
      <c r="D2" s="15" t="inlineStr">
        <is>
          <t>FEBBRAIO</t>
        </is>
      </c>
      <c r="E2" s="15" t="inlineStr">
        <is>
          <t>MARZO</t>
        </is>
      </c>
      <c r="F2" s="15" t="inlineStr">
        <is>
          <t>APRILE</t>
        </is>
      </c>
      <c r="G2" s="15" t="inlineStr">
        <is>
          <t>MAGGIO</t>
        </is>
      </c>
      <c r="H2" s="15" t="inlineStr">
        <is>
          <t>GIUGNO</t>
        </is>
      </c>
      <c r="I2" s="15" t="inlineStr">
        <is>
          <t>LUGLIO</t>
        </is>
      </c>
      <c r="J2" s="15" t="inlineStr">
        <is>
          <t>AGOSTO</t>
        </is>
      </c>
      <c r="K2" s="15" t="inlineStr">
        <is>
          <t>SETTEMBRE</t>
        </is>
      </c>
      <c r="L2" s="15" t="inlineStr">
        <is>
          <t>OTTOBRE</t>
        </is>
      </c>
      <c r="M2" s="15" t="inlineStr">
        <is>
          <t>NOVEMBRE</t>
        </is>
      </c>
      <c r="N2" s="15" t="inlineStr">
        <is>
          <t>DICEMBRE</t>
        </is>
      </c>
    </row>
    <row r="3" ht="15.75" customHeight="1" s="69">
      <c r="B3" s="2" t="n"/>
    </row>
    <row r="4" ht="15.75" customHeight="1" s="69">
      <c r="B4" s="2" t="n"/>
    </row>
    <row r="5" ht="15.75" customHeight="1" s="69">
      <c r="B5" s="2" t="n"/>
    </row>
    <row r="6" ht="15.75" customHeight="1" s="69">
      <c r="B6" s="2" t="n"/>
    </row>
    <row r="7" ht="15.75" customHeight="1" s="69">
      <c r="B7" s="2" t="n"/>
    </row>
    <row r="8" ht="15.75" customHeight="1" s="69">
      <c r="B8" s="2" t="n"/>
    </row>
    <row r="9" ht="15.75" customHeight="1" s="69">
      <c r="B9" s="2" t="n"/>
    </row>
    <row r="10" ht="15.75" customHeight="1" s="69">
      <c r="B10" s="2" t="n"/>
    </row>
    <row r="11" ht="15.75" customHeight="1" s="69">
      <c r="B11" s="2" t="n"/>
    </row>
    <row r="12" ht="15.75" customHeight="1" s="69">
      <c r="B12" s="2" t="n"/>
    </row>
    <row r="13" ht="15.75" customHeight="1" s="69">
      <c r="B13" s="2" t="n"/>
    </row>
    <row r="14" ht="15.75" customHeight="1" s="69">
      <c r="B14" s="2" t="n"/>
    </row>
    <row r="15" ht="15.75" customHeight="1" s="69">
      <c r="B15" s="2" t="n"/>
    </row>
    <row r="16" ht="15.75" customHeight="1" s="69">
      <c r="B16" s="2" t="n"/>
    </row>
    <row r="17" ht="15.75" customHeight="1" s="69">
      <c r="B17" s="2" t="n"/>
    </row>
    <row r="18" ht="15.75" customHeight="1" s="69">
      <c r="B18" s="2" t="n"/>
    </row>
    <row r="19" ht="15.75" customHeight="1" s="69">
      <c r="B19" s="2" t="n"/>
    </row>
    <row r="20" ht="15.75" customHeight="1" s="69">
      <c r="B20" s="2" t="n"/>
    </row>
    <row r="21" ht="15.75" customHeight="1" s="69">
      <c r="B21" s="2" t="n"/>
    </row>
    <row r="22" ht="15.75" customHeight="1" s="69">
      <c r="B22" s="2" t="n"/>
    </row>
    <row r="23" ht="15.75" customHeight="1" s="69">
      <c r="B23" s="2" t="n"/>
    </row>
    <row r="24" ht="15.75" customHeight="1" s="69">
      <c r="B24" s="2" t="n"/>
    </row>
    <row r="25" ht="15.75" customHeight="1" s="69">
      <c r="B25" s="2" t="n"/>
    </row>
    <row r="26" ht="15.75" customHeight="1" s="69">
      <c r="B26" s="2" t="n"/>
    </row>
    <row r="27" ht="15.75" customHeight="1" s="69">
      <c r="B27" s="2" t="n"/>
    </row>
    <row r="28" ht="15.75" customHeight="1" s="69">
      <c r="B28" s="2" t="n"/>
    </row>
    <row r="29" ht="15.75" customHeight="1" s="69">
      <c r="B29" s="2" t="n"/>
    </row>
    <row r="30" ht="15.75" customHeight="1" s="69">
      <c r="B30" s="2" t="n"/>
    </row>
    <row r="31" ht="15.75" customHeight="1" s="69">
      <c r="B31" s="2" t="n"/>
    </row>
    <row r="32" ht="15.75" customHeight="1" s="69">
      <c r="B32" s="2" t="n"/>
    </row>
    <row r="33" ht="15.75" customHeight="1" s="69">
      <c r="B33" s="2" t="n"/>
    </row>
    <row r="34" ht="15.75" customHeight="1" s="69">
      <c r="B34" s="2" t="n"/>
    </row>
    <row r="35" ht="15.75" customHeight="1" s="69">
      <c r="B35" s="2" t="n"/>
    </row>
    <row r="36" ht="15.75" customHeight="1" s="69">
      <c r="B36" s="2" t="n"/>
    </row>
    <row r="37" ht="15.75" customHeight="1" s="69">
      <c r="B37" s="2" t="n"/>
    </row>
    <row r="38" ht="15.75" customHeight="1" s="69">
      <c r="B38" s="2" t="n"/>
    </row>
    <row r="39" ht="15.75" customHeight="1" s="69">
      <c r="B39" s="2" t="n"/>
    </row>
    <row r="40" ht="15.75" customHeight="1" s="69">
      <c r="B40" s="2" t="n"/>
    </row>
    <row r="41" ht="15.75" customHeight="1" s="69">
      <c r="B41" s="2" t="n"/>
    </row>
    <row r="42" ht="15.75" customHeight="1" s="69">
      <c r="B42" s="2" t="n"/>
    </row>
    <row r="43" ht="15.75" customHeight="1" s="69">
      <c r="B43" s="2" t="n"/>
    </row>
    <row r="44" ht="15.75" customHeight="1" s="69">
      <c r="B44" s="2" t="n"/>
    </row>
    <row r="45" ht="15.75" customHeight="1" s="69">
      <c r="B45" s="2" t="n"/>
    </row>
    <row r="46" ht="15.75" customHeight="1" s="69">
      <c r="B46" s="2" t="n"/>
    </row>
    <row r="47" ht="15.75" customHeight="1" s="69">
      <c r="B47" s="2" t="n"/>
    </row>
    <row r="48" ht="15.75" customHeight="1" s="69">
      <c r="B48" s="2" t="n"/>
    </row>
    <row r="49" ht="15.75" customHeight="1" s="69">
      <c r="B49" s="2" t="n"/>
    </row>
    <row r="50" ht="15.75" customHeight="1" s="69">
      <c r="B50" s="2" t="n"/>
    </row>
    <row r="51" ht="15.75" customHeight="1" s="69">
      <c r="B51" s="2" t="n"/>
    </row>
    <row r="52" ht="15.75" customHeight="1" s="69">
      <c r="B52" s="2" t="n"/>
    </row>
    <row r="53" ht="15.75" customHeight="1" s="69">
      <c r="B53" s="2" t="n"/>
    </row>
    <row r="54" ht="15.75" customHeight="1" s="69">
      <c r="B54" s="2" t="n"/>
    </row>
    <row r="55" ht="15.75" customHeight="1" s="69">
      <c r="B55" s="2" t="n"/>
    </row>
    <row r="56" ht="15.75" customHeight="1" s="69">
      <c r="B56" s="2" t="n"/>
    </row>
    <row r="57" ht="15.75" customHeight="1" s="69">
      <c r="B57" s="2" t="n"/>
    </row>
    <row r="58" ht="15.75" customHeight="1" s="69">
      <c r="B58" s="2" t="n"/>
    </row>
    <row r="59" ht="15.75" customHeight="1" s="69">
      <c r="B59" s="2" t="n"/>
    </row>
    <row r="60" ht="15.75" customHeight="1" s="69">
      <c r="B60" s="2" t="n"/>
    </row>
    <row r="61" ht="15.75" customHeight="1" s="69">
      <c r="B61" s="2" t="n"/>
    </row>
    <row r="62" ht="15.75" customHeight="1" s="69">
      <c r="B62" s="2" t="n"/>
    </row>
    <row r="63" ht="15.75" customHeight="1" s="69">
      <c r="B63" s="2" t="n"/>
    </row>
    <row r="64" ht="15.75" customHeight="1" s="69">
      <c r="B64" s="2" t="n"/>
    </row>
    <row r="65" ht="15.75" customHeight="1" s="69">
      <c r="B65" s="2" t="n"/>
    </row>
    <row r="66" ht="15.75" customHeight="1" s="69">
      <c r="B66" s="2" t="n"/>
    </row>
    <row r="67" ht="15.75" customHeight="1" s="69">
      <c r="B67" s="2" t="n"/>
    </row>
    <row r="68" ht="15.75" customHeight="1" s="69">
      <c r="B68" s="2" t="n"/>
    </row>
    <row r="69" ht="15.75" customHeight="1" s="69">
      <c r="B69" s="2" t="n"/>
    </row>
    <row r="70" ht="15.75" customHeight="1" s="69">
      <c r="B70" s="2" t="n"/>
    </row>
    <row r="71" ht="15.75" customHeight="1" s="69">
      <c r="B71" s="2" t="n"/>
    </row>
    <row r="72" ht="15.75" customHeight="1" s="69">
      <c r="B72" s="2" t="n"/>
    </row>
    <row r="73" ht="15.75" customHeight="1" s="69">
      <c r="B73" s="2" t="n"/>
    </row>
    <row r="74" ht="15.75" customHeight="1" s="69">
      <c r="B74" s="2" t="n"/>
    </row>
    <row r="75" ht="15.75" customHeight="1" s="69">
      <c r="B75" s="2" t="n"/>
    </row>
    <row r="76" ht="15.75" customHeight="1" s="69">
      <c r="B76" s="2" t="n"/>
    </row>
    <row r="77" ht="15.75" customHeight="1" s="69">
      <c r="B77" s="2" t="n"/>
    </row>
    <row r="78" ht="15.75" customHeight="1" s="69">
      <c r="B78" s="2" t="n"/>
    </row>
    <row r="79" ht="15.75" customHeight="1" s="69">
      <c r="B79" s="2" t="n"/>
    </row>
    <row r="80" ht="15.75" customHeight="1" s="69">
      <c r="B80" s="2" t="n"/>
    </row>
    <row r="81" ht="15.75" customHeight="1" s="69">
      <c r="B81" s="2" t="n"/>
    </row>
    <row r="82" ht="15.75" customHeight="1" s="69">
      <c r="B82" s="2" t="n"/>
    </row>
    <row r="83" ht="15.75" customHeight="1" s="69">
      <c r="B83" s="2" t="n"/>
    </row>
    <row r="84" ht="15.75" customHeight="1" s="69">
      <c r="B84" s="2" t="n"/>
    </row>
    <row r="85" ht="15.75" customHeight="1" s="69">
      <c r="B85" s="2" t="n"/>
    </row>
    <row r="86" ht="15.75" customHeight="1" s="69">
      <c r="B86" s="2" t="n"/>
    </row>
    <row r="87" ht="15.75" customHeight="1" s="69">
      <c r="B87" s="2" t="n"/>
    </row>
    <row r="88" ht="15.75" customHeight="1" s="69">
      <c r="B88" s="2" t="n"/>
    </row>
    <row r="89" ht="15.75" customHeight="1" s="69">
      <c r="B89" s="2" t="n"/>
    </row>
    <row r="90" ht="15.75" customHeight="1" s="69">
      <c r="B90" s="2" t="n"/>
    </row>
    <row r="91" ht="15.75" customHeight="1" s="69">
      <c r="B91" s="2" t="n"/>
    </row>
    <row r="92" ht="15.75" customHeight="1" s="69">
      <c r="B92" s="2" t="n"/>
    </row>
    <row r="93" ht="15.75" customHeight="1" s="69">
      <c r="B93" s="2" t="n"/>
    </row>
    <row r="94" ht="15.75" customHeight="1" s="69">
      <c r="B94" s="2" t="n"/>
    </row>
    <row r="95" ht="15.75" customHeight="1" s="69">
      <c r="B95" s="2" t="n"/>
    </row>
    <row r="96" ht="15.75" customHeight="1" s="69">
      <c r="B96" s="2" t="n"/>
    </row>
    <row r="97" ht="15.75" customHeight="1" s="69">
      <c r="B97" s="2" t="n"/>
    </row>
    <row r="98" ht="15.75" customHeight="1" s="69">
      <c r="B98" s="2" t="n"/>
    </row>
    <row r="99" ht="15.75" customHeight="1" s="69">
      <c r="B99" s="2" t="n"/>
    </row>
    <row r="100" ht="15.75" customHeight="1" s="69">
      <c r="B100" s="2" t="n"/>
    </row>
    <row r="101" ht="15.75" customHeight="1" s="69">
      <c r="B101" s="2" t="n"/>
    </row>
    <row r="102" ht="15.75" customHeight="1" s="69">
      <c r="B102" s="2" t="n"/>
    </row>
    <row r="103" ht="15.75" customHeight="1" s="69">
      <c r="B103" s="2" t="n"/>
    </row>
    <row r="104" ht="15.75" customHeight="1" s="69">
      <c r="B104" s="2" t="n"/>
    </row>
    <row r="105" ht="15.75" customHeight="1" s="69">
      <c r="B105" s="2" t="n"/>
    </row>
    <row r="106" ht="15.75" customHeight="1" s="69">
      <c r="B106" s="2" t="n"/>
    </row>
    <row r="107" ht="15.75" customHeight="1" s="69">
      <c r="B107" s="2" t="n"/>
    </row>
    <row r="108" ht="15.75" customHeight="1" s="69">
      <c r="B108" s="2" t="n"/>
    </row>
    <row r="109" ht="15.75" customHeight="1" s="69">
      <c r="B109" s="2" t="n"/>
    </row>
    <row r="110" ht="15.75" customHeight="1" s="69">
      <c r="B110" s="2" t="n"/>
    </row>
    <row r="111" ht="15.75" customHeight="1" s="69">
      <c r="B111" s="2" t="n"/>
    </row>
    <row r="112" ht="15.75" customHeight="1" s="69">
      <c r="B112" s="2" t="n"/>
    </row>
    <row r="113" ht="15.75" customHeight="1" s="69">
      <c r="B113" s="2" t="n"/>
    </row>
    <row r="114" ht="15.75" customHeight="1" s="69">
      <c r="B114" s="2" t="n"/>
    </row>
    <row r="115" ht="15.75" customHeight="1" s="69">
      <c r="B115" s="2" t="n"/>
    </row>
    <row r="116" ht="15.75" customHeight="1" s="69">
      <c r="B116" s="2" t="n"/>
    </row>
    <row r="117" ht="15.75" customHeight="1" s="69">
      <c r="B117" s="2" t="n"/>
    </row>
    <row r="118" ht="15.75" customHeight="1" s="69">
      <c r="B118" s="2" t="n"/>
    </row>
    <row r="119" ht="15.75" customHeight="1" s="69">
      <c r="B119" s="2" t="n"/>
    </row>
    <row r="120" ht="15.75" customHeight="1" s="69">
      <c r="B120" s="2" t="n"/>
    </row>
    <row r="121" ht="15.75" customHeight="1" s="69">
      <c r="B121" s="2" t="n"/>
    </row>
    <row r="122" ht="15.75" customHeight="1" s="69">
      <c r="B122" s="2" t="n"/>
    </row>
    <row r="123" ht="15.75" customHeight="1" s="69">
      <c r="B123" s="2" t="n"/>
    </row>
    <row r="124" ht="15.75" customHeight="1" s="69">
      <c r="B124" s="2" t="n"/>
    </row>
    <row r="125" ht="15.75" customHeight="1" s="69">
      <c r="B125" s="2" t="n"/>
    </row>
    <row r="126" ht="15.75" customHeight="1" s="69">
      <c r="B126" s="2" t="n"/>
    </row>
    <row r="127" ht="15.75" customHeight="1" s="69">
      <c r="B127" s="2" t="n"/>
    </row>
    <row r="128" ht="15.75" customHeight="1" s="69">
      <c r="B128" s="2" t="n"/>
    </row>
    <row r="129" ht="15.75" customHeight="1" s="69">
      <c r="B129" s="2" t="n"/>
    </row>
    <row r="130" ht="15.75" customHeight="1" s="69">
      <c r="B130" s="2" t="n"/>
    </row>
    <row r="131" ht="15.75" customHeight="1" s="69">
      <c r="B131" s="2" t="n"/>
    </row>
    <row r="132" ht="15.75" customHeight="1" s="69">
      <c r="B132" s="2" t="n"/>
    </row>
    <row r="133" ht="15.75" customHeight="1" s="69">
      <c r="B133" s="2" t="n"/>
    </row>
    <row r="134" ht="15.75" customHeight="1" s="69">
      <c r="B134" s="2" t="n"/>
    </row>
    <row r="135" ht="15.75" customHeight="1" s="69">
      <c r="B135" s="2" t="n"/>
    </row>
    <row r="136" ht="15.75" customHeight="1" s="69">
      <c r="B136" s="2" t="n"/>
    </row>
    <row r="137" ht="15.75" customHeight="1" s="69">
      <c r="B137" s="2" t="n"/>
    </row>
    <row r="138" ht="15.75" customHeight="1" s="69">
      <c r="B138" s="2" t="n"/>
    </row>
    <row r="139" ht="15.75" customHeight="1" s="69">
      <c r="B139" s="2" t="n"/>
    </row>
    <row r="140" ht="15.75" customHeight="1" s="69">
      <c r="B140" s="2" t="n"/>
    </row>
    <row r="141" ht="15.75" customHeight="1" s="69">
      <c r="B141" s="2" t="n"/>
    </row>
    <row r="142" ht="15.75" customHeight="1" s="69">
      <c r="B142" s="2" t="n"/>
    </row>
    <row r="143" ht="15.75" customHeight="1" s="69">
      <c r="B143" s="2" t="n"/>
    </row>
    <row r="144" ht="15.75" customHeight="1" s="69">
      <c r="B144" s="2" t="n"/>
    </row>
    <row r="145" ht="15.75" customHeight="1" s="69">
      <c r="B145" s="2" t="n"/>
    </row>
    <row r="146" ht="15.75" customHeight="1" s="69">
      <c r="B146" s="2" t="n"/>
    </row>
    <row r="147" ht="15.75" customHeight="1" s="69">
      <c r="B147" s="2" t="n"/>
    </row>
    <row r="148" ht="15.75" customHeight="1" s="69">
      <c r="B148" s="2" t="n"/>
    </row>
    <row r="149" ht="15.75" customHeight="1" s="69">
      <c r="B149" s="2" t="n"/>
    </row>
    <row r="150" ht="15.75" customHeight="1" s="69">
      <c r="B150" s="2" t="n"/>
    </row>
    <row r="151" ht="15.75" customHeight="1" s="69">
      <c r="B151" s="2" t="n"/>
    </row>
    <row r="152" ht="15.75" customHeight="1" s="69">
      <c r="B152" s="2" t="n"/>
    </row>
    <row r="153" ht="15.75" customHeight="1" s="69">
      <c r="B153" s="2" t="n"/>
    </row>
    <row r="154" ht="15.75" customHeight="1" s="69">
      <c r="B154" s="2" t="n"/>
    </row>
    <row r="155" ht="15.75" customHeight="1" s="69">
      <c r="B155" s="2" t="n"/>
    </row>
    <row r="156" ht="15.75" customHeight="1" s="69">
      <c r="B156" s="2" t="n"/>
    </row>
    <row r="157" ht="15.75" customHeight="1" s="69">
      <c r="B157" s="2" t="n"/>
    </row>
    <row r="158" ht="15.75" customHeight="1" s="69">
      <c r="B158" s="2" t="n"/>
    </row>
    <row r="159" ht="15.75" customHeight="1" s="69">
      <c r="B159" s="2" t="n"/>
    </row>
    <row r="160" ht="15.75" customHeight="1" s="69">
      <c r="B160" s="2" t="n"/>
    </row>
    <row r="161" ht="15.75" customHeight="1" s="69">
      <c r="B161" s="2" t="n"/>
    </row>
    <row r="162" ht="15.75" customHeight="1" s="69">
      <c r="B162" s="2" t="n"/>
    </row>
    <row r="163" ht="15.75" customHeight="1" s="69">
      <c r="B163" s="2" t="n"/>
    </row>
    <row r="164" ht="15.75" customHeight="1" s="69">
      <c r="B164" s="2" t="n"/>
    </row>
    <row r="165" ht="15.75" customHeight="1" s="69">
      <c r="B165" s="2" t="n"/>
    </row>
    <row r="166" ht="15.75" customHeight="1" s="69">
      <c r="B166" s="2" t="n"/>
    </row>
    <row r="167" ht="15.75" customHeight="1" s="69">
      <c r="B167" s="2" t="n"/>
    </row>
    <row r="168" ht="15.75" customHeight="1" s="69">
      <c r="B168" s="2" t="n"/>
    </row>
    <row r="169" ht="15.75" customHeight="1" s="69">
      <c r="B169" s="2" t="n"/>
    </row>
    <row r="170" ht="15.75" customHeight="1" s="69">
      <c r="B170" s="2" t="n"/>
    </row>
    <row r="171" ht="15.75" customHeight="1" s="69">
      <c r="B171" s="2" t="n"/>
    </row>
    <row r="172" ht="15.75" customHeight="1" s="69">
      <c r="B172" s="2" t="n"/>
    </row>
    <row r="173" ht="15.75" customHeight="1" s="69">
      <c r="B173" s="2" t="n"/>
    </row>
    <row r="174" ht="15.75" customHeight="1" s="69">
      <c r="B174" s="2" t="n"/>
    </row>
    <row r="175" ht="15.75" customHeight="1" s="69">
      <c r="B175" s="2" t="n"/>
    </row>
    <row r="176" ht="15.75" customHeight="1" s="69">
      <c r="B176" s="2" t="n"/>
    </row>
    <row r="177" ht="15.75" customHeight="1" s="69">
      <c r="B177" s="2" t="n"/>
    </row>
    <row r="178" ht="15.75" customHeight="1" s="69">
      <c r="B178" s="2" t="n"/>
    </row>
    <row r="179" ht="15.75" customHeight="1" s="69">
      <c r="B179" s="2" t="n"/>
    </row>
    <row r="180" ht="15.75" customHeight="1" s="69">
      <c r="B180" s="2" t="n"/>
    </row>
    <row r="181" ht="15.75" customHeight="1" s="69">
      <c r="B181" s="2" t="n"/>
    </row>
    <row r="182" ht="15.75" customHeight="1" s="69">
      <c r="B182" s="2" t="n"/>
    </row>
    <row r="183" ht="15.75" customHeight="1" s="69">
      <c r="B183" s="2" t="n"/>
    </row>
    <row r="184" ht="15.75" customHeight="1" s="69">
      <c r="B184" s="2" t="n"/>
    </row>
    <row r="185" ht="15.75" customHeight="1" s="69">
      <c r="B185" s="2" t="n"/>
    </row>
    <row r="186" ht="15.75" customHeight="1" s="69">
      <c r="B186" s="2" t="n"/>
    </row>
    <row r="187" ht="15.75" customHeight="1" s="69">
      <c r="B187" s="2" t="n"/>
    </row>
    <row r="188" ht="15.75" customHeight="1" s="69">
      <c r="B188" s="2" t="n"/>
    </row>
    <row r="189" ht="15.75" customHeight="1" s="69">
      <c r="B189" s="2" t="n"/>
    </row>
    <row r="190" ht="15.75" customHeight="1" s="69">
      <c r="B190" s="2" t="n"/>
    </row>
    <row r="191" ht="15.75" customHeight="1" s="69">
      <c r="B191" s="2" t="n"/>
    </row>
    <row r="192" ht="15.75" customHeight="1" s="69">
      <c r="B192" s="2" t="n"/>
    </row>
    <row r="193" ht="15.75" customHeight="1" s="69">
      <c r="B193" s="2" t="n"/>
    </row>
    <row r="194" ht="15.75" customHeight="1" s="69">
      <c r="B194" s="2" t="n"/>
    </row>
    <row r="195" ht="15.75" customHeight="1" s="69">
      <c r="B195" s="2" t="n"/>
    </row>
    <row r="196" ht="15.75" customHeight="1" s="69">
      <c r="B196" s="2" t="n"/>
    </row>
    <row r="197" ht="15.75" customHeight="1" s="69">
      <c r="B197" s="2" t="n"/>
    </row>
    <row r="198" ht="15.75" customHeight="1" s="69">
      <c r="B198" s="2" t="n"/>
    </row>
    <row r="199" ht="15.75" customHeight="1" s="69">
      <c r="B199" s="2" t="n"/>
    </row>
    <row r="200" ht="15.75" customHeight="1" s="69">
      <c r="B200" s="2" t="n"/>
    </row>
    <row r="201" ht="15.75" customHeight="1" s="69">
      <c r="B201" s="2" t="n"/>
    </row>
    <row r="202" ht="15.75" customHeight="1" s="69">
      <c r="B202" s="2" t="n"/>
    </row>
    <row r="203" ht="15.75" customHeight="1" s="69">
      <c r="B203" s="2" t="n"/>
    </row>
    <row r="204" ht="15.75" customHeight="1" s="69">
      <c r="B204" s="2" t="n"/>
    </row>
    <row r="205" ht="15.75" customHeight="1" s="69">
      <c r="B205" s="2" t="n"/>
    </row>
    <row r="206" ht="15.75" customHeight="1" s="69">
      <c r="B206" s="2" t="n"/>
    </row>
    <row r="207" ht="15.75" customHeight="1" s="69">
      <c r="B207" s="2" t="n"/>
    </row>
    <row r="208" ht="15.75" customHeight="1" s="69">
      <c r="B208" s="2" t="n"/>
    </row>
    <row r="209" ht="15.75" customHeight="1" s="69">
      <c r="B209" s="2" t="n"/>
    </row>
    <row r="210" ht="15.75" customHeight="1" s="69">
      <c r="B210" s="2" t="n"/>
    </row>
    <row r="211" ht="15.75" customHeight="1" s="69">
      <c r="B211" s="2" t="n"/>
    </row>
    <row r="212" ht="15.75" customHeight="1" s="69">
      <c r="B212" s="2" t="n"/>
    </row>
    <row r="213" ht="15.75" customHeight="1" s="69">
      <c r="B213" s="2" t="n"/>
    </row>
    <row r="214" ht="15.75" customHeight="1" s="69">
      <c r="B214" s="2" t="n"/>
    </row>
    <row r="215" ht="15.75" customHeight="1" s="69">
      <c r="B215" s="2" t="n"/>
    </row>
    <row r="216" ht="15.75" customHeight="1" s="69">
      <c r="B216" s="2" t="n"/>
    </row>
    <row r="217" ht="15.75" customHeight="1" s="69">
      <c r="B217" s="2" t="n"/>
    </row>
    <row r="218" ht="15.75" customHeight="1" s="69">
      <c r="B218" s="2" t="n"/>
    </row>
    <row r="219" ht="15.75" customHeight="1" s="69">
      <c r="B219" s="2" t="n"/>
    </row>
    <row r="220" ht="15.75" customHeight="1" s="69">
      <c r="B220" s="2" t="n"/>
    </row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20"/>
  <sheetViews>
    <sheetView workbookViewId="0">
      <selection activeCell="A1" sqref="A1"/>
    </sheetView>
  </sheetViews>
  <sheetFormatPr baseColWidth="8" defaultColWidth="11.25" defaultRowHeight="15" customHeight="1"/>
  <cols>
    <col width="5.375" customWidth="1" style="69" min="1" max="1"/>
    <col width="26.5" customWidth="1" style="69" min="2" max="2"/>
    <col width="5.375" customWidth="1" style="69" min="3" max="14"/>
    <col width="19.375" customWidth="1" style="69" min="15" max="15"/>
    <col width="8.625" customWidth="1" style="69" min="16" max="26"/>
  </cols>
  <sheetData>
    <row r="1" ht="15.75" customHeight="1" s="69">
      <c r="A1" s="15" t="inlineStr">
        <is>
          <t>Fornitori ESCLUSI dalla cassa per scelta (is_excluded) — fuori dal saldo proiettato. NON sono un TODO: il motivo è in colonna Motivo.</t>
        </is>
      </c>
      <c r="B1" s="2" t="n"/>
      <c r="O1" s="2" t="n"/>
    </row>
    <row r="2" ht="15.75" customHeight="1" s="69">
      <c r="A2" s="15" t="inlineStr">
        <is>
          <t>Cod</t>
        </is>
      </c>
      <c r="B2" s="15" t="inlineStr">
        <is>
          <t>Nome (da CSV)</t>
        </is>
      </c>
      <c r="C2" s="15" t="inlineStr">
        <is>
          <t>GENNAIO</t>
        </is>
      </c>
      <c r="D2" s="15" t="inlineStr">
        <is>
          <t>FEBBRAIO</t>
        </is>
      </c>
      <c r="E2" s="15" t="inlineStr">
        <is>
          <t>MARZO</t>
        </is>
      </c>
      <c r="F2" s="15" t="inlineStr">
        <is>
          <t>APRILE</t>
        </is>
      </c>
      <c r="G2" s="15" t="inlineStr">
        <is>
          <t>MAGGIO</t>
        </is>
      </c>
      <c r="H2" s="15" t="inlineStr">
        <is>
          <t>GIUGNO</t>
        </is>
      </c>
      <c r="I2" s="15" t="inlineStr">
        <is>
          <t>LUGLIO</t>
        </is>
      </c>
      <c r="J2" s="15" t="inlineStr">
        <is>
          <t>AGOSTO</t>
        </is>
      </c>
      <c r="K2" s="15" t="inlineStr">
        <is>
          <t>SETTEMBRE</t>
        </is>
      </c>
      <c r="L2" s="15" t="inlineStr">
        <is>
          <t>OTTOBRE</t>
        </is>
      </c>
      <c r="M2" s="15" t="inlineStr">
        <is>
          <t>NOVEMBRE</t>
        </is>
      </c>
      <c r="N2" s="15" t="inlineStr">
        <is>
          <t>DICEMBRE</t>
        </is>
      </c>
      <c r="O2" s="15" t="inlineStr">
        <is>
          <t>Motivo</t>
        </is>
      </c>
    </row>
    <row r="3" ht="15.75" customHeight="1" s="69">
      <c r="A3" s="2" t="n">
        <v>1033</v>
      </c>
      <c r="B3" s="2" t="inlineStr">
        <is>
          <t>EURO GROUP NETWORK S.R.L.</t>
        </is>
      </c>
      <c r="G3" s="63" t="n">
        <v>31.99</v>
      </c>
      <c r="O3" s="2" t="inlineStr">
        <is>
          <t>una_tantum</t>
        </is>
      </c>
    </row>
    <row r="4" ht="15.75" customHeight="1" s="69">
      <c r="A4" s="2" t="n">
        <v>1048</v>
      </c>
      <c r="B4" s="2" t="inlineStr">
        <is>
          <t>MEDITERRANEO SNC DI TRAMONTANO</t>
        </is>
      </c>
      <c r="G4" s="63" t="n">
        <v>59.99</v>
      </c>
      <c r="O4" s="2" t="inlineStr">
        <is>
          <t>una_tantum</t>
        </is>
      </c>
    </row>
    <row r="5" ht="15.75" customHeight="1" s="69">
      <c r="A5" s="2" t="n">
        <v>264</v>
      </c>
      <c r="B5" s="2" t="inlineStr">
        <is>
          <t>PANORAMA COMPANY S.R.L.</t>
        </is>
      </c>
      <c r="G5" s="63" t="n">
        <v>412036.53</v>
      </c>
      <c r="O5" s="2" t="inlineStr">
        <is>
          <t>intercompany</t>
        </is>
      </c>
    </row>
    <row r="6" ht="15.75" customHeight="1" s="69">
      <c r="A6" s="2" t="n">
        <v>796</v>
      </c>
      <c r="B6" s="2" t="inlineStr">
        <is>
          <t>RAIA LIBERATO</t>
        </is>
      </c>
      <c r="G6" s="63" t="n">
        <v>66.01000000000001</v>
      </c>
      <c r="O6" s="2" t="inlineStr">
        <is>
          <t>una_tantum</t>
        </is>
      </c>
    </row>
    <row r="7" ht="15.75" customHeight="1" s="69">
      <c r="A7" s="2" t="n">
        <v>236</v>
      </c>
      <c r="B7" s="2" t="inlineStr">
        <is>
          <t>RISTORANTE GIARDINIELLO SRL</t>
        </is>
      </c>
      <c r="G7" s="63" t="n">
        <v>97.5</v>
      </c>
      <c r="O7" s="2" t="inlineStr">
        <is>
          <t>una_tantum</t>
        </is>
      </c>
    </row>
    <row r="8" ht="15.75" customHeight="1" s="69">
      <c r="A8" s="2" t="n">
        <v>85</v>
      </c>
      <c r="B8" s="2" t="inlineStr">
        <is>
          <t>TECNO CAMPANIA SRL</t>
        </is>
      </c>
      <c r="G8" s="63" t="n">
        <v>63440</v>
      </c>
      <c r="O8" s="2" t="inlineStr">
        <is>
          <t>una_tantum</t>
        </is>
      </c>
    </row>
    <row r="9" ht="15.75" customHeight="1" s="69">
      <c r="B9" s="2" t="n"/>
      <c r="O9" s="2" t="n"/>
    </row>
    <row r="10" ht="15.75" customHeight="1" s="69">
      <c r="B10" s="2" t="n"/>
      <c r="O10" s="2" t="n"/>
    </row>
    <row r="11" ht="15.75" customHeight="1" s="69">
      <c r="B11" s="2" t="n"/>
      <c r="O11" s="2" t="n"/>
    </row>
    <row r="12" ht="15.75" customHeight="1" s="69">
      <c r="B12" s="2" t="n"/>
      <c r="O12" s="2" t="n"/>
    </row>
    <row r="13" ht="15.75" customHeight="1" s="69">
      <c r="B13" s="2" t="n"/>
      <c r="O13" s="2" t="n"/>
    </row>
    <row r="14" ht="15.75" customHeight="1" s="69">
      <c r="B14" s="2" t="n"/>
      <c r="O14" s="2" t="n"/>
    </row>
    <row r="15" ht="15.75" customHeight="1" s="69">
      <c r="B15" s="2" t="n"/>
      <c r="O15" s="2" t="n"/>
    </row>
    <row r="16" ht="15.75" customHeight="1" s="69">
      <c r="B16" s="2" t="n"/>
      <c r="O16" s="2" t="n"/>
    </row>
    <row r="17" ht="15.75" customHeight="1" s="69">
      <c r="B17" s="2" t="n"/>
      <c r="O17" s="2" t="n"/>
    </row>
    <row r="18" ht="15.75" customHeight="1" s="69">
      <c r="B18" s="2" t="n"/>
      <c r="O18" s="2" t="n"/>
    </row>
    <row r="19" ht="15.75" customHeight="1" s="69">
      <c r="B19" s="2" t="n"/>
      <c r="O19" s="2" t="n"/>
    </row>
    <row r="20" ht="15.75" customHeight="1" s="69">
      <c r="B20" s="2" t="n"/>
      <c r="O20" s="2" t="n"/>
    </row>
    <row r="21" ht="15.75" customHeight="1" s="69">
      <c r="B21" s="2" t="n"/>
      <c r="O21" s="2" t="n"/>
    </row>
    <row r="22" ht="15.75" customHeight="1" s="69">
      <c r="B22" s="2" t="n"/>
      <c r="O22" s="2" t="n"/>
    </row>
    <row r="23" ht="15.75" customHeight="1" s="69">
      <c r="B23" s="2" t="n"/>
      <c r="O23" s="2" t="n"/>
    </row>
    <row r="24" ht="15.75" customHeight="1" s="69">
      <c r="B24" s="2" t="n"/>
      <c r="O24" s="2" t="n"/>
    </row>
    <row r="25" ht="15.75" customHeight="1" s="69">
      <c r="B25" s="2" t="n"/>
      <c r="O25" s="2" t="n"/>
    </row>
    <row r="26" ht="15.75" customHeight="1" s="69">
      <c r="B26" s="2" t="n"/>
      <c r="O26" s="2" t="n"/>
    </row>
    <row r="27" ht="15.75" customHeight="1" s="69">
      <c r="B27" s="2" t="n"/>
      <c r="O27" s="2" t="n"/>
    </row>
    <row r="28" ht="15.75" customHeight="1" s="69">
      <c r="B28" s="2" t="n"/>
      <c r="O28" s="2" t="n"/>
    </row>
    <row r="29" ht="15.75" customHeight="1" s="69">
      <c r="B29" s="2" t="n"/>
      <c r="O29" s="2" t="n"/>
    </row>
    <row r="30" ht="15.75" customHeight="1" s="69">
      <c r="B30" s="2" t="n"/>
      <c r="O30" s="2" t="n"/>
    </row>
    <row r="31" ht="15.75" customHeight="1" s="69">
      <c r="B31" s="2" t="n"/>
      <c r="O31" s="2" t="n"/>
    </row>
    <row r="32" ht="15.75" customHeight="1" s="69">
      <c r="B32" s="2" t="n"/>
      <c r="O32" s="2" t="n"/>
    </row>
    <row r="33" ht="15.75" customHeight="1" s="69">
      <c r="B33" s="2" t="n"/>
      <c r="O33" s="2" t="n"/>
    </row>
    <row r="34" ht="15.75" customHeight="1" s="69">
      <c r="B34" s="2" t="n"/>
      <c r="O34" s="2" t="n"/>
    </row>
    <row r="35" ht="15.75" customHeight="1" s="69">
      <c r="B35" s="2" t="n"/>
      <c r="O35" s="2" t="n"/>
    </row>
    <row r="36" ht="15.75" customHeight="1" s="69">
      <c r="B36" s="2" t="n"/>
      <c r="O36" s="2" t="n"/>
    </row>
    <row r="37" ht="15.75" customHeight="1" s="69">
      <c r="B37" s="2" t="n"/>
      <c r="O37" s="2" t="n"/>
    </row>
    <row r="38" ht="15.75" customHeight="1" s="69">
      <c r="B38" s="2" t="n"/>
      <c r="O38" s="2" t="n"/>
    </row>
    <row r="39" ht="15.75" customHeight="1" s="69">
      <c r="B39" s="2" t="n"/>
      <c r="O39" s="2" t="n"/>
    </row>
    <row r="40" ht="15.75" customHeight="1" s="69">
      <c r="B40" s="2" t="n"/>
      <c r="O40" s="2" t="n"/>
    </row>
    <row r="41" ht="15.75" customHeight="1" s="69">
      <c r="B41" s="2" t="n"/>
      <c r="O41" s="2" t="n"/>
    </row>
    <row r="42" ht="15.75" customHeight="1" s="69">
      <c r="B42" s="2" t="n"/>
      <c r="O42" s="2" t="n"/>
    </row>
    <row r="43" ht="15.75" customHeight="1" s="69">
      <c r="B43" s="2" t="n"/>
      <c r="O43" s="2" t="n"/>
    </row>
    <row r="44" ht="15.75" customHeight="1" s="69">
      <c r="B44" s="2" t="n"/>
      <c r="O44" s="2" t="n"/>
    </row>
    <row r="45" ht="15.75" customHeight="1" s="69">
      <c r="B45" s="2" t="n"/>
      <c r="O45" s="2" t="n"/>
    </row>
    <row r="46" ht="15.75" customHeight="1" s="69">
      <c r="B46" s="2" t="n"/>
      <c r="O46" s="2" t="n"/>
    </row>
    <row r="47" ht="15.75" customHeight="1" s="69">
      <c r="B47" s="2" t="n"/>
      <c r="O47" s="2" t="n"/>
    </row>
    <row r="48" ht="15.75" customHeight="1" s="69">
      <c r="B48" s="2" t="n"/>
      <c r="O48" s="2" t="n"/>
    </row>
    <row r="49" ht="15.75" customHeight="1" s="69">
      <c r="B49" s="2" t="n"/>
      <c r="O49" s="2" t="n"/>
    </row>
    <row r="50" ht="15.75" customHeight="1" s="69">
      <c r="B50" s="2" t="n"/>
      <c r="O50" s="2" t="n"/>
    </row>
    <row r="51" ht="15.75" customHeight="1" s="69">
      <c r="B51" s="2" t="n"/>
      <c r="O51" s="2" t="n"/>
    </row>
    <row r="52" ht="15.75" customHeight="1" s="69">
      <c r="B52" s="2" t="n"/>
      <c r="O52" s="2" t="n"/>
    </row>
    <row r="53" ht="15.75" customHeight="1" s="69">
      <c r="B53" s="2" t="n"/>
      <c r="O53" s="2" t="n"/>
    </row>
    <row r="54" ht="15.75" customHeight="1" s="69">
      <c r="B54" s="2" t="n"/>
      <c r="O54" s="2" t="n"/>
    </row>
    <row r="55" ht="15.75" customHeight="1" s="69">
      <c r="B55" s="2" t="n"/>
      <c r="O55" s="2" t="n"/>
    </row>
    <row r="56" ht="15.75" customHeight="1" s="69">
      <c r="B56" s="2" t="n"/>
      <c r="O56" s="2" t="n"/>
    </row>
    <row r="57" ht="15.75" customHeight="1" s="69">
      <c r="B57" s="2" t="n"/>
      <c r="O57" s="2" t="n"/>
    </row>
    <row r="58" ht="15.75" customHeight="1" s="69">
      <c r="B58" s="2" t="n"/>
      <c r="O58" s="2" t="n"/>
    </row>
    <row r="59" ht="15.75" customHeight="1" s="69">
      <c r="B59" s="2" t="n"/>
      <c r="O59" s="2" t="n"/>
    </row>
    <row r="60" ht="15.75" customHeight="1" s="69">
      <c r="B60" s="2" t="n"/>
      <c r="O60" s="2" t="n"/>
    </row>
    <row r="61" ht="15.75" customHeight="1" s="69">
      <c r="B61" s="2" t="n"/>
      <c r="O61" s="2" t="n"/>
    </row>
    <row r="62" ht="15.75" customHeight="1" s="69">
      <c r="B62" s="2" t="n"/>
      <c r="O62" s="2" t="n"/>
    </row>
    <row r="63" ht="15.75" customHeight="1" s="69">
      <c r="B63" s="2" t="n"/>
      <c r="O63" s="2" t="n"/>
    </row>
    <row r="64" ht="15.75" customHeight="1" s="69">
      <c r="B64" s="2" t="n"/>
      <c r="O64" s="2" t="n"/>
    </row>
    <row r="65" ht="15.75" customHeight="1" s="69">
      <c r="B65" s="2" t="n"/>
      <c r="O65" s="2" t="n"/>
    </row>
    <row r="66" ht="15.75" customHeight="1" s="69">
      <c r="B66" s="2" t="n"/>
      <c r="O66" s="2" t="n"/>
    </row>
    <row r="67" ht="15.75" customHeight="1" s="69">
      <c r="B67" s="2" t="n"/>
      <c r="O67" s="2" t="n"/>
    </row>
    <row r="68" ht="15.75" customHeight="1" s="69">
      <c r="B68" s="2" t="n"/>
      <c r="O68" s="2" t="n"/>
    </row>
    <row r="69" ht="15.75" customHeight="1" s="69">
      <c r="B69" s="2" t="n"/>
      <c r="O69" s="2" t="n"/>
    </row>
    <row r="70" ht="15.75" customHeight="1" s="69">
      <c r="B70" s="2" t="n"/>
      <c r="O70" s="2" t="n"/>
    </row>
    <row r="71" ht="15.75" customHeight="1" s="69">
      <c r="B71" s="2" t="n"/>
      <c r="O71" s="2" t="n"/>
    </row>
    <row r="72" ht="15.75" customHeight="1" s="69">
      <c r="B72" s="2" t="n"/>
      <c r="O72" s="2" t="n"/>
    </row>
    <row r="73" ht="15.75" customHeight="1" s="69">
      <c r="B73" s="2" t="n"/>
      <c r="O73" s="2" t="n"/>
    </row>
    <row r="74" ht="15.75" customHeight="1" s="69">
      <c r="B74" s="2" t="n"/>
      <c r="O74" s="2" t="n"/>
    </row>
    <row r="75" ht="15.75" customHeight="1" s="69">
      <c r="B75" s="2" t="n"/>
      <c r="O75" s="2" t="n"/>
    </row>
    <row r="76" ht="15.75" customHeight="1" s="69">
      <c r="B76" s="2" t="n"/>
      <c r="O76" s="2" t="n"/>
    </row>
    <row r="77" ht="15.75" customHeight="1" s="69">
      <c r="B77" s="2" t="n"/>
      <c r="O77" s="2" t="n"/>
    </row>
    <row r="78" ht="15.75" customHeight="1" s="69">
      <c r="B78" s="2" t="n"/>
      <c r="O78" s="2" t="n"/>
    </row>
    <row r="79" ht="15.75" customHeight="1" s="69">
      <c r="B79" s="2" t="n"/>
      <c r="O79" s="2" t="n"/>
    </row>
    <row r="80" ht="15.75" customHeight="1" s="69">
      <c r="B80" s="2" t="n"/>
      <c r="O80" s="2" t="n"/>
    </row>
    <row r="81" ht="15.75" customHeight="1" s="69">
      <c r="B81" s="2" t="n"/>
      <c r="O81" s="2" t="n"/>
    </row>
    <row r="82" ht="15.75" customHeight="1" s="69">
      <c r="B82" s="2" t="n"/>
      <c r="O82" s="2" t="n"/>
    </row>
    <row r="83" ht="15.75" customHeight="1" s="69">
      <c r="B83" s="2" t="n"/>
      <c r="O83" s="2" t="n"/>
    </row>
    <row r="84" ht="15.75" customHeight="1" s="69">
      <c r="B84" s="2" t="n"/>
      <c r="O84" s="2" t="n"/>
    </row>
    <row r="85" ht="15.75" customHeight="1" s="69">
      <c r="B85" s="2" t="n"/>
      <c r="O85" s="2" t="n"/>
    </row>
    <row r="86" ht="15.75" customHeight="1" s="69">
      <c r="B86" s="2" t="n"/>
      <c r="O86" s="2" t="n"/>
    </row>
    <row r="87" ht="15.75" customHeight="1" s="69">
      <c r="B87" s="2" t="n"/>
      <c r="O87" s="2" t="n"/>
    </row>
    <row r="88" ht="15.75" customHeight="1" s="69">
      <c r="B88" s="2" t="n"/>
      <c r="O88" s="2" t="n"/>
    </row>
    <row r="89" ht="15.75" customHeight="1" s="69">
      <c r="B89" s="2" t="n"/>
      <c r="O89" s="2" t="n"/>
    </row>
    <row r="90" ht="15.75" customHeight="1" s="69">
      <c r="B90" s="2" t="n"/>
      <c r="O90" s="2" t="n"/>
    </row>
    <row r="91" ht="15.75" customHeight="1" s="69">
      <c r="B91" s="2" t="n"/>
      <c r="O91" s="2" t="n"/>
    </row>
    <row r="92" ht="15.75" customHeight="1" s="69">
      <c r="B92" s="2" t="n"/>
      <c r="O92" s="2" t="n"/>
    </row>
    <row r="93" ht="15.75" customHeight="1" s="69">
      <c r="B93" s="2" t="n"/>
      <c r="O93" s="2" t="n"/>
    </row>
    <row r="94" ht="15.75" customHeight="1" s="69">
      <c r="B94" s="2" t="n"/>
      <c r="O94" s="2" t="n"/>
    </row>
    <row r="95" ht="15.75" customHeight="1" s="69">
      <c r="B95" s="2" t="n"/>
      <c r="O95" s="2" t="n"/>
    </row>
    <row r="96" ht="15.75" customHeight="1" s="69">
      <c r="B96" s="2" t="n"/>
      <c r="O96" s="2" t="n"/>
    </row>
    <row r="97" ht="15.75" customHeight="1" s="69">
      <c r="B97" s="2" t="n"/>
      <c r="O97" s="2" t="n"/>
    </row>
    <row r="98" ht="15.75" customHeight="1" s="69">
      <c r="B98" s="2" t="n"/>
      <c r="O98" s="2" t="n"/>
    </row>
    <row r="99" ht="15.75" customHeight="1" s="69">
      <c r="B99" s="2" t="n"/>
      <c r="O99" s="2" t="n"/>
    </row>
    <row r="100" ht="15.75" customHeight="1" s="69">
      <c r="B100" s="2" t="n"/>
      <c r="O100" s="2" t="n"/>
    </row>
    <row r="101" ht="15.75" customHeight="1" s="69">
      <c r="B101" s="2" t="n"/>
      <c r="O101" s="2" t="n"/>
    </row>
    <row r="102" ht="15.75" customHeight="1" s="69">
      <c r="B102" s="2" t="n"/>
      <c r="O102" s="2" t="n"/>
    </row>
    <row r="103" ht="15.75" customHeight="1" s="69">
      <c r="B103" s="2" t="n"/>
      <c r="O103" s="2" t="n"/>
    </row>
    <row r="104" ht="15.75" customHeight="1" s="69">
      <c r="B104" s="2" t="n"/>
      <c r="O104" s="2" t="n"/>
    </row>
    <row r="105" ht="15.75" customHeight="1" s="69">
      <c r="B105" s="2" t="n"/>
      <c r="O105" s="2" t="n"/>
    </row>
    <row r="106" ht="15.75" customHeight="1" s="69">
      <c r="B106" s="2" t="n"/>
      <c r="O106" s="2" t="n"/>
    </row>
    <row r="107" ht="15.75" customHeight="1" s="69">
      <c r="B107" s="2" t="n"/>
      <c r="O107" s="2" t="n"/>
    </row>
    <row r="108" ht="15.75" customHeight="1" s="69">
      <c r="B108" s="2" t="n"/>
      <c r="O108" s="2" t="n"/>
    </row>
    <row r="109" ht="15.75" customHeight="1" s="69">
      <c r="B109" s="2" t="n"/>
      <c r="O109" s="2" t="n"/>
    </row>
    <row r="110" ht="15.75" customHeight="1" s="69">
      <c r="B110" s="2" t="n"/>
      <c r="O110" s="2" t="n"/>
    </row>
    <row r="111" ht="15.75" customHeight="1" s="69">
      <c r="B111" s="2" t="n"/>
      <c r="O111" s="2" t="n"/>
    </row>
    <row r="112" ht="15.75" customHeight="1" s="69">
      <c r="B112" s="2" t="n"/>
      <c r="O112" s="2" t="n"/>
    </row>
    <row r="113" ht="15.75" customHeight="1" s="69">
      <c r="B113" s="2" t="n"/>
      <c r="O113" s="2" t="n"/>
    </row>
    <row r="114" ht="15.75" customHeight="1" s="69">
      <c r="B114" s="2" t="n"/>
      <c r="O114" s="2" t="n"/>
    </row>
    <row r="115" ht="15.75" customHeight="1" s="69">
      <c r="B115" s="2" t="n"/>
      <c r="O115" s="2" t="n"/>
    </row>
    <row r="116" ht="15.75" customHeight="1" s="69">
      <c r="B116" s="2" t="n"/>
      <c r="O116" s="2" t="n"/>
    </row>
    <row r="117" ht="15.75" customHeight="1" s="69">
      <c r="B117" s="2" t="n"/>
      <c r="O117" s="2" t="n"/>
    </row>
    <row r="118" ht="15.75" customHeight="1" s="69">
      <c r="B118" s="2" t="n"/>
      <c r="O118" s="2" t="n"/>
    </row>
    <row r="119" ht="15.75" customHeight="1" s="69">
      <c r="B119" s="2" t="n"/>
      <c r="O119" s="2" t="n"/>
    </row>
    <row r="120" ht="15.75" customHeight="1" s="69">
      <c r="B120" s="2" t="n"/>
      <c r="O120" s="2" t="n"/>
    </row>
    <row r="121" ht="15.75" customHeight="1" s="69">
      <c r="B121" s="2" t="n"/>
      <c r="O121" s="2" t="n"/>
    </row>
    <row r="122" ht="15.75" customHeight="1" s="69">
      <c r="B122" s="2" t="n"/>
      <c r="O122" s="2" t="n"/>
    </row>
    <row r="123" ht="15.75" customHeight="1" s="69">
      <c r="B123" s="2" t="n"/>
      <c r="O123" s="2" t="n"/>
    </row>
    <row r="124" ht="15.75" customHeight="1" s="69">
      <c r="B124" s="2" t="n"/>
      <c r="O124" s="2" t="n"/>
    </row>
    <row r="125" ht="15.75" customHeight="1" s="69">
      <c r="B125" s="2" t="n"/>
      <c r="O125" s="2" t="n"/>
    </row>
    <row r="126" ht="15.75" customHeight="1" s="69">
      <c r="B126" s="2" t="n"/>
      <c r="O126" s="2" t="n"/>
    </row>
    <row r="127" ht="15.75" customHeight="1" s="69">
      <c r="B127" s="2" t="n"/>
      <c r="O127" s="2" t="n"/>
    </row>
    <row r="128" ht="15.75" customHeight="1" s="69">
      <c r="B128" s="2" t="n"/>
      <c r="O128" s="2" t="n"/>
    </row>
    <row r="129" ht="15.75" customHeight="1" s="69">
      <c r="B129" s="2" t="n"/>
      <c r="O129" s="2" t="n"/>
    </row>
    <row r="130" ht="15.75" customHeight="1" s="69">
      <c r="B130" s="2" t="n"/>
      <c r="O130" s="2" t="n"/>
    </row>
    <row r="131" ht="15.75" customHeight="1" s="69">
      <c r="B131" s="2" t="n"/>
      <c r="O131" s="2" t="n"/>
    </row>
    <row r="132" ht="15.75" customHeight="1" s="69">
      <c r="B132" s="2" t="n"/>
      <c r="O132" s="2" t="n"/>
    </row>
    <row r="133" ht="15.75" customHeight="1" s="69">
      <c r="B133" s="2" t="n"/>
      <c r="O133" s="2" t="n"/>
    </row>
    <row r="134" ht="15.75" customHeight="1" s="69">
      <c r="B134" s="2" t="n"/>
      <c r="O134" s="2" t="n"/>
    </row>
    <row r="135" ht="15.75" customHeight="1" s="69">
      <c r="B135" s="2" t="n"/>
      <c r="O135" s="2" t="n"/>
    </row>
    <row r="136" ht="15.75" customHeight="1" s="69">
      <c r="B136" s="2" t="n"/>
      <c r="O136" s="2" t="n"/>
    </row>
    <row r="137" ht="15.75" customHeight="1" s="69">
      <c r="B137" s="2" t="n"/>
      <c r="O137" s="2" t="n"/>
    </row>
    <row r="138" ht="15.75" customHeight="1" s="69">
      <c r="B138" s="2" t="n"/>
      <c r="O138" s="2" t="n"/>
    </row>
    <row r="139" ht="15.75" customHeight="1" s="69">
      <c r="B139" s="2" t="n"/>
      <c r="O139" s="2" t="n"/>
    </row>
    <row r="140" ht="15.75" customHeight="1" s="69">
      <c r="B140" s="2" t="n"/>
      <c r="O140" s="2" t="n"/>
    </row>
    <row r="141" ht="15.75" customHeight="1" s="69">
      <c r="B141" s="2" t="n"/>
      <c r="O141" s="2" t="n"/>
    </row>
    <row r="142" ht="15.75" customHeight="1" s="69">
      <c r="B142" s="2" t="n"/>
      <c r="O142" s="2" t="n"/>
    </row>
    <row r="143" ht="15.75" customHeight="1" s="69">
      <c r="B143" s="2" t="n"/>
      <c r="O143" s="2" t="n"/>
    </row>
    <row r="144" ht="15.75" customHeight="1" s="69">
      <c r="B144" s="2" t="n"/>
      <c r="O144" s="2" t="n"/>
    </row>
    <row r="145" ht="15.75" customHeight="1" s="69">
      <c r="B145" s="2" t="n"/>
      <c r="O145" s="2" t="n"/>
    </row>
    <row r="146" ht="15.75" customHeight="1" s="69">
      <c r="B146" s="2" t="n"/>
      <c r="O146" s="2" t="n"/>
    </row>
    <row r="147" ht="15.75" customHeight="1" s="69">
      <c r="B147" s="2" t="n"/>
      <c r="O147" s="2" t="n"/>
    </row>
    <row r="148" ht="15.75" customHeight="1" s="69">
      <c r="B148" s="2" t="n"/>
      <c r="O148" s="2" t="n"/>
    </row>
    <row r="149" ht="15.75" customHeight="1" s="69">
      <c r="B149" s="2" t="n"/>
      <c r="O149" s="2" t="n"/>
    </row>
    <row r="150" ht="15.75" customHeight="1" s="69">
      <c r="B150" s="2" t="n"/>
      <c r="O150" s="2" t="n"/>
    </row>
    <row r="151" ht="15.75" customHeight="1" s="69">
      <c r="B151" s="2" t="n"/>
      <c r="O151" s="2" t="n"/>
    </row>
    <row r="152" ht="15.75" customHeight="1" s="69">
      <c r="B152" s="2" t="n"/>
      <c r="O152" s="2" t="n"/>
    </row>
    <row r="153" ht="15.75" customHeight="1" s="69">
      <c r="B153" s="2" t="n"/>
      <c r="O153" s="2" t="n"/>
    </row>
    <row r="154" ht="15.75" customHeight="1" s="69">
      <c r="B154" s="2" t="n"/>
      <c r="O154" s="2" t="n"/>
    </row>
    <row r="155" ht="15.75" customHeight="1" s="69">
      <c r="B155" s="2" t="n"/>
      <c r="O155" s="2" t="n"/>
    </row>
    <row r="156" ht="15.75" customHeight="1" s="69">
      <c r="B156" s="2" t="n"/>
      <c r="O156" s="2" t="n"/>
    </row>
    <row r="157" ht="15.75" customHeight="1" s="69">
      <c r="B157" s="2" t="n"/>
      <c r="O157" s="2" t="n"/>
    </row>
    <row r="158" ht="15.75" customHeight="1" s="69">
      <c r="B158" s="2" t="n"/>
      <c r="O158" s="2" t="n"/>
    </row>
    <row r="159" ht="15.75" customHeight="1" s="69">
      <c r="B159" s="2" t="n"/>
      <c r="O159" s="2" t="n"/>
    </row>
    <row r="160" ht="15.75" customHeight="1" s="69">
      <c r="B160" s="2" t="n"/>
      <c r="O160" s="2" t="n"/>
    </row>
    <row r="161" ht="15.75" customHeight="1" s="69">
      <c r="B161" s="2" t="n"/>
      <c r="O161" s="2" t="n"/>
    </row>
    <row r="162" ht="15.75" customHeight="1" s="69">
      <c r="B162" s="2" t="n"/>
      <c r="O162" s="2" t="n"/>
    </row>
    <row r="163" ht="15.75" customHeight="1" s="69">
      <c r="B163" s="2" t="n"/>
      <c r="O163" s="2" t="n"/>
    </row>
    <row r="164" ht="15.75" customHeight="1" s="69">
      <c r="B164" s="2" t="n"/>
      <c r="O164" s="2" t="n"/>
    </row>
    <row r="165" ht="15.75" customHeight="1" s="69">
      <c r="B165" s="2" t="n"/>
      <c r="O165" s="2" t="n"/>
    </row>
    <row r="166" ht="15.75" customHeight="1" s="69">
      <c r="B166" s="2" t="n"/>
      <c r="O166" s="2" t="n"/>
    </row>
    <row r="167" ht="15.75" customHeight="1" s="69">
      <c r="B167" s="2" t="n"/>
      <c r="O167" s="2" t="n"/>
    </row>
    <row r="168" ht="15.75" customHeight="1" s="69">
      <c r="B168" s="2" t="n"/>
      <c r="O168" s="2" t="n"/>
    </row>
    <row r="169" ht="15.75" customHeight="1" s="69">
      <c r="B169" s="2" t="n"/>
      <c r="O169" s="2" t="n"/>
    </row>
    <row r="170" ht="15.75" customHeight="1" s="69">
      <c r="B170" s="2" t="n"/>
      <c r="O170" s="2" t="n"/>
    </row>
    <row r="171" ht="15.75" customHeight="1" s="69">
      <c r="B171" s="2" t="n"/>
      <c r="O171" s="2" t="n"/>
    </row>
    <row r="172" ht="15.75" customHeight="1" s="69">
      <c r="B172" s="2" t="n"/>
      <c r="O172" s="2" t="n"/>
    </row>
    <row r="173" ht="15.75" customHeight="1" s="69">
      <c r="B173" s="2" t="n"/>
      <c r="O173" s="2" t="n"/>
    </row>
    <row r="174" ht="15.75" customHeight="1" s="69">
      <c r="B174" s="2" t="n"/>
      <c r="O174" s="2" t="n"/>
    </row>
    <row r="175" ht="15.75" customHeight="1" s="69">
      <c r="B175" s="2" t="n"/>
      <c r="O175" s="2" t="n"/>
    </row>
    <row r="176" ht="15.75" customHeight="1" s="69">
      <c r="B176" s="2" t="n"/>
      <c r="O176" s="2" t="n"/>
    </row>
    <row r="177" ht="15.75" customHeight="1" s="69">
      <c r="B177" s="2" t="n"/>
      <c r="O177" s="2" t="n"/>
    </row>
    <row r="178" ht="15.75" customHeight="1" s="69">
      <c r="B178" s="2" t="n"/>
      <c r="O178" s="2" t="n"/>
    </row>
    <row r="179" ht="15.75" customHeight="1" s="69">
      <c r="B179" s="2" t="n"/>
      <c r="O179" s="2" t="n"/>
    </row>
    <row r="180" ht="15.75" customHeight="1" s="69">
      <c r="B180" s="2" t="n"/>
      <c r="O180" s="2" t="n"/>
    </row>
    <row r="181" ht="15.75" customHeight="1" s="69">
      <c r="B181" s="2" t="n"/>
      <c r="O181" s="2" t="n"/>
    </row>
    <row r="182" ht="15.75" customHeight="1" s="69">
      <c r="B182" s="2" t="n"/>
      <c r="O182" s="2" t="n"/>
    </row>
    <row r="183" ht="15.75" customHeight="1" s="69">
      <c r="B183" s="2" t="n"/>
      <c r="O183" s="2" t="n"/>
    </row>
    <row r="184" ht="15.75" customHeight="1" s="69">
      <c r="B184" s="2" t="n"/>
      <c r="O184" s="2" t="n"/>
    </row>
    <row r="185" ht="15.75" customHeight="1" s="69">
      <c r="B185" s="2" t="n"/>
      <c r="O185" s="2" t="n"/>
    </row>
    <row r="186" ht="15.75" customHeight="1" s="69">
      <c r="B186" s="2" t="n"/>
      <c r="O186" s="2" t="n"/>
    </row>
    <row r="187" ht="15.75" customHeight="1" s="69">
      <c r="B187" s="2" t="n"/>
      <c r="O187" s="2" t="n"/>
    </row>
    <row r="188" ht="15.75" customHeight="1" s="69">
      <c r="B188" s="2" t="n"/>
      <c r="O188" s="2" t="n"/>
    </row>
    <row r="189" ht="15.75" customHeight="1" s="69">
      <c r="B189" s="2" t="n"/>
      <c r="O189" s="2" t="n"/>
    </row>
    <row r="190" ht="15.75" customHeight="1" s="69">
      <c r="B190" s="2" t="n"/>
      <c r="O190" s="2" t="n"/>
    </row>
    <row r="191" ht="15.75" customHeight="1" s="69">
      <c r="B191" s="2" t="n"/>
      <c r="O191" s="2" t="n"/>
    </row>
    <row r="192" ht="15.75" customHeight="1" s="69">
      <c r="B192" s="2" t="n"/>
      <c r="O192" s="2" t="n"/>
    </row>
    <row r="193" ht="15.75" customHeight="1" s="69">
      <c r="B193" s="2" t="n"/>
      <c r="O193" s="2" t="n"/>
    </row>
    <row r="194" ht="15.75" customHeight="1" s="69">
      <c r="B194" s="2" t="n"/>
      <c r="O194" s="2" t="n"/>
    </row>
    <row r="195" ht="15.75" customHeight="1" s="69">
      <c r="B195" s="2" t="n"/>
      <c r="O195" s="2" t="n"/>
    </row>
    <row r="196" ht="15.75" customHeight="1" s="69">
      <c r="B196" s="2" t="n"/>
      <c r="O196" s="2" t="n"/>
    </row>
    <row r="197" ht="15.75" customHeight="1" s="69">
      <c r="B197" s="2" t="n"/>
      <c r="O197" s="2" t="n"/>
    </row>
    <row r="198" ht="15.75" customHeight="1" s="69">
      <c r="B198" s="2" t="n"/>
      <c r="O198" s="2" t="n"/>
    </row>
    <row r="199" ht="15.75" customHeight="1" s="69">
      <c r="B199" s="2" t="n"/>
      <c r="O199" s="2" t="n"/>
    </row>
    <row r="200" ht="15.75" customHeight="1" s="69">
      <c r="B200" s="2" t="n"/>
      <c r="O200" s="2" t="n"/>
    </row>
    <row r="201" ht="15.75" customHeight="1" s="69">
      <c r="B201" s="2" t="n"/>
      <c r="O201" s="2" t="n"/>
    </row>
    <row r="202" ht="15.75" customHeight="1" s="69">
      <c r="B202" s="2" t="n"/>
      <c r="O202" s="2" t="n"/>
    </row>
    <row r="203" ht="15.75" customHeight="1" s="69">
      <c r="B203" s="2" t="n"/>
      <c r="O203" s="2" t="n"/>
    </row>
    <row r="204" ht="15.75" customHeight="1" s="69">
      <c r="B204" s="2" t="n"/>
      <c r="O204" s="2" t="n"/>
    </row>
    <row r="205" ht="15.75" customHeight="1" s="69">
      <c r="B205" s="2" t="n"/>
      <c r="O205" s="2" t="n"/>
    </row>
    <row r="206" ht="15.75" customHeight="1" s="69">
      <c r="B206" s="2" t="n"/>
      <c r="O206" s="2" t="n"/>
    </row>
    <row r="207" ht="15.75" customHeight="1" s="69">
      <c r="B207" s="2" t="n"/>
      <c r="O207" s="2" t="n"/>
    </row>
    <row r="208" ht="15.75" customHeight="1" s="69">
      <c r="B208" s="2" t="n"/>
      <c r="O208" s="2" t="n"/>
    </row>
    <row r="209" ht="15.75" customHeight="1" s="69">
      <c r="B209" s="2" t="n"/>
      <c r="O209" s="2" t="n"/>
    </row>
    <row r="210" ht="15.75" customHeight="1" s="69">
      <c r="B210" s="2" t="n"/>
      <c r="O210" s="2" t="n"/>
    </row>
    <row r="211" ht="15.75" customHeight="1" s="69">
      <c r="B211" s="2" t="n"/>
      <c r="O211" s="2" t="n"/>
    </row>
    <row r="212" ht="15.75" customHeight="1" s="69">
      <c r="B212" s="2" t="n"/>
      <c r="O212" s="2" t="n"/>
    </row>
    <row r="213" ht="15.75" customHeight="1" s="69">
      <c r="B213" s="2" t="n"/>
      <c r="O213" s="2" t="n"/>
    </row>
    <row r="214" ht="15.75" customHeight="1" s="69">
      <c r="B214" s="2" t="n"/>
      <c r="O214" s="2" t="n"/>
    </row>
    <row r="215" ht="15.75" customHeight="1" s="69">
      <c r="B215" s="2" t="n"/>
      <c r="O215" s="2" t="n"/>
    </row>
    <row r="216" ht="15.75" customHeight="1" s="69">
      <c r="B216" s="2" t="n"/>
      <c r="O216" s="2" t="n"/>
    </row>
    <row r="217" ht="15.75" customHeight="1" s="69">
      <c r="B217" s="2" t="n"/>
      <c r="O217" s="2" t="n"/>
    </row>
    <row r="218" ht="15.75" customHeight="1" s="69">
      <c r="B218" s="2" t="n"/>
      <c r="O218" s="2" t="n"/>
    </row>
    <row r="219" ht="15.75" customHeight="1" s="69">
      <c r="B219" s="2" t="n"/>
      <c r="O219" s="2" t="n"/>
    </row>
    <row r="220" ht="15.75" customHeight="1" s="69">
      <c r="B220" s="2" t="n"/>
      <c r="O220" s="2" t="n"/>
    </row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20"/>
  <sheetViews>
    <sheetView workbookViewId="0">
      <selection activeCell="A1" sqref="A1"/>
    </sheetView>
  </sheetViews>
  <sheetFormatPr baseColWidth="8" defaultColWidth="11.25" defaultRowHeight="15" customHeight="1"/>
  <cols>
    <col width="5.375" customWidth="1" style="69" min="1" max="1"/>
    <col width="26.5" customWidth="1" style="69" min="2" max="2"/>
    <col width="5.375" customWidth="1" style="69" min="3" max="3"/>
    <col hidden="1" width="7.875" customWidth="1" style="69" min="4" max="7"/>
    <col width="5.375" customWidth="1" style="69" min="8" max="14"/>
    <col width="8.625" customWidth="1" style="69" min="15" max="26"/>
  </cols>
  <sheetData>
    <row r="1" ht="15.75" customHeight="1" s="69">
      <c r="A1" s="15" t="inlineStr">
        <is>
          <t>Fornitori NON mappati in d_fornitori.csv — assegnare una voce (hotelops fornitori) e rigenerare</t>
        </is>
      </c>
      <c r="B1" s="2" t="n"/>
      <c r="D1" s="2" t="n"/>
      <c r="E1" s="2" t="n"/>
      <c r="F1" s="2" t="n"/>
      <c r="G1" s="2" t="n"/>
    </row>
    <row r="2" ht="15.75" customHeight="1" s="69">
      <c r="A2" s="15" t="inlineStr">
        <is>
          <t>Cod</t>
        </is>
      </c>
      <c r="B2" s="15" t="inlineStr">
        <is>
          <t>Nome (da export)</t>
        </is>
      </c>
      <c r="C2" s="15" t="inlineStr">
        <is>
          <t>GENNAIO</t>
        </is>
      </c>
      <c r="D2" s="15" t="inlineStr">
        <is>
          <t>FEBBRAIO</t>
        </is>
      </c>
      <c r="E2" s="15" t="inlineStr">
        <is>
          <t>MARZO</t>
        </is>
      </c>
      <c r="F2" s="15" t="inlineStr">
        <is>
          <t>APRILE</t>
        </is>
      </c>
      <c r="G2" s="15" t="inlineStr">
        <is>
          <t>MAGGIO</t>
        </is>
      </c>
      <c r="H2" s="15" t="inlineStr">
        <is>
          <t>GIUGNO</t>
        </is>
      </c>
      <c r="I2" s="15" t="inlineStr">
        <is>
          <t>LUGLIO</t>
        </is>
      </c>
      <c r="J2" s="15" t="inlineStr">
        <is>
          <t>AGOSTO</t>
        </is>
      </c>
      <c r="K2" s="15" t="inlineStr">
        <is>
          <t>SETTEMBRE</t>
        </is>
      </c>
      <c r="L2" s="15" t="inlineStr">
        <is>
          <t>OTTOBRE</t>
        </is>
      </c>
      <c r="M2" s="15" t="inlineStr">
        <is>
          <t>NOVEMBRE</t>
        </is>
      </c>
      <c r="N2" s="15" t="inlineStr">
        <is>
          <t>DICEMBRE</t>
        </is>
      </c>
    </row>
    <row r="3" ht="15.75" customHeight="1" s="69">
      <c r="B3" s="2" t="n"/>
      <c r="D3" s="2" t="n"/>
      <c r="E3" s="2" t="n"/>
      <c r="F3" s="2" t="n"/>
      <c r="G3" s="2" t="n"/>
    </row>
    <row r="4" ht="15.75" customHeight="1" s="69">
      <c r="B4" s="2" t="n"/>
      <c r="D4" s="2" t="n"/>
      <c r="E4" s="2" t="n"/>
      <c r="F4" s="2" t="n"/>
      <c r="G4" s="2" t="n"/>
    </row>
    <row r="5" ht="15.75" customHeight="1" s="69">
      <c r="B5" s="2" t="n"/>
      <c r="D5" s="2" t="n"/>
      <c r="E5" s="2" t="n"/>
      <c r="F5" s="2" t="n"/>
      <c r="G5" s="2" t="n"/>
    </row>
    <row r="6" ht="15.75" customHeight="1" s="69">
      <c r="B6" s="2" t="n"/>
      <c r="D6" s="2" t="n"/>
      <c r="E6" s="2" t="n"/>
      <c r="F6" s="2" t="n"/>
      <c r="G6" s="2" t="n"/>
    </row>
    <row r="7" ht="15.75" customHeight="1" s="69">
      <c r="B7" s="2" t="n"/>
      <c r="D7" s="2" t="n"/>
      <c r="E7" s="2" t="n"/>
      <c r="F7" s="2" t="n"/>
      <c r="G7" s="2" t="n"/>
    </row>
    <row r="8" ht="15.75" customHeight="1" s="69">
      <c r="B8" s="2" t="n"/>
      <c r="D8" s="2" t="n"/>
      <c r="E8" s="2" t="n"/>
      <c r="F8" s="2" t="n"/>
      <c r="G8" s="2" t="n"/>
    </row>
    <row r="9" ht="15.75" customHeight="1" s="69">
      <c r="B9" s="2" t="n"/>
      <c r="D9" s="2" t="n"/>
      <c r="E9" s="2" t="n"/>
      <c r="F9" s="2" t="n"/>
      <c r="G9" s="2" t="n"/>
    </row>
    <row r="10" ht="15.75" customHeight="1" s="69">
      <c r="B10" s="2" t="n"/>
      <c r="D10" s="2" t="n"/>
      <c r="E10" s="2" t="n"/>
      <c r="F10" s="2" t="n"/>
      <c r="G10" s="2" t="n"/>
    </row>
    <row r="11" ht="15.75" customHeight="1" s="69">
      <c r="B11" s="2" t="n"/>
      <c r="D11" s="2" t="n"/>
      <c r="E11" s="2" t="n"/>
      <c r="F11" s="2" t="n"/>
      <c r="G11" s="2" t="n"/>
    </row>
    <row r="12" ht="15.75" customHeight="1" s="69">
      <c r="B12" s="2" t="n"/>
      <c r="D12" s="2" t="n"/>
      <c r="E12" s="2" t="n"/>
      <c r="F12" s="2" t="n"/>
      <c r="G12" s="2" t="n"/>
    </row>
    <row r="13" ht="15.75" customHeight="1" s="69">
      <c r="B13" s="2" t="n"/>
      <c r="D13" s="2" t="n"/>
      <c r="E13" s="2" t="n"/>
      <c r="F13" s="2" t="n"/>
      <c r="G13" s="2" t="n"/>
    </row>
    <row r="14" ht="15.75" customHeight="1" s="69">
      <c r="B14" s="2" t="n"/>
      <c r="D14" s="2" t="n"/>
      <c r="E14" s="2" t="n"/>
      <c r="F14" s="2" t="n"/>
      <c r="G14" s="2" t="n"/>
    </row>
    <row r="15" ht="15.75" customHeight="1" s="69">
      <c r="B15" s="2" t="n"/>
      <c r="D15" s="2" t="n"/>
      <c r="E15" s="2" t="n"/>
      <c r="F15" s="2" t="n"/>
      <c r="G15" s="2" t="n"/>
    </row>
    <row r="16" ht="15.75" customHeight="1" s="69">
      <c r="B16" s="2" t="n"/>
      <c r="D16" s="2" t="n"/>
      <c r="E16" s="2" t="n"/>
      <c r="F16" s="2" t="n"/>
      <c r="G16" s="2" t="n"/>
    </row>
    <row r="17" ht="15.75" customHeight="1" s="69">
      <c r="B17" s="2" t="n"/>
      <c r="D17" s="2" t="n"/>
      <c r="E17" s="2" t="n"/>
      <c r="F17" s="2" t="n"/>
      <c r="G17" s="2" t="n"/>
    </row>
    <row r="18" ht="15.75" customHeight="1" s="69">
      <c r="B18" s="2" t="n"/>
      <c r="D18" s="2" t="n"/>
      <c r="E18" s="2" t="n"/>
      <c r="F18" s="2" t="n"/>
      <c r="G18" s="2" t="n"/>
    </row>
    <row r="19" ht="15.75" customHeight="1" s="69">
      <c r="B19" s="2" t="n"/>
      <c r="D19" s="2" t="n"/>
      <c r="E19" s="2" t="n"/>
      <c r="F19" s="2" t="n"/>
      <c r="G19" s="2" t="n"/>
    </row>
    <row r="20" ht="15.75" customHeight="1" s="69">
      <c r="B20" s="2" t="n"/>
      <c r="D20" s="2" t="n"/>
      <c r="E20" s="2" t="n"/>
      <c r="F20" s="2" t="n"/>
      <c r="G20" s="2" t="n"/>
    </row>
    <row r="21" ht="15.75" customHeight="1" s="69">
      <c r="B21" s="2" t="n"/>
      <c r="D21" s="2" t="n"/>
      <c r="E21" s="2" t="n"/>
      <c r="F21" s="2" t="n"/>
      <c r="G21" s="2" t="n"/>
    </row>
    <row r="22" ht="15.75" customHeight="1" s="69">
      <c r="B22" s="2" t="n"/>
      <c r="D22" s="2" t="n"/>
      <c r="E22" s="2" t="n"/>
      <c r="F22" s="2" t="n"/>
      <c r="G22" s="2" t="n"/>
    </row>
    <row r="23" ht="15.75" customHeight="1" s="69">
      <c r="B23" s="2" t="n"/>
      <c r="D23" s="2" t="n"/>
      <c r="E23" s="2" t="n"/>
      <c r="F23" s="2" t="n"/>
      <c r="G23" s="2" t="n"/>
    </row>
    <row r="24" ht="15.75" customHeight="1" s="69">
      <c r="B24" s="2" t="n"/>
      <c r="D24" s="2" t="n"/>
      <c r="E24" s="2" t="n"/>
      <c r="F24" s="2" t="n"/>
      <c r="G24" s="2" t="n"/>
    </row>
    <row r="25" ht="15.75" customHeight="1" s="69">
      <c r="B25" s="2" t="n"/>
      <c r="D25" s="2" t="n"/>
      <c r="E25" s="2" t="n"/>
      <c r="F25" s="2" t="n"/>
      <c r="G25" s="2" t="n"/>
    </row>
    <row r="26" ht="15.75" customHeight="1" s="69">
      <c r="B26" s="2" t="n"/>
      <c r="D26" s="2" t="n"/>
      <c r="E26" s="2" t="n"/>
      <c r="F26" s="2" t="n"/>
      <c r="G26" s="2" t="n"/>
    </row>
    <row r="27" ht="15.75" customHeight="1" s="69">
      <c r="B27" s="2" t="n"/>
      <c r="D27" s="2" t="n"/>
      <c r="E27" s="2" t="n"/>
      <c r="F27" s="2" t="n"/>
      <c r="G27" s="2" t="n"/>
    </row>
    <row r="28" ht="15.75" customHeight="1" s="69">
      <c r="B28" s="2" t="n"/>
      <c r="D28" s="2" t="n"/>
      <c r="E28" s="2" t="n"/>
      <c r="F28" s="2" t="n"/>
      <c r="G28" s="2" t="n"/>
    </row>
    <row r="29" ht="15.75" customHeight="1" s="69">
      <c r="B29" s="2" t="n"/>
      <c r="D29" s="2" t="n"/>
      <c r="E29" s="2" t="n"/>
      <c r="F29" s="2" t="n"/>
      <c r="G29" s="2" t="n"/>
    </row>
    <row r="30" ht="15.75" customHeight="1" s="69">
      <c r="B30" s="2" t="n"/>
      <c r="D30" s="2" t="n"/>
      <c r="E30" s="2" t="n"/>
      <c r="F30" s="2" t="n"/>
      <c r="G30" s="2" t="n"/>
    </row>
    <row r="31" ht="15.75" customHeight="1" s="69">
      <c r="B31" s="2" t="n"/>
      <c r="D31" s="2" t="n"/>
      <c r="E31" s="2" t="n"/>
      <c r="F31" s="2" t="n"/>
      <c r="G31" s="2" t="n"/>
    </row>
    <row r="32" ht="15.75" customHeight="1" s="69">
      <c r="B32" s="2" t="n"/>
      <c r="D32" s="2" t="n"/>
      <c r="E32" s="2" t="n"/>
      <c r="F32" s="2" t="n"/>
      <c r="G32" s="2" t="n"/>
    </row>
    <row r="33" ht="15.75" customHeight="1" s="69">
      <c r="B33" s="2" t="n"/>
      <c r="D33" s="2" t="n"/>
      <c r="E33" s="2" t="n"/>
      <c r="F33" s="2" t="n"/>
      <c r="G33" s="2" t="n"/>
    </row>
    <row r="34" ht="15.75" customHeight="1" s="69">
      <c r="B34" s="2" t="n"/>
      <c r="D34" s="2" t="n"/>
      <c r="E34" s="2" t="n"/>
      <c r="F34" s="2" t="n"/>
      <c r="G34" s="2" t="n"/>
    </row>
    <row r="35" ht="15.75" customHeight="1" s="69">
      <c r="B35" s="2" t="n"/>
      <c r="D35" s="2" t="n"/>
      <c r="E35" s="2" t="n"/>
      <c r="F35" s="2" t="n"/>
      <c r="G35" s="2" t="n"/>
    </row>
    <row r="36" ht="15.75" customHeight="1" s="69">
      <c r="B36" s="2" t="n"/>
      <c r="D36" s="2" t="n"/>
      <c r="E36" s="2" t="n"/>
      <c r="F36" s="2" t="n"/>
      <c r="G36" s="2" t="n"/>
    </row>
    <row r="37" ht="15.75" customHeight="1" s="69">
      <c r="B37" s="2" t="n"/>
      <c r="D37" s="2" t="n"/>
      <c r="E37" s="2" t="n"/>
      <c r="F37" s="2" t="n"/>
      <c r="G37" s="2" t="n"/>
    </row>
    <row r="38" ht="15.75" customHeight="1" s="69">
      <c r="B38" s="2" t="n"/>
      <c r="D38" s="2" t="n"/>
      <c r="E38" s="2" t="n"/>
      <c r="F38" s="2" t="n"/>
      <c r="G38" s="2" t="n"/>
    </row>
    <row r="39" ht="15.75" customHeight="1" s="69">
      <c r="B39" s="2" t="n"/>
      <c r="D39" s="2" t="n"/>
      <c r="E39" s="2" t="n"/>
      <c r="F39" s="2" t="n"/>
      <c r="G39" s="2" t="n"/>
    </row>
    <row r="40" ht="15.75" customHeight="1" s="69">
      <c r="B40" s="2" t="n"/>
      <c r="D40" s="2" t="n"/>
      <c r="E40" s="2" t="n"/>
      <c r="F40" s="2" t="n"/>
      <c r="G40" s="2" t="n"/>
    </row>
    <row r="41" ht="15.75" customHeight="1" s="69">
      <c r="B41" s="2" t="n"/>
      <c r="D41" s="2" t="n"/>
      <c r="E41" s="2" t="n"/>
      <c r="F41" s="2" t="n"/>
      <c r="G41" s="2" t="n"/>
    </row>
    <row r="42" ht="15.75" customHeight="1" s="69">
      <c r="B42" s="2" t="n"/>
      <c r="D42" s="2" t="n"/>
      <c r="E42" s="2" t="n"/>
      <c r="F42" s="2" t="n"/>
      <c r="G42" s="2" t="n"/>
    </row>
    <row r="43" ht="15.75" customHeight="1" s="69">
      <c r="B43" s="2" t="n"/>
      <c r="D43" s="2" t="n"/>
      <c r="E43" s="2" t="n"/>
      <c r="F43" s="2" t="n"/>
      <c r="G43" s="2" t="n"/>
    </row>
    <row r="44" ht="15.75" customHeight="1" s="69">
      <c r="B44" s="2" t="n"/>
      <c r="D44" s="2" t="n"/>
      <c r="E44" s="2" t="n"/>
      <c r="F44" s="2" t="n"/>
      <c r="G44" s="2" t="n"/>
    </row>
    <row r="45" ht="15.75" customHeight="1" s="69">
      <c r="B45" s="2" t="n"/>
      <c r="D45" s="2" t="n"/>
      <c r="E45" s="2" t="n"/>
      <c r="F45" s="2" t="n"/>
      <c r="G45" s="2" t="n"/>
    </row>
    <row r="46" ht="15.75" customHeight="1" s="69">
      <c r="B46" s="2" t="n"/>
      <c r="D46" s="2" t="n"/>
      <c r="E46" s="2" t="n"/>
      <c r="F46" s="2" t="n"/>
      <c r="G46" s="2" t="n"/>
    </row>
    <row r="47" ht="15.75" customHeight="1" s="69">
      <c r="B47" s="2" t="n"/>
      <c r="D47" s="2" t="n"/>
      <c r="E47" s="2" t="n"/>
      <c r="F47" s="2" t="n"/>
      <c r="G47" s="2" t="n"/>
    </row>
    <row r="48" ht="15.75" customHeight="1" s="69">
      <c r="B48" s="2" t="n"/>
      <c r="D48" s="2" t="n"/>
      <c r="E48" s="2" t="n"/>
      <c r="F48" s="2" t="n"/>
      <c r="G48" s="2" t="n"/>
    </row>
    <row r="49" ht="15.75" customHeight="1" s="69">
      <c r="B49" s="2" t="n"/>
      <c r="D49" s="2" t="n"/>
      <c r="E49" s="2" t="n"/>
      <c r="F49" s="2" t="n"/>
      <c r="G49" s="2" t="n"/>
    </row>
    <row r="50" ht="15.75" customHeight="1" s="69">
      <c r="B50" s="2" t="n"/>
      <c r="D50" s="2" t="n"/>
      <c r="E50" s="2" t="n"/>
      <c r="F50" s="2" t="n"/>
      <c r="G50" s="2" t="n"/>
    </row>
    <row r="51" ht="15.75" customHeight="1" s="69">
      <c r="B51" s="2" t="n"/>
      <c r="D51" s="2" t="n"/>
      <c r="E51" s="2" t="n"/>
      <c r="F51" s="2" t="n"/>
      <c r="G51" s="2" t="n"/>
    </row>
    <row r="52" ht="15.75" customHeight="1" s="69">
      <c r="B52" s="2" t="n"/>
      <c r="D52" s="2" t="n"/>
      <c r="E52" s="2" t="n"/>
      <c r="F52" s="2" t="n"/>
      <c r="G52" s="2" t="n"/>
    </row>
    <row r="53" ht="15.75" customHeight="1" s="69">
      <c r="B53" s="2" t="n"/>
      <c r="D53" s="2" t="n"/>
      <c r="E53" s="2" t="n"/>
      <c r="F53" s="2" t="n"/>
      <c r="G53" s="2" t="n"/>
    </row>
    <row r="54" ht="15.75" customHeight="1" s="69">
      <c r="B54" s="2" t="n"/>
      <c r="D54" s="2" t="n"/>
      <c r="E54" s="2" t="n"/>
      <c r="F54" s="2" t="n"/>
      <c r="G54" s="2" t="n"/>
    </row>
    <row r="55" ht="15.75" customHeight="1" s="69">
      <c r="B55" s="2" t="n"/>
      <c r="D55" s="2" t="n"/>
      <c r="E55" s="2" t="n"/>
      <c r="F55" s="2" t="n"/>
      <c r="G55" s="2" t="n"/>
    </row>
    <row r="56" ht="15.75" customHeight="1" s="69">
      <c r="B56" s="2" t="n"/>
      <c r="D56" s="2" t="n"/>
      <c r="E56" s="2" t="n"/>
      <c r="F56" s="2" t="n"/>
      <c r="G56" s="2" t="n"/>
    </row>
    <row r="57" ht="15.75" customHeight="1" s="69">
      <c r="B57" s="2" t="n"/>
      <c r="D57" s="2" t="n"/>
      <c r="E57" s="2" t="n"/>
      <c r="F57" s="2" t="n"/>
      <c r="G57" s="2" t="n"/>
    </row>
    <row r="58" ht="15.75" customHeight="1" s="69">
      <c r="B58" s="2" t="n"/>
      <c r="D58" s="2" t="n"/>
      <c r="E58" s="2" t="n"/>
      <c r="F58" s="2" t="n"/>
      <c r="G58" s="2" t="n"/>
    </row>
    <row r="59" ht="15.75" customHeight="1" s="69">
      <c r="B59" s="2" t="n"/>
      <c r="D59" s="2" t="n"/>
      <c r="E59" s="2" t="n"/>
      <c r="F59" s="2" t="n"/>
      <c r="G59" s="2" t="n"/>
    </row>
    <row r="60" ht="15.75" customHeight="1" s="69">
      <c r="B60" s="2" t="n"/>
      <c r="D60" s="2" t="n"/>
      <c r="E60" s="2" t="n"/>
      <c r="F60" s="2" t="n"/>
      <c r="G60" s="2" t="n"/>
    </row>
    <row r="61" ht="15.75" customHeight="1" s="69">
      <c r="B61" s="2" t="n"/>
      <c r="D61" s="2" t="n"/>
      <c r="E61" s="2" t="n"/>
      <c r="F61" s="2" t="n"/>
      <c r="G61" s="2" t="n"/>
    </row>
    <row r="62" ht="15.75" customHeight="1" s="69">
      <c r="B62" s="2" t="n"/>
      <c r="D62" s="2" t="n"/>
      <c r="E62" s="2" t="n"/>
      <c r="F62" s="2" t="n"/>
      <c r="G62" s="2" t="n"/>
    </row>
    <row r="63" ht="15.75" customHeight="1" s="69">
      <c r="B63" s="2" t="n"/>
      <c r="D63" s="2" t="n"/>
      <c r="E63" s="2" t="n"/>
      <c r="F63" s="2" t="n"/>
      <c r="G63" s="2" t="n"/>
    </row>
    <row r="64" ht="15.75" customHeight="1" s="69">
      <c r="B64" s="2" t="n"/>
      <c r="D64" s="2" t="n"/>
      <c r="E64" s="2" t="n"/>
      <c r="F64" s="2" t="n"/>
      <c r="G64" s="2" t="n"/>
    </row>
    <row r="65" ht="15.75" customHeight="1" s="69">
      <c r="B65" s="2" t="n"/>
      <c r="D65" s="2" t="n"/>
      <c r="E65" s="2" t="n"/>
      <c r="F65" s="2" t="n"/>
      <c r="G65" s="2" t="n"/>
    </row>
    <row r="66" ht="15.75" customHeight="1" s="69">
      <c r="B66" s="2" t="n"/>
      <c r="D66" s="2" t="n"/>
      <c r="E66" s="2" t="n"/>
      <c r="F66" s="2" t="n"/>
      <c r="G66" s="2" t="n"/>
    </row>
    <row r="67" ht="15.75" customHeight="1" s="69">
      <c r="B67" s="2" t="n"/>
      <c r="D67" s="2" t="n"/>
      <c r="E67" s="2" t="n"/>
      <c r="F67" s="2" t="n"/>
      <c r="G67" s="2" t="n"/>
    </row>
    <row r="68" ht="15.75" customHeight="1" s="69">
      <c r="B68" s="2" t="n"/>
      <c r="D68" s="2" t="n"/>
      <c r="E68" s="2" t="n"/>
      <c r="F68" s="2" t="n"/>
      <c r="G68" s="2" t="n"/>
    </row>
    <row r="69" ht="15.75" customHeight="1" s="69">
      <c r="B69" s="2" t="n"/>
      <c r="D69" s="2" t="n"/>
      <c r="E69" s="2" t="n"/>
      <c r="F69" s="2" t="n"/>
      <c r="G69" s="2" t="n"/>
    </row>
    <row r="70" ht="15.75" customHeight="1" s="69">
      <c r="B70" s="2" t="n"/>
      <c r="D70" s="2" t="n"/>
      <c r="E70" s="2" t="n"/>
      <c r="F70" s="2" t="n"/>
      <c r="G70" s="2" t="n"/>
    </row>
    <row r="71" ht="15.75" customHeight="1" s="69">
      <c r="B71" s="2" t="n"/>
      <c r="D71" s="2" t="n"/>
      <c r="E71" s="2" t="n"/>
      <c r="F71" s="2" t="n"/>
      <c r="G71" s="2" t="n"/>
    </row>
    <row r="72" ht="15.75" customHeight="1" s="69">
      <c r="B72" s="2" t="n"/>
      <c r="D72" s="2" t="n"/>
      <c r="E72" s="2" t="n"/>
      <c r="F72" s="2" t="n"/>
      <c r="G72" s="2" t="n"/>
    </row>
    <row r="73" ht="15.75" customHeight="1" s="69">
      <c r="B73" s="2" t="n"/>
      <c r="D73" s="2" t="n"/>
      <c r="E73" s="2" t="n"/>
      <c r="F73" s="2" t="n"/>
      <c r="G73" s="2" t="n"/>
    </row>
    <row r="74" ht="15.75" customHeight="1" s="69">
      <c r="B74" s="2" t="n"/>
      <c r="D74" s="2" t="n"/>
      <c r="E74" s="2" t="n"/>
      <c r="F74" s="2" t="n"/>
      <c r="G74" s="2" t="n"/>
    </row>
    <row r="75" ht="15.75" customHeight="1" s="69">
      <c r="B75" s="2" t="n"/>
      <c r="D75" s="2" t="n"/>
      <c r="E75" s="2" t="n"/>
      <c r="F75" s="2" t="n"/>
      <c r="G75" s="2" t="n"/>
    </row>
    <row r="76" ht="15.75" customHeight="1" s="69">
      <c r="B76" s="2" t="n"/>
      <c r="D76" s="2" t="n"/>
      <c r="E76" s="2" t="n"/>
      <c r="F76" s="2" t="n"/>
      <c r="G76" s="2" t="n"/>
    </row>
    <row r="77" ht="15.75" customHeight="1" s="69">
      <c r="B77" s="2" t="n"/>
      <c r="D77" s="2" t="n"/>
      <c r="E77" s="2" t="n"/>
      <c r="F77" s="2" t="n"/>
      <c r="G77" s="2" t="n"/>
    </row>
    <row r="78" ht="15.75" customHeight="1" s="69">
      <c r="B78" s="2" t="n"/>
      <c r="D78" s="2" t="n"/>
      <c r="E78" s="2" t="n"/>
      <c r="F78" s="2" t="n"/>
      <c r="G78" s="2" t="n"/>
    </row>
    <row r="79" ht="15.75" customHeight="1" s="69">
      <c r="B79" s="2" t="n"/>
      <c r="D79" s="2" t="n"/>
      <c r="E79" s="2" t="n"/>
      <c r="F79" s="2" t="n"/>
      <c r="G79" s="2" t="n"/>
    </row>
    <row r="80" ht="15.75" customHeight="1" s="69">
      <c r="B80" s="2" t="n"/>
      <c r="D80" s="2" t="n"/>
      <c r="E80" s="2" t="n"/>
      <c r="F80" s="2" t="n"/>
      <c r="G80" s="2" t="n"/>
    </row>
    <row r="81" ht="15.75" customHeight="1" s="69">
      <c r="B81" s="2" t="n"/>
      <c r="D81" s="2" t="n"/>
      <c r="E81" s="2" t="n"/>
      <c r="F81" s="2" t="n"/>
      <c r="G81" s="2" t="n"/>
    </row>
    <row r="82" ht="15.75" customHeight="1" s="69">
      <c r="B82" s="2" t="n"/>
      <c r="D82" s="2" t="n"/>
      <c r="E82" s="2" t="n"/>
      <c r="F82" s="2" t="n"/>
      <c r="G82" s="2" t="n"/>
    </row>
    <row r="83" ht="15.75" customHeight="1" s="69">
      <c r="B83" s="2" t="n"/>
      <c r="D83" s="2" t="n"/>
      <c r="E83" s="2" t="n"/>
      <c r="F83" s="2" t="n"/>
      <c r="G83" s="2" t="n"/>
    </row>
    <row r="84" ht="15.75" customHeight="1" s="69">
      <c r="B84" s="2" t="n"/>
      <c r="D84" s="2" t="n"/>
      <c r="E84" s="2" t="n"/>
      <c r="F84" s="2" t="n"/>
      <c r="G84" s="2" t="n"/>
    </row>
    <row r="85" ht="15.75" customHeight="1" s="69">
      <c r="B85" s="2" t="n"/>
      <c r="D85" s="2" t="n"/>
      <c r="E85" s="2" t="n"/>
      <c r="F85" s="2" t="n"/>
      <c r="G85" s="2" t="n"/>
    </row>
    <row r="86" ht="15.75" customHeight="1" s="69">
      <c r="B86" s="2" t="n"/>
      <c r="D86" s="2" t="n"/>
      <c r="E86" s="2" t="n"/>
      <c r="F86" s="2" t="n"/>
      <c r="G86" s="2" t="n"/>
    </row>
    <row r="87" ht="15.75" customHeight="1" s="69">
      <c r="B87" s="2" t="n"/>
      <c r="D87" s="2" t="n"/>
      <c r="E87" s="2" t="n"/>
      <c r="F87" s="2" t="n"/>
      <c r="G87" s="2" t="n"/>
    </row>
    <row r="88" ht="15.75" customHeight="1" s="69">
      <c r="B88" s="2" t="n"/>
      <c r="D88" s="2" t="n"/>
      <c r="E88" s="2" t="n"/>
      <c r="F88" s="2" t="n"/>
      <c r="G88" s="2" t="n"/>
    </row>
    <row r="89" ht="15.75" customHeight="1" s="69">
      <c r="B89" s="2" t="n"/>
      <c r="D89" s="2" t="n"/>
      <c r="E89" s="2" t="n"/>
      <c r="F89" s="2" t="n"/>
      <c r="G89" s="2" t="n"/>
    </row>
    <row r="90" ht="15.75" customHeight="1" s="69">
      <c r="B90" s="2" t="n"/>
      <c r="D90" s="2" t="n"/>
      <c r="E90" s="2" t="n"/>
      <c r="F90" s="2" t="n"/>
      <c r="G90" s="2" t="n"/>
    </row>
    <row r="91" ht="15.75" customHeight="1" s="69">
      <c r="B91" s="2" t="n"/>
      <c r="D91" s="2" t="n"/>
      <c r="E91" s="2" t="n"/>
      <c r="F91" s="2" t="n"/>
      <c r="G91" s="2" t="n"/>
    </row>
    <row r="92" ht="15.75" customHeight="1" s="69">
      <c r="B92" s="2" t="n"/>
      <c r="D92" s="2" t="n"/>
      <c r="E92" s="2" t="n"/>
      <c r="F92" s="2" t="n"/>
      <c r="G92" s="2" t="n"/>
    </row>
    <row r="93" ht="15.75" customHeight="1" s="69">
      <c r="B93" s="2" t="n"/>
      <c r="D93" s="2" t="n"/>
      <c r="E93" s="2" t="n"/>
      <c r="F93" s="2" t="n"/>
      <c r="G93" s="2" t="n"/>
    </row>
    <row r="94" ht="15.75" customHeight="1" s="69">
      <c r="B94" s="2" t="n"/>
      <c r="D94" s="2" t="n"/>
      <c r="E94" s="2" t="n"/>
      <c r="F94" s="2" t="n"/>
      <c r="G94" s="2" t="n"/>
    </row>
    <row r="95" ht="15.75" customHeight="1" s="69">
      <c r="B95" s="2" t="n"/>
      <c r="D95" s="2" t="n"/>
      <c r="E95" s="2" t="n"/>
      <c r="F95" s="2" t="n"/>
      <c r="G95" s="2" t="n"/>
    </row>
    <row r="96" ht="15.75" customHeight="1" s="69">
      <c r="B96" s="2" t="n"/>
      <c r="D96" s="2" t="n"/>
      <c r="E96" s="2" t="n"/>
      <c r="F96" s="2" t="n"/>
      <c r="G96" s="2" t="n"/>
    </row>
    <row r="97" ht="15.75" customHeight="1" s="69">
      <c r="B97" s="2" t="n"/>
      <c r="D97" s="2" t="n"/>
      <c r="E97" s="2" t="n"/>
      <c r="F97" s="2" t="n"/>
      <c r="G97" s="2" t="n"/>
    </row>
    <row r="98" ht="15.75" customHeight="1" s="69">
      <c r="B98" s="2" t="n"/>
      <c r="D98" s="2" t="n"/>
      <c r="E98" s="2" t="n"/>
      <c r="F98" s="2" t="n"/>
      <c r="G98" s="2" t="n"/>
    </row>
    <row r="99" ht="15.75" customHeight="1" s="69">
      <c r="B99" s="2" t="n"/>
      <c r="D99" s="2" t="n"/>
      <c r="E99" s="2" t="n"/>
      <c r="F99" s="2" t="n"/>
      <c r="G99" s="2" t="n"/>
    </row>
    <row r="100" ht="15.75" customHeight="1" s="69">
      <c r="B100" s="2" t="n"/>
      <c r="D100" s="2" t="n"/>
      <c r="E100" s="2" t="n"/>
      <c r="F100" s="2" t="n"/>
      <c r="G100" s="2" t="n"/>
    </row>
    <row r="101" ht="15.75" customHeight="1" s="69">
      <c r="B101" s="2" t="n"/>
      <c r="D101" s="2" t="n"/>
      <c r="E101" s="2" t="n"/>
      <c r="F101" s="2" t="n"/>
      <c r="G101" s="2" t="n"/>
    </row>
    <row r="102" ht="15.75" customHeight="1" s="69">
      <c r="B102" s="2" t="n"/>
      <c r="D102" s="2" t="n"/>
      <c r="E102" s="2" t="n"/>
      <c r="F102" s="2" t="n"/>
      <c r="G102" s="2" t="n"/>
    </row>
    <row r="103" ht="15.75" customHeight="1" s="69">
      <c r="B103" s="2" t="n"/>
      <c r="D103" s="2" t="n"/>
      <c r="E103" s="2" t="n"/>
      <c r="F103" s="2" t="n"/>
      <c r="G103" s="2" t="n"/>
    </row>
    <row r="104" ht="15.75" customHeight="1" s="69">
      <c r="B104" s="2" t="n"/>
      <c r="D104" s="2" t="n"/>
      <c r="E104" s="2" t="n"/>
      <c r="F104" s="2" t="n"/>
      <c r="G104" s="2" t="n"/>
    </row>
    <row r="105" ht="15.75" customHeight="1" s="69">
      <c r="B105" s="2" t="n"/>
      <c r="D105" s="2" t="n"/>
      <c r="E105" s="2" t="n"/>
      <c r="F105" s="2" t="n"/>
      <c r="G105" s="2" t="n"/>
    </row>
    <row r="106" ht="15.75" customHeight="1" s="69">
      <c r="B106" s="2" t="n"/>
      <c r="D106" s="2" t="n"/>
      <c r="E106" s="2" t="n"/>
      <c r="F106" s="2" t="n"/>
      <c r="G106" s="2" t="n"/>
    </row>
    <row r="107" ht="15.75" customHeight="1" s="69">
      <c r="B107" s="2" t="n"/>
      <c r="D107" s="2" t="n"/>
      <c r="E107" s="2" t="n"/>
      <c r="F107" s="2" t="n"/>
      <c r="G107" s="2" t="n"/>
    </row>
    <row r="108" ht="15.75" customHeight="1" s="69">
      <c r="B108" s="2" t="n"/>
      <c r="D108" s="2" t="n"/>
      <c r="E108" s="2" t="n"/>
      <c r="F108" s="2" t="n"/>
      <c r="G108" s="2" t="n"/>
    </row>
    <row r="109" ht="15.75" customHeight="1" s="69">
      <c r="B109" s="2" t="n"/>
      <c r="D109" s="2" t="n"/>
      <c r="E109" s="2" t="n"/>
      <c r="F109" s="2" t="n"/>
      <c r="G109" s="2" t="n"/>
    </row>
    <row r="110" ht="15.75" customHeight="1" s="69">
      <c r="B110" s="2" t="n"/>
      <c r="D110" s="2" t="n"/>
      <c r="E110" s="2" t="n"/>
      <c r="F110" s="2" t="n"/>
      <c r="G110" s="2" t="n"/>
    </row>
    <row r="111" ht="15.75" customHeight="1" s="69">
      <c r="B111" s="2" t="n"/>
      <c r="D111" s="2" t="n"/>
      <c r="E111" s="2" t="n"/>
      <c r="F111" s="2" t="n"/>
      <c r="G111" s="2" t="n"/>
    </row>
    <row r="112" ht="15.75" customHeight="1" s="69">
      <c r="B112" s="2" t="n"/>
      <c r="D112" s="2" t="n"/>
      <c r="E112" s="2" t="n"/>
      <c r="F112" s="2" t="n"/>
      <c r="G112" s="2" t="n"/>
    </row>
    <row r="113" ht="15.75" customHeight="1" s="69">
      <c r="B113" s="2" t="n"/>
      <c r="D113" s="2" t="n"/>
      <c r="E113" s="2" t="n"/>
      <c r="F113" s="2" t="n"/>
      <c r="G113" s="2" t="n"/>
    </row>
    <row r="114" ht="15.75" customHeight="1" s="69">
      <c r="B114" s="2" t="n"/>
      <c r="D114" s="2" t="n"/>
      <c r="E114" s="2" t="n"/>
      <c r="F114" s="2" t="n"/>
      <c r="G114" s="2" t="n"/>
    </row>
    <row r="115" ht="15.75" customHeight="1" s="69">
      <c r="B115" s="2" t="n"/>
      <c r="D115" s="2" t="n"/>
      <c r="E115" s="2" t="n"/>
      <c r="F115" s="2" t="n"/>
      <c r="G115" s="2" t="n"/>
    </row>
    <row r="116" ht="15.75" customHeight="1" s="69">
      <c r="B116" s="2" t="n"/>
      <c r="D116" s="2" t="n"/>
      <c r="E116" s="2" t="n"/>
      <c r="F116" s="2" t="n"/>
      <c r="G116" s="2" t="n"/>
    </row>
    <row r="117" ht="15.75" customHeight="1" s="69">
      <c r="B117" s="2" t="n"/>
      <c r="D117" s="2" t="n"/>
      <c r="E117" s="2" t="n"/>
      <c r="F117" s="2" t="n"/>
      <c r="G117" s="2" t="n"/>
    </row>
    <row r="118" ht="15.75" customHeight="1" s="69">
      <c r="B118" s="2" t="n"/>
      <c r="D118" s="2" t="n"/>
      <c r="E118" s="2" t="n"/>
      <c r="F118" s="2" t="n"/>
      <c r="G118" s="2" t="n"/>
    </row>
    <row r="119" ht="15.75" customHeight="1" s="69">
      <c r="B119" s="2" t="n"/>
      <c r="D119" s="2" t="n"/>
      <c r="E119" s="2" t="n"/>
      <c r="F119" s="2" t="n"/>
      <c r="G119" s="2" t="n"/>
    </row>
    <row r="120" ht="15.75" customHeight="1" s="69">
      <c r="B120" s="2" t="n"/>
      <c r="D120" s="2" t="n"/>
      <c r="E120" s="2" t="n"/>
      <c r="F120" s="2" t="n"/>
      <c r="G120" s="2" t="n"/>
    </row>
    <row r="121" ht="15.75" customHeight="1" s="69">
      <c r="B121" s="2" t="n"/>
      <c r="D121" s="2" t="n"/>
      <c r="E121" s="2" t="n"/>
      <c r="F121" s="2" t="n"/>
      <c r="G121" s="2" t="n"/>
    </row>
    <row r="122" ht="15.75" customHeight="1" s="69">
      <c r="B122" s="2" t="n"/>
      <c r="D122" s="2" t="n"/>
      <c r="E122" s="2" t="n"/>
      <c r="F122" s="2" t="n"/>
      <c r="G122" s="2" t="n"/>
    </row>
    <row r="123" ht="15.75" customHeight="1" s="69">
      <c r="B123" s="2" t="n"/>
      <c r="D123" s="2" t="n"/>
      <c r="E123" s="2" t="n"/>
      <c r="F123" s="2" t="n"/>
      <c r="G123" s="2" t="n"/>
    </row>
    <row r="124" ht="15.75" customHeight="1" s="69">
      <c r="B124" s="2" t="n"/>
      <c r="D124" s="2" t="n"/>
      <c r="E124" s="2" t="n"/>
      <c r="F124" s="2" t="n"/>
      <c r="G124" s="2" t="n"/>
    </row>
    <row r="125" ht="15.75" customHeight="1" s="69">
      <c r="B125" s="2" t="n"/>
      <c r="D125" s="2" t="n"/>
      <c r="E125" s="2" t="n"/>
      <c r="F125" s="2" t="n"/>
      <c r="G125" s="2" t="n"/>
    </row>
    <row r="126" ht="15.75" customHeight="1" s="69">
      <c r="B126" s="2" t="n"/>
      <c r="D126" s="2" t="n"/>
      <c r="E126" s="2" t="n"/>
      <c r="F126" s="2" t="n"/>
      <c r="G126" s="2" t="n"/>
    </row>
    <row r="127" ht="15.75" customHeight="1" s="69">
      <c r="B127" s="2" t="n"/>
      <c r="D127" s="2" t="n"/>
      <c r="E127" s="2" t="n"/>
      <c r="F127" s="2" t="n"/>
      <c r="G127" s="2" t="n"/>
    </row>
    <row r="128" ht="15.75" customHeight="1" s="69">
      <c r="B128" s="2" t="n"/>
      <c r="D128" s="2" t="n"/>
      <c r="E128" s="2" t="n"/>
      <c r="F128" s="2" t="n"/>
      <c r="G128" s="2" t="n"/>
    </row>
    <row r="129" ht="15.75" customHeight="1" s="69">
      <c r="B129" s="2" t="n"/>
      <c r="D129" s="2" t="n"/>
      <c r="E129" s="2" t="n"/>
      <c r="F129" s="2" t="n"/>
      <c r="G129" s="2" t="n"/>
    </row>
    <row r="130" ht="15.75" customHeight="1" s="69">
      <c r="B130" s="2" t="n"/>
      <c r="D130" s="2" t="n"/>
      <c r="E130" s="2" t="n"/>
      <c r="F130" s="2" t="n"/>
      <c r="G130" s="2" t="n"/>
    </row>
    <row r="131" ht="15.75" customHeight="1" s="69">
      <c r="B131" s="2" t="n"/>
      <c r="D131" s="2" t="n"/>
      <c r="E131" s="2" t="n"/>
      <c r="F131" s="2" t="n"/>
      <c r="G131" s="2" t="n"/>
    </row>
    <row r="132" ht="15.75" customHeight="1" s="69">
      <c r="B132" s="2" t="n"/>
      <c r="D132" s="2" t="n"/>
      <c r="E132" s="2" t="n"/>
      <c r="F132" s="2" t="n"/>
      <c r="G132" s="2" t="n"/>
    </row>
    <row r="133" ht="15.75" customHeight="1" s="69">
      <c r="B133" s="2" t="n"/>
      <c r="D133" s="2" t="n"/>
      <c r="E133" s="2" t="n"/>
      <c r="F133" s="2" t="n"/>
      <c r="G133" s="2" t="n"/>
    </row>
    <row r="134" ht="15.75" customHeight="1" s="69">
      <c r="B134" s="2" t="n"/>
      <c r="D134" s="2" t="n"/>
      <c r="E134" s="2" t="n"/>
      <c r="F134" s="2" t="n"/>
      <c r="G134" s="2" t="n"/>
    </row>
    <row r="135" ht="15.75" customHeight="1" s="69">
      <c r="B135" s="2" t="n"/>
      <c r="D135" s="2" t="n"/>
      <c r="E135" s="2" t="n"/>
      <c r="F135" s="2" t="n"/>
      <c r="G135" s="2" t="n"/>
    </row>
    <row r="136" ht="15.75" customHeight="1" s="69">
      <c r="B136" s="2" t="n"/>
      <c r="D136" s="2" t="n"/>
      <c r="E136" s="2" t="n"/>
      <c r="F136" s="2" t="n"/>
      <c r="G136" s="2" t="n"/>
    </row>
    <row r="137" ht="15.75" customHeight="1" s="69">
      <c r="B137" s="2" t="n"/>
      <c r="D137" s="2" t="n"/>
      <c r="E137" s="2" t="n"/>
      <c r="F137" s="2" t="n"/>
      <c r="G137" s="2" t="n"/>
    </row>
    <row r="138" ht="15.75" customHeight="1" s="69">
      <c r="B138" s="2" t="n"/>
      <c r="D138" s="2" t="n"/>
      <c r="E138" s="2" t="n"/>
      <c r="F138" s="2" t="n"/>
      <c r="G138" s="2" t="n"/>
    </row>
    <row r="139" ht="15.75" customHeight="1" s="69">
      <c r="B139" s="2" t="n"/>
      <c r="D139" s="2" t="n"/>
      <c r="E139" s="2" t="n"/>
      <c r="F139" s="2" t="n"/>
      <c r="G139" s="2" t="n"/>
    </row>
    <row r="140" ht="15.75" customHeight="1" s="69">
      <c r="B140" s="2" t="n"/>
      <c r="D140" s="2" t="n"/>
      <c r="E140" s="2" t="n"/>
      <c r="F140" s="2" t="n"/>
      <c r="G140" s="2" t="n"/>
    </row>
    <row r="141" ht="15.75" customHeight="1" s="69">
      <c r="B141" s="2" t="n"/>
      <c r="D141" s="2" t="n"/>
      <c r="E141" s="2" t="n"/>
      <c r="F141" s="2" t="n"/>
      <c r="G141" s="2" t="n"/>
    </row>
    <row r="142" ht="15.75" customHeight="1" s="69">
      <c r="B142" s="2" t="n"/>
      <c r="D142" s="2" t="n"/>
      <c r="E142" s="2" t="n"/>
      <c r="F142" s="2" t="n"/>
      <c r="G142" s="2" t="n"/>
    </row>
    <row r="143" ht="15.75" customHeight="1" s="69">
      <c r="B143" s="2" t="n"/>
      <c r="D143" s="2" t="n"/>
      <c r="E143" s="2" t="n"/>
      <c r="F143" s="2" t="n"/>
      <c r="G143" s="2" t="n"/>
    </row>
    <row r="144" ht="15.75" customHeight="1" s="69">
      <c r="B144" s="2" t="n"/>
      <c r="D144" s="2" t="n"/>
      <c r="E144" s="2" t="n"/>
      <c r="F144" s="2" t="n"/>
      <c r="G144" s="2" t="n"/>
    </row>
    <row r="145" ht="15.75" customHeight="1" s="69">
      <c r="B145" s="2" t="n"/>
      <c r="D145" s="2" t="n"/>
      <c r="E145" s="2" t="n"/>
      <c r="F145" s="2" t="n"/>
      <c r="G145" s="2" t="n"/>
    </row>
    <row r="146" ht="15.75" customHeight="1" s="69">
      <c r="B146" s="2" t="n"/>
      <c r="D146" s="2" t="n"/>
      <c r="E146" s="2" t="n"/>
      <c r="F146" s="2" t="n"/>
      <c r="G146" s="2" t="n"/>
    </row>
    <row r="147" ht="15.75" customHeight="1" s="69">
      <c r="B147" s="2" t="n"/>
      <c r="D147" s="2" t="n"/>
      <c r="E147" s="2" t="n"/>
      <c r="F147" s="2" t="n"/>
      <c r="G147" s="2" t="n"/>
    </row>
    <row r="148" ht="15.75" customHeight="1" s="69">
      <c r="B148" s="2" t="n"/>
      <c r="D148" s="2" t="n"/>
      <c r="E148" s="2" t="n"/>
      <c r="F148" s="2" t="n"/>
      <c r="G148" s="2" t="n"/>
    </row>
    <row r="149" ht="15.75" customHeight="1" s="69">
      <c r="B149" s="2" t="n"/>
      <c r="D149" s="2" t="n"/>
      <c r="E149" s="2" t="n"/>
      <c r="F149" s="2" t="n"/>
      <c r="G149" s="2" t="n"/>
    </row>
    <row r="150" ht="15.75" customHeight="1" s="69">
      <c r="B150" s="2" t="n"/>
      <c r="D150" s="2" t="n"/>
      <c r="E150" s="2" t="n"/>
      <c r="F150" s="2" t="n"/>
      <c r="G150" s="2" t="n"/>
    </row>
    <row r="151" ht="15.75" customHeight="1" s="69">
      <c r="B151" s="2" t="n"/>
      <c r="D151" s="2" t="n"/>
      <c r="E151" s="2" t="n"/>
      <c r="F151" s="2" t="n"/>
      <c r="G151" s="2" t="n"/>
    </row>
    <row r="152" ht="15.75" customHeight="1" s="69">
      <c r="B152" s="2" t="n"/>
      <c r="D152" s="2" t="n"/>
      <c r="E152" s="2" t="n"/>
      <c r="F152" s="2" t="n"/>
      <c r="G152" s="2" t="n"/>
    </row>
    <row r="153" ht="15.75" customHeight="1" s="69">
      <c r="B153" s="2" t="n"/>
      <c r="D153" s="2" t="n"/>
      <c r="E153" s="2" t="n"/>
      <c r="F153" s="2" t="n"/>
      <c r="G153" s="2" t="n"/>
    </row>
    <row r="154" ht="15.75" customHeight="1" s="69">
      <c r="B154" s="2" t="n"/>
      <c r="D154" s="2" t="n"/>
      <c r="E154" s="2" t="n"/>
      <c r="F154" s="2" t="n"/>
      <c r="G154" s="2" t="n"/>
    </row>
    <row r="155" ht="15.75" customHeight="1" s="69">
      <c r="B155" s="2" t="n"/>
      <c r="D155" s="2" t="n"/>
      <c r="E155" s="2" t="n"/>
      <c r="F155" s="2" t="n"/>
      <c r="G155" s="2" t="n"/>
    </row>
    <row r="156" ht="15.75" customHeight="1" s="69">
      <c r="B156" s="2" t="n"/>
      <c r="D156" s="2" t="n"/>
      <c r="E156" s="2" t="n"/>
      <c r="F156" s="2" t="n"/>
      <c r="G156" s="2" t="n"/>
    </row>
    <row r="157" ht="15.75" customHeight="1" s="69">
      <c r="B157" s="2" t="n"/>
      <c r="D157" s="2" t="n"/>
      <c r="E157" s="2" t="n"/>
      <c r="F157" s="2" t="n"/>
      <c r="G157" s="2" t="n"/>
    </row>
    <row r="158" ht="15.75" customHeight="1" s="69">
      <c r="B158" s="2" t="n"/>
      <c r="D158" s="2" t="n"/>
      <c r="E158" s="2" t="n"/>
      <c r="F158" s="2" t="n"/>
      <c r="G158" s="2" t="n"/>
    </row>
    <row r="159" ht="15.75" customHeight="1" s="69">
      <c r="B159" s="2" t="n"/>
      <c r="D159" s="2" t="n"/>
      <c r="E159" s="2" t="n"/>
      <c r="F159" s="2" t="n"/>
      <c r="G159" s="2" t="n"/>
    </row>
    <row r="160" ht="15.75" customHeight="1" s="69">
      <c r="B160" s="2" t="n"/>
      <c r="D160" s="2" t="n"/>
      <c r="E160" s="2" t="n"/>
      <c r="F160" s="2" t="n"/>
      <c r="G160" s="2" t="n"/>
    </row>
    <row r="161" ht="15.75" customHeight="1" s="69">
      <c r="B161" s="2" t="n"/>
      <c r="D161" s="2" t="n"/>
      <c r="E161" s="2" t="n"/>
      <c r="F161" s="2" t="n"/>
      <c r="G161" s="2" t="n"/>
    </row>
    <row r="162" ht="15.75" customHeight="1" s="69">
      <c r="B162" s="2" t="n"/>
      <c r="D162" s="2" t="n"/>
      <c r="E162" s="2" t="n"/>
      <c r="F162" s="2" t="n"/>
      <c r="G162" s="2" t="n"/>
    </row>
    <row r="163" ht="15.75" customHeight="1" s="69">
      <c r="B163" s="2" t="n"/>
      <c r="D163" s="2" t="n"/>
      <c r="E163" s="2" t="n"/>
      <c r="F163" s="2" t="n"/>
      <c r="G163" s="2" t="n"/>
    </row>
    <row r="164" ht="15.75" customHeight="1" s="69">
      <c r="B164" s="2" t="n"/>
      <c r="D164" s="2" t="n"/>
      <c r="E164" s="2" t="n"/>
      <c r="F164" s="2" t="n"/>
      <c r="G164" s="2" t="n"/>
    </row>
    <row r="165" ht="15.75" customHeight="1" s="69">
      <c r="B165" s="2" t="n"/>
      <c r="D165" s="2" t="n"/>
      <c r="E165" s="2" t="n"/>
      <c r="F165" s="2" t="n"/>
      <c r="G165" s="2" t="n"/>
    </row>
    <row r="166" ht="15.75" customHeight="1" s="69">
      <c r="B166" s="2" t="n"/>
      <c r="D166" s="2" t="n"/>
      <c r="E166" s="2" t="n"/>
      <c r="F166" s="2" t="n"/>
      <c r="G166" s="2" t="n"/>
    </row>
    <row r="167" ht="15.75" customHeight="1" s="69">
      <c r="B167" s="2" t="n"/>
      <c r="D167" s="2" t="n"/>
      <c r="E167" s="2" t="n"/>
      <c r="F167" s="2" t="n"/>
      <c r="G167" s="2" t="n"/>
    </row>
    <row r="168" ht="15.75" customHeight="1" s="69">
      <c r="B168" s="2" t="n"/>
      <c r="D168" s="2" t="n"/>
      <c r="E168" s="2" t="n"/>
      <c r="F168" s="2" t="n"/>
      <c r="G168" s="2" t="n"/>
    </row>
    <row r="169" ht="15.75" customHeight="1" s="69">
      <c r="B169" s="2" t="n"/>
      <c r="D169" s="2" t="n"/>
      <c r="E169" s="2" t="n"/>
      <c r="F169" s="2" t="n"/>
      <c r="G169" s="2" t="n"/>
    </row>
    <row r="170" ht="15.75" customHeight="1" s="69">
      <c r="B170" s="2" t="n"/>
      <c r="D170" s="2" t="n"/>
      <c r="E170" s="2" t="n"/>
      <c r="F170" s="2" t="n"/>
      <c r="G170" s="2" t="n"/>
    </row>
    <row r="171" ht="15.75" customHeight="1" s="69">
      <c r="B171" s="2" t="n"/>
      <c r="D171" s="2" t="n"/>
      <c r="E171" s="2" t="n"/>
      <c r="F171" s="2" t="n"/>
      <c r="G171" s="2" t="n"/>
    </row>
    <row r="172" ht="15.75" customHeight="1" s="69">
      <c r="B172" s="2" t="n"/>
      <c r="D172" s="2" t="n"/>
      <c r="E172" s="2" t="n"/>
      <c r="F172" s="2" t="n"/>
      <c r="G172" s="2" t="n"/>
    </row>
    <row r="173" ht="15.75" customHeight="1" s="69">
      <c r="B173" s="2" t="n"/>
      <c r="D173" s="2" t="n"/>
      <c r="E173" s="2" t="n"/>
      <c r="F173" s="2" t="n"/>
      <c r="G173" s="2" t="n"/>
    </row>
    <row r="174" ht="15.75" customHeight="1" s="69">
      <c r="B174" s="2" t="n"/>
      <c r="D174" s="2" t="n"/>
      <c r="E174" s="2" t="n"/>
      <c r="F174" s="2" t="n"/>
      <c r="G174" s="2" t="n"/>
    </row>
    <row r="175" ht="15.75" customHeight="1" s="69">
      <c r="B175" s="2" t="n"/>
      <c r="D175" s="2" t="n"/>
      <c r="E175" s="2" t="n"/>
      <c r="F175" s="2" t="n"/>
      <c r="G175" s="2" t="n"/>
    </row>
    <row r="176" ht="15.75" customHeight="1" s="69">
      <c r="B176" s="2" t="n"/>
      <c r="D176" s="2" t="n"/>
      <c r="E176" s="2" t="n"/>
      <c r="F176" s="2" t="n"/>
      <c r="G176" s="2" t="n"/>
    </row>
    <row r="177" ht="15.75" customHeight="1" s="69">
      <c r="B177" s="2" t="n"/>
      <c r="D177" s="2" t="n"/>
      <c r="E177" s="2" t="n"/>
      <c r="F177" s="2" t="n"/>
      <c r="G177" s="2" t="n"/>
    </row>
    <row r="178" ht="15.75" customHeight="1" s="69">
      <c r="B178" s="2" t="n"/>
      <c r="D178" s="2" t="n"/>
      <c r="E178" s="2" t="n"/>
      <c r="F178" s="2" t="n"/>
      <c r="G178" s="2" t="n"/>
    </row>
    <row r="179" ht="15.75" customHeight="1" s="69">
      <c r="B179" s="2" t="n"/>
      <c r="D179" s="2" t="n"/>
      <c r="E179" s="2" t="n"/>
      <c r="F179" s="2" t="n"/>
      <c r="G179" s="2" t="n"/>
    </row>
    <row r="180" ht="15.75" customHeight="1" s="69">
      <c r="B180" s="2" t="n"/>
      <c r="D180" s="2" t="n"/>
      <c r="E180" s="2" t="n"/>
      <c r="F180" s="2" t="n"/>
      <c r="G180" s="2" t="n"/>
    </row>
    <row r="181" ht="15.75" customHeight="1" s="69">
      <c r="B181" s="2" t="n"/>
      <c r="D181" s="2" t="n"/>
      <c r="E181" s="2" t="n"/>
      <c r="F181" s="2" t="n"/>
      <c r="G181" s="2" t="n"/>
    </row>
    <row r="182" ht="15.75" customHeight="1" s="69">
      <c r="B182" s="2" t="n"/>
      <c r="D182" s="2" t="n"/>
      <c r="E182" s="2" t="n"/>
      <c r="F182" s="2" t="n"/>
      <c r="G182" s="2" t="n"/>
    </row>
    <row r="183" ht="15.75" customHeight="1" s="69">
      <c r="B183" s="2" t="n"/>
      <c r="D183" s="2" t="n"/>
      <c r="E183" s="2" t="n"/>
      <c r="F183" s="2" t="n"/>
      <c r="G183" s="2" t="n"/>
    </row>
    <row r="184" ht="15.75" customHeight="1" s="69">
      <c r="B184" s="2" t="n"/>
      <c r="D184" s="2" t="n"/>
      <c r="E184" s="2" t="n"/>
      <c r="F184" s="2" t="n"/>
      <c r="G184" s="2" t="n"/>
    </row>
    <row r="185" ht="15.75" customHeight="1" s="69">
      <c r="B185" s="2" t="n"/>
      <c r="D185" s="2" t="n"/>
      <c r="E185" s="2" t="n"/>
      <c r="F185" s="2" t="n"/>
      <c r="G185" s="2" t="n"/>
    </row>
    <row r="186" ht="15.75" customHeight="1" s="69">
      <c r="B186" s="2" t="n"/>
      <c r="D186" s="2" t="n"/>
      <c r="E186" s="2" t="n"/>
      <c r="F186" s="2" t="n"/>
      <c r="G186" s="2" t="n"/>
    </row>
    <row r="187" ht="15.75" customHeight="1" s="69">
      <c r="B187" s="2" t="n"/>
      <c r="D187" s="2" t="n"/>
      <c r="E187" s="2" t="n"/>
      <c r="F187" s="2" t="n"/>
      <c r="G187" s="2" t="n"/>
    </row>
    <row r="188" ht="15.75" customHeight="1" s="69">
      <c r="B188" s="2" t="n"/>
      <c r="D188" s="2" t="n"/>
      <c r="E188" s="2" t="n"/>
      <c r="F188" s="2" t="n"/>
      <c r="G188" s="2" t="n"/>
    </row>
    <row r="189" ht="15.75" customHeight="1" s="69">
      <c r="B189" s="2" t="n"/>
      <c r="D189" s="2" t="n"/>
      <c r="E189" s="2" t="n"/>
      <c r="F189" s="2" t="n"/>
      <c r="G189" s="2" t="n"/>
    </row>
    <row r="190" ht="15.75" customHeight="1" s="69">
      <c r="B190" s="2" t="n"/>
      <c r="D190" s="2" t="n"/>
      <c r="E190" s="2" t="n"/>
      <c r="F190" s="2" t="n"/>
      <c r="G190" s="2" t="n"/>
    </row>
    <row r="191" ht="15.75" customHeight="1" s="69">
      <c r="B191" s="2" t="n"/>
      <c r="D191" s="2" t="n"/>
      <c r="E191" s="2" t="n"/>
      <c r="F191" s="2" t="n"/>
      <c r="G191" s="2" t="n"/>
    </row>
    <row r="192" ht="15.75" customHeight="1" s="69">
      <c r="B192" s="2" t="n"/>
      <c r="D192" s="2" t="n"/>
      <c r="E192" s="2" t="n"/>
      <c r="F192" s="2" t="n"/>
      <c r="G192" s="2" t="n"/>
    </row>
    <row r="193" ht="15.75" customHeight="1" s="69">
      <c r="B193" s="2" t="n"/>
      <c r="D193" s="2" t="n"/>
      <c r="E193" s="2" t="n"/>
      <c r="F193" s="2" t="n"/>
      <c r="G193" s="2" t="n"/>
    </row>
    <row r="194" ht="15.75" customHeight="1" s="69">
      <c r="B194" s="2" t="n"/>
      <c r="D194" s="2" t="n"/>
      <c r="E194" s="2" t="n"/>
      <c r="F194" s="2" t="n"/>
      <c r="G194" s="2" t="n"/>
    </row>
    <row r="195" ht="15.75" customHeight="1" s="69">
      <c r="B195" s="2" t="n"/>
      <c r="D195" s="2" t="n"/>
      <c r="E195" s="2" t="n"/>
      <c r="F195" s="2" t="n"/>
      <c r="G195" s="2" t="n"/>
    </row>
    <row r="196" ht="15.75" customHeight="1" s="69">
      <c r="B196" s="2" t="n"/>
      <c r="D196" s="2" t="n"/>
      <c r="E196" s="2" t="n"/>
      <c r="F196" s="2" t="n"/>
      <c r="G196" s="2" t="n"/>
    </row>
    <row r="197" ht="15.75" customHeight="1" s="69">
      <c r="B197" s="2" t="n"/>
      <c r="D197" s="2" t="n"/>
      <c r="E197" s="2" t="n"/>
      <c r="F197" s="2" t="n"/>
      <c r="G197" s="2" t="n"/>
    </row>
    <row r="198" ht="15.75" customHeight="1" s="69">
      <c r="B198" s="2" t="n"/>
      <c r="D198" s="2" t="n"/>
      <c r="E198" s="2" t="n"/>
      <c r="F198" s="2" t="n"/>
      <c r="G198" s="2" t="n"/>
    </row>
    <row r="199" ht="15.75" customHeight="1" s="69">
      <c r="B199" s="2" t="n"/>
      <c r="D199" s="2" t="n"/>
      <c r="E199" s="2" t="n"/>
      <c r="F199" s="2" t="n"/>
      <c r="G199" s="2" t="n"/>
    </row>
    <row r="200" ht="15.75" customHeight="1" s="69">
      <c r="B200" s="2" t="n"/>
      <c r="D200" s="2" t="n"/>
      <c r="E200" s="2" t="n"/>
      <c r="F200" s="2" t="n"/>
      <c r="G200" s="2" t="n"/>
    </row>
    <row r="201" ht="15.75" customHeight="1" s="69">
      <c r="B201" s="2" t="n"/>
      <c r="D201" s="2" t="n"/>
      <c r="E201" s="2" t="n"/>
      <c r="F201" s="2" t="n"/>
      <c r="G201" s="2" t="n"/>
    </row>
    <row r="202" ht="15.75" customHeight="1" s="69">
      <c r="B202" s="2" t="n"/>
      <c r="D202" s="2" t="n"/>
      <c r="E202" s="2" t="n"/>
      <c r="F202" s="2" t="n"/>
      <c r="G202" s="2" t="n"/>
    </row>
    <row r="203" ht="15.75" customHeight="1" s="69">
      <c r="B203" s="2" t="n"/>
      <c r="D203" s="2" t="n"/>
      <c r="E203" s="2" t="n"/>
      <c r="F203" s="2" t="n"/>
      <c r="G203" s="2" t="n"/>
    </row>
    <row r="204" ht="15.75" customHeight="1" s="69">
      <c r="B204" s="2" t="n"/>
      <c r="D204" s="2" t="n"/>
      <c r="E204" s="2" t="n"/>
      <c r="F204" s="2" t="n"/>
      <c r="G204" s="2" t="n"/>
    </row>
    <row r="205" ht="15.75" customHeight="1" s="69">
      <c r="B205" s="2" t="n"/>
      <c r="D205" s="2" t="n"/>
      <c r="E205" s="2" t="n"/>
      <c r="F205" s="2" t="n"/>
      <c r="G205" s="2" t="n"/>
    </row>
    <row r="206" ht="15.75" customHeight="1" s="69">
      <c r="B206" s="2" t="n"/>
      <c r="D206" s="2" t="n"/>
      <c r="E206" s="2" t="n"/>
      <c r="F206" s="2" t="n"/>
      <c r="G206" s="2" t="n"/>
    </row>
    <row r="207" ht="15.75" customHeight="1" s="69">
      <c r="B207" s="2" t="n"/>
      <c r="D207" s="2" t="n"/>
      <c r="E207" s="2" t="n"/>
      <c r="F207" s="2" t="n"/>
      <c r="G207" s="2" t="n"/>
    </row>
    <row r="208" ht="15.75" customHeight="1" s="69">
      <c r="B208" s="2" t="n"/>
      <c r="D208" s="2" t="n"/>
      <c r="E208" s="2" t="n"/>
      <c r="F208" s="2" t="n"/>
      <c r="G208" s="2" t="n"/>
    </row>
    <row r="209" ht="15.75" customHeight="1" s="69">
      <c r="B209" s="2" t="n"/>
      <c r="D209" s="2" t="n"/>
      <c r="E209" s="2" t="n"/>
      <c r="F209" s="2" t="n"/>
      <c r="G209" s="2" t="n"/>
    </row>
    <row r="210" ht="15.75" customHeight="1" s="69">
      <c r="B210" s="2" t="n"/>
      <c r="D210" s="2" t="n"/>
      <c r="E210" s="2" t="n"/>
      <c r="F210" s="2" t="n"/>
      <c r="G210" s="2" t="n"/>
    </row>
    <row r="211" ht="15.75" customHeight="1" s="69">
      <c r="B211" s="2" t="n"/>
      <c r="D211" s="2" t="n"/>
      <c r="E211" s="2" t="n"/>
      <c r="F211" s="2" t="n"/>
      <c r="G211" s="2" t="n"/>
    </row>
    <row r="212" ht="15.75" customHeight="1" s="69">
      <c r="B212" s="2" t="n"/>
      <c r="D212" s="2" t="n"/>
      <c r="E212" s="2" t="n"/>
      <c r="F212" s="2" t="n"/>
      <c r="G212" s="2" t="n"/>
    </row>
    <row r="213" ht="15.75" customHeight="1" s="69">
      <c r="B213" s="2" t="n"/>
      <c r="D213" s="2" t="n"/>
      <c r="E213" s="2" t="n"/>
      <c r="F213" s="2" t="n"/>
      <c r="G213" s="2" t="n"/>
    </row>
    <row r="214" ht="15.75" customHeight="1" s="69">
      <c r="B214" s="2" t="n"/>
      <c r="D214" s="2" t="n"/>
      <c r="E214" s="2" t="n"/>
      <c r="F214" s="2" t="n"/>
      <c r="G214" s="2" t="n"/>
    </row>
    <row r="215" ht="15.75" customHeight="1" s="69">
      <c r="B215" s="2" t="n"/>
      <c r="D215" s="2" t="n"/>
      <c r="E215" s="2" t="n"/>
      <c r="F215" s="2" t="n"/>
      <c r="G215" s="2" t="n"/>
    </row>
    <row r="216" ht="15.75" customHeight="1" s="69">
      <c r="B216" s="2" t="n"/>
      <c r="D216" s="2" t="n"/>
      <c r="E216" s="2" t="n"/>
      <c r="F216" s="2" t="n"/>
      <c r="G216" s="2" t="n"/>
    </row>
    <row r="217" ht="15.75" customHeight="1" s="69">
      <c r="B217" s="2" t="n"/>
      <c r="D217" s="2" t="n"/>
      <c r="E217" s="2" t="n"/>
      <c r="F217" s="2" t="n"/>
      <c r="G217" s="2" t="n"/>
    </row>
    <row r="218" ht="15.75" customHeight="1" s="69">
      <c r="B218" s="2" t="n"/>
      <c r="D218" s="2" t="n"/>
      <c r="E218" s="2" t="n"/>
      <c r="F218" s="2" t="n"/>
      <c r="G218" s="2" t="n"/>
    </row>
    <row r="219" ht="15.75" customHeight="1" s="69">
      <c r="B219" s="2" t="n"/>
      <c r="D219" s="2" t="n"/>
      <c r="E219" s="2" t="n"/>
      <c r="F219" s="2" t="n"/>
      <c r="G219" s="2" t="n"/>
    </row>
    <row r="220" ht="15.75" customHeight="1" s="69">
      <c r="B220" s="2" t="n"/>
      <c r="D220" s="2" t="n"/>
      <c r="E220" s="2" t="n"/>
      <c r="F220" s="2" t="n"/>
      <c r="G220" s="2" t="n"/>
    </row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20"/>
  <sheetViews>
    <sheetView workbookViewId="0">
      <selection activeCell="A1" sqref="A1"/>
    </sheetView>
  </sheetViews>
  <sheetFormatPr baseColWidth="8" defaultColWidth="11.25" defaultRowHeight="15" customHeight="1"/>
  <cols>
    <col width="5.375" customWidth="1" style="69" min="1" max="1"/>
    <col width="26.5" customWidth="1" style="69" min="2" max="2"/>
    <col width="5.375" customWidth="1" style="69" min="3" max="3"/>
    <col hidden="1" width="7.875" customWidth="1" style="69" min="4" max="7"/>
    <col width="5.375" customWidth="1" style="69" min="8" max="14"/>
    <col width="19.375" customWidth="1" style="69" min="15" max="15"/>
    <col width="8.625" customWidth="1" style="69" min="16" max="26"/>
  </cols>
  <sheetData>
    <row r="1" ht="15.75" customHeight="1" s="69">
      <c r="A1" s="15" t="inlineStr">
        <is>
          <t>Fornitori ESCLUSI dalla cassa per scelta (is_excluded) — fuori dal saldo proiettato. NON sono un TODO: il motivo è in colonna Motivo.</t>
        </is>
      </c>
      <c r="B1" s="2" t="n"/>
      <c r="D1" s="2" t="n"/>
      <c r="E1" s="2" t="n"/>
      <c r="F1" s="2" t="n"/>
      <c r="G1" s="2" t="n"/>
      <c r="O1" s="2" t="n"/>
    </row>
    <row r="2" ht="15.75" customHeight="1" s="69">
      <c r="A2" s="15" t="inlineStr">
        <is>
          <t>Cod</t>
        </is>
      </c>
      <c r="B2" s="15" t="inlineStr">
        <is>
          <t>Nome (da CSV)</t>
        </is>
      </c>
      <c r="C2" s="15" t="inlineStr">
        <is>
          <t>GENNAIO</t>
        </is>
      </c>
      <c r="D2" s="15" t="inlineStr">
        <is>
          <t>FEBBRAIO</t>
        </is>
      </c>
      <c r="E2" s="15" t="inlineStr">
        <is>
          <t>MARZO</t>
        </is>
      </c>
      <c r="F2" s="15" t="inlineStr">
        <is>
          <t>APRILE</t>
        </is>
      </c>
      <c r="G2" s="15" t="inlineStr">
        <is>
          <t>MAGGIO</t>
        </is>
      </c>
      <c r="H2" s="15" t="inlineStr">
        <is>
          <t>GIUGNO</t>
        </is>
      </c>
      <c r="I2" s="15" t="inlineStr">
        <is>
          <t>LUGLIO</t>
        </is>
      </c>
      <c r="J2" s="15" t="inlineStr">
        <is>
          <t>AGOSTO</t>
        </is>
      </c>
      <c r="K2" s="15" t="inlineStr">
        <is>
          <t>SETTEMBRE</t>
        </is>
      </c>
      <c r="L2" s="15" t="inlineStr">
        <is>
          <t>OTTOBRE</t>
        </is>
      </c>
      <c r="M2" s="15" t="inlineStr">
        <is>
          <t>NOVEMBRE</t>
        </is>
      </c>
      <c r="N2" s="15" t="inlineStr">
        <is>
          <t>DICEMBRE</t>
        </is>
      </c>
      <c r="O2" s="15" t="inlineStr">
        <is>
          <t>Motivo</t>
        </is>
      </c>
    </row>
    <row r="3" ht="15.75" customHeight="1" s="69">
      <c r="A3" s="2" t="n">
        <v>1033</v>
      </c>
      <c r="B3" s="2" t="inlineStr">
        <is>
          <t>EURO GROUP NETWORK S.R.L.</t>
        </is>
      </c>
      <c r="D3" s="2" t="n"/>
      <c r="E3" s="2" t="n"/>
      <c r="F3" s="2" t="n"/>
      <c r="G3" s="2" t="n"/>
      <c r="H3" s="63" t="n">
        <v>31.99</v>
      </c>
      <c r="O3" s="2" t="inlineStr">
        <is>
          <t>una_tantum</t>
        </is>
      </c>
    </row>
    <row r="4" ht="15.75" customHeight="1" s="69">
      <c r="A4" s="2" t="n">
        <v>1048</v>
      </c>
      <c r="B4" s="2" t="inlineStr">
        <is>
          <t>MEDITERRANEO SNC DI TRAMONTANO</t>
        </is>
      </c>
      <c r="D4" s="2" t="n"/>
      <c r="E4" s="2" t="n"/>
      <c r="F4" s="2" t="n"/>
      <c r="G4" s="2" t="n"/>
      <c r="H4" s="63" t="n">
        <v>59.99</v>
      </c>
      <c r="O4" s="2" t="inlineStr">
        <is>
          <t>una_tantum</t>
        </is>
      </c>
    </row>
    <row r="5" ht="15.75" customHeight="1" s="69">
      <c r="A5" s="2" t="n">
        <v>264</v>
      </c>
      <c r="B5" s="2" t="inlineStr">
        <is>
          <t>PANORAMA COMPANY S.R.L.</t>
        </is>
      </c>
      <c r="D5" s="2" t="n"/>
      <c r="E5" s="2" t="n"/>
      <c r="F5" s="2" t="n"/>
      <c r="G5" s="2" t="n"/>
      <c r="H5" s="63" t="n">
        <v>412036.53</v>
      </c>
      <c r="O5" s="2" t="inlineStr">
        <is>
          <t>intercompany</t>
        </is>
      </c>
    </row>
    <row r="6" ht="15.75" customHeight="1" s="69">
      <c r="A6" s="2" t="n">
        <v>796</v>
      </c>
      <c r="B6" s="2" t="inlineStr">
        <is>
          <t>RAIA LIBERATO</t>
        </is>
      </c>
      <c r="D6" s="2" t="n"/>
      <c r="E6" s="2" t="n"/>
      <c r="F6" s="2" t="n"/>
      <c r="G6" s="2" t="n"/>
      <c r="H6" s="63" t="n">
        <v>66.01000000000001</v>
      </c>
      <c r="O6" s="2" t="inlineStr">
        <is>
          <t>una_tantum</t>
        </is>
      </c>
    </row>
    <row r="7" ht="15.75" customHeight="1" s="69">
      <c r="A7" s="2" t="n">
        <v>236</v>
      </c>
      <c r="B7" s="2" t="inlineStr">
        <is>
          <t>RISTORANTE GIARDINIELLO SRL</t>
        </is>
      </c>
      <c r="D7" s="2" t="n"/>
      <c r="E7" s="2" t="n"/>
      <c r="F7" s="2" t="n"/>
      <c r="G7" s="2" t="n"/>
      <c r="H7" s="63" t="n">
        <v>97.5</v>
      </c>
      <c r="O7" s="2" t="inlineStr">
        <is>
          <t>una_tantum</t>
        </is>
      </c>
    </row>
    <row r="8" ht="15.75" customHeight="1" s="69">
      <c r="A8" s="2" t="n">
        <v>85</v>
      </c>
      <c r="B8" s="2" t="inlineStr">
        <is>
          <t>TECNO CAMPANIA SRL</t>
        </is>
      </c>
      <c r="D8" s="2" t="n"/>
      <c r="E8" s="2" t="n"/>
      <c r="F8" s="2" t="n"/>
      <c r="G8" s="2" t="n"/>
      <c r="H8" s="63" t="n">
        <v>63440</v>
      </c>
      <c r="O8" s="2" t="inlineStr">
        <is>
          <t>una_tantum</t>
        </is>
      </c>
    </row>
    <row r="9" ht="15.75" customHeight="1" s="69">
      <c r="B9" s="2" t="n"/>
      <c r="D9" s="2" t="n"/>
      <c r="E9" s="2" t="n"/>
      <c r="F9" s="2" t="n"/>
      <c r="G9" s="2" t="n"/>
      <c r="O9" s="2" t="n"/>
    </row>
    <row r="10" ht="15.75" customHeight="1" s="69">
      <c r="B10" s="2" t="n"/>
      <c r="D10" s="2" t="n"/>
      <c r="E10" s="2" t="n"/>
      <c r="F10" s="2" t="n"/>
      <c r="G10" s="2" t="n"/>
      <c r="O10" s="2" t="n"/>
    </row>
    <row r="11" ht="15.75" customHeight="1" s="69">
      <c r="B11" s="2" t="n"/>
      <c r="D11" s="2" t="n"/>
      <c r="E11" s="2" t="n"/>
      <c r="F11" s="2" t="n"/>
      <c r="G11" s="2" t="n"/>
      <c r="O11" s="2" t="n"/>
    </row>
    <row r="12" ht="15.75" customHeight="1" s="69">
      <c r="B12" s="2" t="n"/>
      <c r="D12" s="2" t="n"/>
      <c r="E12" s="2" t="n"/>
      <c r="F12" s="2" t="n"/>
      <c r="G12" s="2" t="n"/>
      <c r="O12" s="2" t="n"/>
    </row>
    <row r="13" ht="15.75" customHeight="1" s="69">
      <c r="B13" s="2" t="n"/>
      <c r="D13" s="2" t="n"/>
      <c r="E13" s="2" t="n"/>
      <c r="F13" s="2" t="n"/>
      <c r="G13" s="2" t="n"/>
      <c r="O13" s="2" t="n"/>
    </row>
    <row r="14" ht="15.75" customHeight="1" s="69">
      <c r="B14" s="2" t="n"/>
      <c r="D14" s="2" t="n"/>
      <c r="E14" s="2" t="n"/>
      <c r="F14" s="2" t="n"/>
      <c r="G14" s="2" t="n"/>
      <c r="O14" s="2" t="n"/>
    </row>
    <row r="15" ht="15.75" customHeight="1" s="69">
      <c r="B15" s="2" t="n"/>
      <c r="D15" s="2" t="n"/>
      <c r="E15" s="2" t="n"/>
      <c r="F15" s="2" t="n"/>
      <c r="G15" s="2" t="n"/>
      <c r="O15" s="2" t="n"/>
    </row>
    <row r="16" ht="15.75" customHeight="1" s="69">
      <c r="B16" s="2" t="n"/>
      <c r="D16" s="2" t="n"/>
      <c r="E16" s="2" t="n"/>
      <c r="F16" s="2" t="n"/>
      <c r="G16" s="2" t="n"/>
      <c r="O16" s="2" t="n"/>
    </row>
    <row r="17" ht="15.75" customHeight="1" s="69">
      <c r="B17" s="2" t="n"/>
      <c r="D17" s="2" t="n"/>
      <c r="E17" s="2" t="n"/>
      <c r="F17" s="2" t="n"/>
      <c r="G17" s="2" t="n"/>
      <c r="O17" s="2" t="n"/>
    </row>
    <row r="18" ht="15.75" customHeight="1" s="69">
      <c r="B18" s="2" t="n"/>
      <c r="D18" s="2" t="n"/>
      <c r="E18" s="2" t="n"/>
      <c r="F18" s="2" t="n"/>
      <c r="G18" s="2" t="n"/>
      <c r="O18" s="2" t="n"/>
    </row>
    <row r="19" ht="15.75" customHeight="1" s="69">
      <c r="B19" s="2" t="n"/>
      <c r="D19" s="2" t="n"/>
      <c r="E19" s="2" t="n"/>
      <c r="F19" s="2" t="n"/>
      <c r="G19" s="2" t="n"/>
      <c r="O19" s="2" t="n"/>
    </row>
    <row r="20" ht="15.75" customHeight="1" s="69">
      <c r="B20" s="2" t="n"/>
      <c r="D20" s="2" t="n"/>
      <c r="E20" s="2" t="n"/>
      <c r="F20" s="2" t="n"/>
      <c r="G20" s="2" t="n"/>
      <c r="O20" s="2" t="n"/>
    </row>
    <row r="21" ht="15.75" customHeight="1" s="69">
      <c r="B21" s="2" t="n"/>
      <c r="D21" s="2" t="n"/>
      <c r="E21" s="2" t="n"/>
      <c r="F21" s="2" t="n"/>
      <c r="G21" s="2" t="n"/>
      <c r="O21" s="2" t="n"/>
    </row>
    <row r="22" ht="15.75" customHeight="1" s="69">
      <c r="B22" s="2" t="n"/>
      <c r="D22" s="2" t="n"/>
      <c r="E22" s="2" t="n"/>
      <c r="F22" s="2" t="n"/>
      <c r="G22" s="2" t="n"/>
      <c r="O22" s="2" t="n"/>
    </row>
    <row r="23" ht="15.75" customHeight="1" s="69">
      <c r="B23" s="2" t="n"/>
      <c r="D23" s="2" t="n"/>
      <c r="E23" s="2" t="n"/>
      <c r="F23" s="2" t="n"/>
      <c r="G23" s="2" t="n"/>
      <c r="O23" s="2" t="n"/>
    </row>
    <row r="24" ht="15.75" customHeight="1" s="69">
      <c r="B24" s="2" t="n"/>
      <c r="D24" s="2" t="n"/>
      <c r="E24" s="2" t="n"/>
      <c r="F24" s="2" t="n"/>
      <c r="G24" s="2" t="n"/>
      <c r="O24" s="2" t="n"/>
    </row>
    <row r="25" ht="15.75" customHeight="1" s="69">
      <c r="B25" s="2" t="n"/>
      <c r="D25" s="2" t="n"/>
      <c r="E25" s="2" t="n"/>
      <c r="F25" s="2" t="n"/>
      <c r="G25" s="2" t="n"/>
      <c r="O25" s="2" t="n"/>
    </row>
    <row r="26" ht="15.75" customHeight="1" s="69">
      <c r="B26" s="2" t="n"/>
      <c r="D26" s="2" t="n"/>
      <c r="E26" s="2" t="n"/>
      <c r="F26" s="2" t="n"/>
      <c r="G26" s="2" t="n"/>
      <c r="O26" s="2" t="n"/>
    </row>
    <row r="27" ht="15.75" customHeight="1" s="69">
      <c r="B27" s="2" t="n"/>
      <c r="D27" s="2" t="n"/>
      <c r="E27" s="2" t="n"/>
      <c r="F27" s="2" t="n"/>
      <c r="G27" s="2" t="n"/>
      <c r="O27" s="2" t="n"/>
    </row>
    <row r="28" ht="15.75" customHeight="1" s="69">
      <c r="B28" s="2" t="n"/>
      <c r="D28" s="2" t="n"/>
      <c r="E28" s="2" t="n"/>
      <c r="F28" s="2" t="n"/>
      <c r="G28" s="2" t="n"/>
      <c r="O28" s="2" t="n"/>
    </row>
    <row r="29" ht="15.75" customHeight="1" s="69">
      <c r="B29" s="2" t="n"/>
      <c r="D29" s="2" t="n"/>
      <c r="E29" s="2" t="n"/>
      <c r="F29" s="2" t="n"/>
      <c r="G29" s="2" t="n"/>
      <c r="O29" s="2" t="n"/>
    </row>
    <row r="30" ht="15.75" customHeight="1" s="69">
      <c r="B30" s="2" t="n"/>
      <c r="D30" s="2" t="n"/>
      <c r="E30" s="2" t="n"/>
      <c r="F30" s="2" t="n"/>
      <c r="G30" s="2" t="n"/>
      <c r="O30" s="2" t="n"/>
    </row>
    <row r="31" ht="15.75" customHeight="1" s="69">
      <c r="B31" s="2" t="n"/>
      <c r="D31" s="2" t="n"/>
      <c r="E31" s="2" t="n"/>
      <c r="F31" s="2" t="n"/>
      <c r="G31" s="2" t="n"/>
      <c r="O31" s="2" t="n"/>
    </row>
    <row r="32" ht="15.75" customHeight="1" s="69">
      <c r="B32" s="2" t="n"/>
      <c r="D32" s="2" t="n"/>
      <c r="E32" s="2" t="n"/>
      <c r="F32" s="2" t="n"/>
      <c r="G32" s="2" t="n"/>
      <c r="O32" s="2" t="n"/>
    </row>
    <row r="33" ht="15.75" customHeight="1" s="69">
      <c r="B33" s="2" t="n"/>
      <c r="D33" s="2" t="n"/>
      <c r="E33" s="2" t="n"/>
      <c r="F33" s="2" t="n"/>
      <c r="G33" s="2" t="n"/>
      <c r="O33" s="2" t="n"/>
    </row>
    <row r="34" ht="15.75" customHeight="1" s="69">
      <c r="B34" s="2" t="n"/>
      <c r="D34" s="2" t="n"/>
      <c r="E34" s="2" t="n"/>
      <c r="F34" s="2" t="n"/>
      <c r="G34" s="2" t="n"/>
      <c r="O34" s="2" t="n"/>
    </row>
    <row r="35" ht="15.75" customHeight="1" s="69">
      <c r="B35" s="2" t="n"/>
      <c r="D35" s="2" t="n"/>
      <c r="E35" s="2" t="n"/>
      <c r="F35" s="2" t="n"/>
      <c r="G35" s="2" t="n"/>
      <c r="O35" s="2" t="n"/>
    </row>
    <row r="36" ht="15.75" customHeight="1" s="69">
      <c r="B36" s="2" t="n"/>
      <c r="D36" s="2" t="n"/>
      <c r="E36" s="2" t="n"/>
      <c r="F36" s="2" t="n"/>
      <c r="G36" s="2" t="n"/>
      <c r="O36" s="2" t="n"/>
    </row>
    <row r="37" ht="15.75" customHeight="1" s="69">
      <c r="B37" s="2" t="n"/>
      <c r="D37" s="2" t="n"/>
      <c r="E37" s="2" t="n"/>
      <c r="F37" s="2" t="n"/>
      <c r="G37" s="2" t="n"/>
      <c r="O37" s="2" t="n"/>
    </row>
    <row r="38" ht="15.75" customHeight="1" s="69">
      <c r="B38" s="2" t="n"/>
      <c r="D38" s="2" t="n"/>
      <c r="E38" s="2" t="n"/>
      <c r="F38" s="2" t="n"/>
      <c r="G38" s="2" t="n"/>
      <c r="O38" s="2" t="n"/>
    </row>
    <row r="39" ht="15.75" customHeight="1" s="69">
      <c r="B39" s="2" t="n"/>
      <c r="D39" s="2" t="n"/>
      <c r="E39" s="2" t="n"/>
      <c r="F39" s="2" t="n"/>
      <c r="G39" s="2" t="n"/>
      <c r="O39" s="2" t="n"/>
    </row>
    <row r="40" ht="15.75" customHeight="1" s="69">
      <c r="B40" s="2" t="n"/>
      <c r="D40" s="2" t="n"/>
      <c r="E40" s="2" t="n"/>
      <c r="F40" s="2" t="n"/>
      <c r="G40" s="2" t="n"/>
      <c r="O40" s="2" t="n"/>
    </row>
    <row r="41" ht="15.75" customHeight="1" s="69">
      <c r="B41" s="2" t="n"/>
      <c r="D41" s="2" t="n"/>
      <c r="E41" s="2" t="n"/>
      <c r="F41" s="2" t="n"/>
      <c r="G41" s="2" t="n"/>
      <c r="O41" s="2" t="n"/>
    </row>
    <row r="42" ht="15.75" customHeight="1" s="69">
      <c r="B42" s="2" t="n"/>
      <c r="D42" s="2" t="n"/>
      <c r="E42" s="2" t="n"/>
      <c r="F42" s="2" t="n"/>
      <c r="G42" s="2" t="n"/>
      <c r="O42" s="2" t="n"/>
    </row>
    <row r="43" ht="15.75" customHeight="1" s="69">
      <c r="B43" s="2" t="n"/>
      <c r="D43" s="2" t="n"/>
      <c r="E43" s="2" t="n"/>
      <c r="F43" s="2" t="n"/>
      <c r="G43" s="2" t="n"/>
      <c r="O43" s="2" t="n"/>
    </row>
    <row r="44" ht="15.75" customHeight="1" s="69">
      <c r="B44" s="2" t="n"/>
      <c r="D44" s="2" t="n"/>
      <c r="E44" s="2" t="n"/>
      <c r="F44" s="2" t="n"/>
      <c r="G44" s="2" t="n"/>
      <c r="O44" s="2" t="n"/>
    </row>
    <row r="45" ht="15.75" customHeight="1" s="69">
      <c r="B45" s="2" t="n"/>
      <c r="D45" s="2" t="n"/>
      <c r="E45" s="2" t="n"/>
      <c r="F45" s="2" t="n"/>
      <c r="G45" s="2" t="n"/>
      <c r="O45" s="2" t="n"/>
    </row>
    <row r="46" ht="15.75" customHeight="1" s="69">
      <c r="B46" s="2" t="n"/>
      <c r="D46" s="2" t="n"/>
      <c r="E46" s="2" t="n"/>
      <c r="F46" s="2" t="n"/>
      <c r="G46" s="2" t="n"/>
      <c r="O46" s="2" t="n"/>
    </row>
    <row r="47" ht="15.75" customHeight="1" s="69">
      <c r="B47" s="2" t="n"/>
      <c r="D47" s="2" t="n"/>
      <c r="E47" s="2" t="n"/>
      <c r="F47" s="2" t="n"/>
      <c r="G47" s="2" t="n"/>
      <c r="O47" s="2" t="n"/>
    </row>
    <row r="48" ht="15.75" customHeight="1" s="69">
      <c r="B48" s="2" t="n"/>
      <c r="D48" s="2" t="n"/>
      <c r="E48" s="2" t="n"/>
      <c r="F48" s="2" t="n"/>
      <c r="G48" s="2" t="n"/>
      <c r="O48" s="2" t="n"/>
    </row>
    <row r="49" ht="15.75" customHeight="1" s="69">
      <c r="B49" s="2" t="n"/>
      <c r="D49" s="2" t="n"/>
      <c r="E49" s="2" t="n"/>
      <c r="F49" s="2" t="n"/>
      <c r="G49" s="2" t="n"/>
      <c r="O49" s="2" t="n"/>
    </row>
    <row r="50" ht="15.75" customHeight="1" s="69">
      <c r="B50" s="2" t="n"/>
      <c r="D50" s="2" t="n"/>
      <c r="E50" s="2" t="n"/>
      <c r="F50" s="2" t="n"/>
      <c r="G50" s="2" t="n"/>
      <c r="O50" s="2" t="n"/>
    </row>
    <row r="51" ht="15.75" customHeight="1" s="69">
      <c r="B51" s="2" t="n"/>
      <c r="D51" s="2" t="n"/>
      <c r="E51" s="2" t="n"/>
      <c r="F51" s="2" t="n"/>
      <c r="G51" s="2" t="n"/>
      <c r="O51" s="2" t="n"/>
    </row>
    <row r="52" ht="15.75" customHeight="1" s="69">
      <c r="B52" s="2" t="n"/>
      <c r="D52" s="2" t="n"/>
      <c r="E52" s="2" t="n"/>
      <c r="F52" s="2" t="n"/>
      <c r="G52" s="2" t="n"/>
      <c r="O52" s="2" t="n"/>
    </row>
    <row r="53" ht="15.75" customHeight="1" s="69">
      <c r="B53" s="2" t="n"/>
      <c r="D53" s="2" t="n"/>
      <c r="E53" s="2" t="n"/>
      <c r="F53" s="2" t="n"/>
      <c r="G53" s="2" t="n"/>
      <c r="O53" s="2" t="n"/>
    </row>
    <row r="54" ht="15.75" customHeight="1" s="69">
      <c r="B54" s="2" t="n"/>
      <c r="D54" s="2" t="n"/>
      <c r="E54" s="2" t="n"/>
      <c r="F54" s="2" t="n"/>
      <c r="G54" s="2" t="n"/>
      <c r="O54" s="2" t="n"/>
    </row>
    <row r="55" ht="15.75" customHeight="1" s="69">
      <c r="B55" s="2" t="n"/>
      <c r="D55" s="2" t="n"/>
      <c r="E55" s="2" t="n"/>
      <c r="F55" s="2" t="n"/>
      <c r="G55" s="2" t="n"/>
      <c r="O55" s="2" t="n"/>
    </row>
    <row r="56" ht="15.75" customHeight="1" s="69">
      <c r="B56" s="2" t="n"/>
      <c r="D56" s="2" t="n"/>
      <c r="E56" s="2" t="n"/>
      <c r="F56" s="2" t="n"/>
      <c r="G56" s="2" t="n"/>
      <c r="O56" s="2" t="n"/>
    </row>
    <row r="57" ht="15.75" customHeight="1" s="69">
      <c r="B57" s="2" t="n"/>
      <c r="D57" s="2" t="n"/>
      <c r="E57" s="2" t="n"/>
      <c r="F57" s="2" t="n"/>
      <c r="G57" s="2" t="n"/>
      <c r="O57" s="2" t="n"/>
    </row>
    <row r="58" ht="15.75" customHeight="1" s="69">
      <c r="B58" s="2" t="n"/>
      <c r="D58" s="2" t="n"/>
      <c r="E58" s="2" t="n"/>
      <c r="F58" s="2" t="n"/>
      <c r="G58" s="2" t="n"/>
      <c r="O58" s="2" t="n"/>
    </row>
    <row r="59" ht="15.75" customHeight="1" s="69">
      <c r="B59" s="2" t="n"/>
      <c r="D59" s="2" t="n"/>
      <c r="E59" s="2" t="n"/>
      <c r="F59" s="2" t="n"/>
      <c r="G59" s="2" t="n"/>
      <c r="O59" s="2" t="n"/>
    </row>
    <row r="60" ht="15.75" customHeight="1" s="69">
      <c r="B60" s="2" t="n"/>
      <c r="D60" s="2" t="n"/>
      <c r="E60" s="2" t="n"/>
      <c r="F60" s="2" t="n"/>
      <c r="G60" s="2" t="n"/>
      <c r="O60" s="2" t="n"/>
    </row>
    <row r="61" ht="15.75" customHeight="1" s="69">
      <c r="B61" s="2" t="n"/>
      <c r="D61" s="2" t="n"/>
      <c r="E61" s="2" t="n"/>
      <c r="F61" s="2" t="n"/>
      <c r="G61" s="2" t="n"/>
      <c r="O61" s="2" t="n"/>
    </row>
    <row r="62" ht="15.75" customHeight="1" s="69">
      <c r="B62" s="2" t="n"/>
      <c r="D62" s="2" t="n"/>
      <c r="E62" s="2" t="n"/>
      <c r="F62" s="2" t="n"/>
      <c r="G62" s="2" t="n"/>
      <c r="O62" s="2" t="n"/>
    </row>
    <row r="63" ht="15.75" customHeight="1" s="69">
      <c r="B63" s="2" t="n"/>
      <c r="D63" s="2" t="n"/>
      <c r="E63" s="2" t="n"/>
      <c r="F63" s="2" t="n"/>
      <c r="G63" s="2" t="n"/>
      <c r="O63" s="2" t="n"/>
    </row>
    <row r="64" ht="15.75" customHeight="1" s="69">
      <c r="B64" s="2" t="n"/>
      <c r="D64" s="2" t="n"/>
      <c r="E64" s="2" t="n"/>
      <c r="F64" s="2" t="n"/>
      <c r="G64" s="2" t="n"/>
      <c r="O64" s="2" t="n"/>
    </row>
    <row r="65" ht="15.75" customHeight="1" s="69">
      <c r="B65" s="2" t="n"/>
      <c r="D65" s="2" t="n"/>
      <c r="E65" s="2" t="n"/>
      <c r="F65" s="2" t="n"/>
      <c r="G65" s="2" t="n"/>
      <c r="O65" s="2" t="n"/>
    </row>
    <row r="66" ht="15.75" customHeight="1" s="69">
      <c r="B66" s="2" t="n"/>
      <c r="D66" s="2" t="n"/>
      <c r="E66" s="2" t="n"/>
      <c r="F66" s="2" t="n"/>
      <c r="G66" s="2" t="n"/>
      <c r="O66" s="2" t="n"/>
    </row>
    <row r="67" ht="15.75" customHeight="1" s="69">
      <c r="B67" s="2" t="n"/>
      <c r="D67" s="2" t="n"/>
      <c r="E67" s="2" t="n"/>
      <c r="F67" s="2" t="n"/>
      <c r="G67" s="2" t="n"/>
      <c r="O67" s="2" t="n"/>
    </row>
    <row r="68" ht="15.75" customHeight="1" s="69">
      <c r="B68" s="2" t="n"/>
      <c r="D68" s="2" t="n"/>
      <c r="E68" s="2" t="n"/>
      <c r="F68" s="2" t="n"/>
      <c r="G68" s="2" t="n"/>
      <c r="O68" s="2" t="n"/>
    </row>
    <row r="69" ht="15.75" customHeight="1" s="69">
      <c r="B69" s="2" t="n"/>
      <c r="D69" s="2" t="n"/>
      <c r="E69" s="2" t="n"/>
      <c r="F69" s="2" t="n"/>
      <c r="G69" s="2" t="n"/>
      <c r="O69" s="2" t="n"/>
    </row>
    <row r="70" ht="15.75" customHeight="1" s="69">
      <c r="B70" s="2" t="n"/>
      <c r="D70" s="2" t="n"/>
      <c r="E70" s="2" t="n"/>
      <c r="F70" s="2" t="n"/>
      <c r="G70" s="2" t="n"/>
      <c r="O70" s="2" t="n"/>
    </row>
    <row r="71" ht="15.75" customHeight="1" s="69">
      <c r="B71" s="2" t="n"/>
      <c r="D71" s="2" t="n"/>
      <c r="E71" s="2" t="n"/>
      <c r="F71" s="2" t="n"/>
      <c r="G71" s="2" t="n"/>
      <c r="O71" s="2" t="n"/>
    </row>
    <row r="72" ht="15.75" customHeight="1" s="69">
      <c r="B72" s="2" t="n"/>
      <c r="D72" s="2" t="n"/>
      <c r="E72" s="2" t="n"/>
      <c r="F72" s="2" t="n"/>
      <c r="G72" s="2" t="n"/>
      <c r="O72" s="2" t="n"/>
    </row>
    <row r="73" ht="15.75" customHeight="1" s="69">
      <c r="B73" s="2" t="n"/>
      <c r="D73" s="2" t="n"/>
      <c r="E73" s="2" t="n"/>
      <c r="F73" s="2" t="n"/>
      <c r="G73" s="2" t="n"/>
      <c r="O73" s="2" t="n"/>
    </row>
    <row r="74" ht="15.75" customHeight="1" s="69">
      <c r="B74" s="2" t="n"/>
      <c r="D74" s="2" t="n"/>
      <c r="E74" s="2" t="n"/>
      <c r="F74" s="2" t="n"/>
      <c r="G74" s="2" t="n"/>
      <c r="O74" s="2" t="n"/>
    </row>
    <row r="75" ht="15.75" customHeight="1" s="69">
      <c r="B75" s="2" t="n"/>
      <c r="D75" s="2" t="n"/>
      <c r="E75" s="2" t="n"/>
      <c r="F75" s="2" t="n"/>
      <c r="G75" s="2" t="n"/>
      <c r="O75" s="2" t="n"/>
    </row>
    <row r="76" ht="15.75" customHeight="1" s="69">
      <c r="B76" s="2" t="n"/>
      <c r="D76" s="2" t="n"/>
      <c r="E76" s="2" t="n"/>
      <c r="F76" s="2" t="n"/>
      <c r="G76" s="2" t="n"/>
      <c r="O76" s="2" t="n"/>
    </row>
    <row r="77" ht="15.75" customHeight="1" s="69">
      <c r="B77" s="2" t="n"/>
      <c r="D77" s="2" t="n"/>
      <c r="E77" s="2" t="n"/>
      <c r="F77" s="2" t="n"/>
      <c r="G77" s="2" t="n"/>
      <c r="O77" s="2" t="n"/>
    </row>
    <row r="78" ht="15.75" customHeight="1" s="69">
      <c r="B78" s="2" t="n"/>
      <c r="D78" s="2" t="n"/>
      <c r="E78" s="2" t="n"/>
      <c r="F78" s="2" t="n"/>
      <c r="G78" s="2" t="n"/>
      <c r="O78" s="2" t="n"/>
    </row>
    <row r="79" ht="15.75" customHeight="1" s="69">
      <c r="B79" s="2" t="n"/>
      <c r="D79" s="2" t="n"/>
      <c r="E79" s="2" t="n"/>
      <c r="F79" s="2" t="n"/>
      <c r="G79" s="2" t="n"/>
      <c r="O79" s="2" t="n"/>
    </row>
    <row r="80" ht="15.75" customHeight="1" s="69">
      <c r="B80" s="2" t="n"/>
      <c r="D80" s="2" t="n"/>
      <c r="E80" s="2" t="n"/>
      <c r="F80" s="2" t="n"/>
      <c r="G80" s="2" t="n"/>
      <c r="O80" s="2" t="n"/>
    </row>
    <row r="81" ht="15.75" customHeight="1" s="69">
      <c r="B81" s="2" t="n"/>
      <c r="D81" s="2" t="n"/>
      <c r="E81" s="2" t="n"/>
      <c r="F81" s="2" t="n"/>
      <c r="G81" s="2" t="n"/>
      <c r="O81" s="2" t="n"/>
    </row>
    <row r="82" ht="15.75" customHeight="1" s="69">
      <c r="B82" s="2" t="n"/>
      <c r="D82" s="2" t="n"/>
      <c r="E82" s="2" t="n"/>
      <c r="F82" s="2" t="n"/>
      <c r="G82" s="2" t="n"/>
      <c r="O82" s="2" t="n"/>
    </row>
    <row r="83" ht="15.75" customHeight="1" s="69">
      <c r="B83" s="2" t="n"/>
      <c r="D83" s="2" t="n"/>
      <c r="E83" s="2" t="n"/>
      <c r="F83" s="2" t="n"/>
      <c r="G83" s="2" t="n"/>
      <c r="O83" s="2" t="n"/>
    </row>
    <row r="84" ht="15.75" customHeight="1" s="69">
      <c r="B84" s="2" t="n"/>
      <c r="D84" s="2" t="n"/>
      <c r="E84" s="2" t="n"/>
      <c r="F84" s="2" t="n"/>
      <c r="G84" s="2" t="n"/>
      <c r="O84" s="2" t="n"/>
    </row>
    <row r="85" ht="15.75" customHeight="1" s="69">
      <c r="B85" s="2" t="n"/>
      <c r="D85" s="2" t="n"/>
      <c r="E85" s="2" t="n"/>
      <c r="F85" s="2" t="n"/>
      <c r="G85" s="2" t="n"/>
      <c r="O85" s="2" t="n"/>
    </row>
    <row r="86" ht="15.75" customHeight="1" s="69">
      <c r="B86" s="2" t="n"/>
      <c r="D86" s="2" t="n"/>
      <c r="E86" s="2" t="n"/>
      <c r="F86" s="2" t="n"/>
      <c r="G86" s="2" t="n"/>
      <c r="O86" s="2" t="n"/>
    </row>
    <row r="87" ht="15.75" customHeight="1" s="69">
      <c r="B87" s="2" t="n"/>
      <c r="D87" s="2" t="n"/>
      <c r="E87" s="2" t="n"/>
      <c r="F87" s="2" t="n"/>
      <c r="G87" s="2" t="n"/>
      <c r="O87" s="2" t="n"/>
    </row>
    <row r="88" ht="15.75" customHeight="1" s="69">
      <c r="B88" s="2" t="n"/>
      <c r="D88" s="2" t="n"/>
      <c r="E88" s="2" t="n"/>
      <c r="F88" s="2" t="n"/>
      <c r="G88" s="2" t="n"/>
      <c r="O88" s="2" t="n"/>
    </row>
    <row r="89" ht="15.75" customHeight="1" s="69">
      <c r="B89" s="2" t="n"/>
      <c r="D89" s="2" t="n"/>
      <c r="E89" s="2" t="n"/>
      <c r="F89" s="2" t="n"/>
      <c r="G89" s="2" t="n"/>
      <c r="O89" s="2" t="n"/>
    </row>
    <row r="90" ht="15.75" customHeight="1" s="69">
      <c r="B90" s="2" t="n"/>
      <c r="D90" s="2" t="n"/>
      <c r="E90" s="2" t="n"/>
      <c r="F90" s="2" t="n"/>
      <c r="G90" s="2" t="n"/>
      <c r="O90" s="2" t="n"/>
    </row>
    <row r="91" ht="15.75" customHeight="1" s="69">
      <c r="B91" s="2" t="n"/>
      <c r="D91" s="2" t="n"/>
      <c r="E91" s="2" t="n"/>
      <c r="F91" s="2" t="n"/>
      <c r="G91" s="2" t="n"/>
      <c r="O91" s="2" t="n"/>
    </row>
    <row r="92" ht="15.75" customHeight="1" s="69">
      <c r="B92" s="2" t="n"/>
      <c r="D92" s="2" t="n"/>
      <c r="E92" s="2" t="n"/>
      <c r="F92" s="2" t="n"/>
      <c r="G92" s="2" t="n"/>
      <c r="O92" s="2" t="n"/>
    </row>
    <row r="93" ht="15.75" customHeight="1" s="69">
      <c r="B93" s="2" t="n"/>
      <c r="D93" s="2" t="n"/>
      <c r="E93" s="2" t="n"/>
      <c r="F93" s="2" t="n"/>
      <c r="G93" s="2" t="n"/>
      <c r="O93" s="2" t="n"/>
    </row>
    <row r="94" ht="15.75" customHeight="1" s="69">
      <c r="B94" s="2" t="n"/>
      <c r="D94" s="2" t="n"/>
      <c r="E94" s="2" t="n"/>
      <c r="F94" s="2" t="n"/>
      <c r="G94" s="2" t="n"/>
      <c r="O94" s="2" t="n"/>
    </row>
    <row r="95" ht="15.75" customHeight="1" s="69">
      <c r="B95" s="2" t="n"/>
      <c r="D95" s="2" t="n"/>
      <c r="E95" s="2" t="n"/>
      <c r="F95" s="2" t="n"/>
      <c r="G95" s="2" t="n"/>
      <c r="O95" s="2" t="n"/>
    </row>
    <row r="96" ht="15.75" customHeight="1" s="69">
      <c r="B96" s="2" t="n"/>
      <c r="D96" s="2" t="n"/>
      <c r="E96" s="2" t="n"/>
      <c r="F96" s="2" t="n"/>
      <c r="G96" s="2" t="n"/>
      <c r="O96" s="2" t="n"/>
    </row>
    <row r="97" ht="15.75" customHeight="1" s="69">
      <c r="B97" s="2" t="n"/>
      <c r="D97" s="2" t="n"/>
      <c r="E97" s="2" t="n"/>
      <c r="F97" s="2" t="n"/>
      <c r="G97" s="2" t="n"/>
      <c r="O97" s="2" t="n"/>
    </row>
    <row r="98" ht="15.75" customHeight="1" s="69">
      <c r="B98" s="2" t="n"/>
      <c r="D98" s="2" t="n"/>
      <c r="E98" s="2" t="n"/>
      <c r="F98" s="2" t="n"/>
      <c r="G98" s="2" t="n"/>
      <c r="O98" s="2" t="n"/>
    </row>
    <row r="99" ht="15.75" customHeight="1" s="69">
      <c r="B99" s="2" t="n"/>
      <c r="D99" s="2" t="n"/>
      <c r="E99" s="2" t="n"/>
      <c r="F99" s="2" t="n"/>
      <c r="G99" s="2" t="n"/>
      <c r="O99" s="2" t="n"/>
    </row>
    <row r="100" ht="15.75" customHeight="1" s="69">
      <c r="B100" s="2" t="n"/>
      <c r="D100" s="2" t="n"/>
      <c r="E100" s="2" t="n"/>
      <c r="F100" s="2" t="n"/>
      <c r="G100" s="2" t="n"/>
      <c r="O100" s="2" t="n"/>
    </row>
    <row r="101" ht="15.75" customHeight="1" s="69">
      <c r="B101" s="2" t="n"/>
      <c r="D101" s="2" t="n"/>
      <c r="E101" s="2" t="n"/>
      <c r="F101" s="2" t="n"/>
      <c r="G101" s="2" t="n"/>
      <c r="O101" s="2" t="n"/>
    </row>
    <row r="102" ht="15.75" customHeight="1" s="69">
      <c r="B102" s="2" t="n"/>
      <c r="D102" s="2" t="n"/>
      <c r="E102" s="2" t="n"/>
      <c r="F102" s="2" t="n"/>
      <c r="G102" s="2" t="n"/>
      <c r="O102" s="2" t="n"/>
    </row>
    <row r="103" ht="15.75" customHeight="1" s="69">
      <c r="B103" s="2" t="n"/>
      <c r="D103" s="2" t="n"/>
      <c r="E103" s="2" t="n"/>
      <c r="F103" s="2" t="n"/>
      <c r="G103" s="2" t="n"/>
      <c r="O103" s="2" t="n"/>
    </row>
    <row r="104" ht="15.75" customHeight="1" s="69">
      <c r="B104" s="2" t="n"/>
      <c r="D104" s="2" t="n"/>
      <c r="E104" s="2" t="n"/>
      <c r="F104" s="2" t="n"/>
      <c r="G104" s="2" t="n"/>
      <c r="O104" s="2" t="n"/>
    </row>
    <row r="105" ht="15.75" customHeight="1" s="69">
      <c r="B105" s="2" t="n"/>
      <c r="D105" s="2" t="n"/>
      <c r="E105" s="2" t="n"/>
      <c r="F105" s="2" t="n"/>
      <c r="G105" s="2" t="n"/>
      <c r="O105" s="2" t="n"/>
    </row>
    <row r="106" ht="15.75" customHeight="1" s="69">
      <c r="B106" s="2" t="n"/>
      <c r="D106" s="2" t="n"/>
      <c r="E106" s="2" t="n"/>
      <c r="F106" s="2" t="n"/>
      <c r="G106" s="2" t="n"/>
      <c r="O106" s="2" t="n"/>
    </row>
    <row r="107" ht="15.75" customHeight="1" s="69">
      <c r="B107" s="2" t="n"/>
      <c r="D107" s="2" t="n"/>
      <c r="E107" s="2" t="n"/>
      <c r="F107" s="2" t="n"/>
      <c r="G107" s="2" t="n"/>
      <c r="O107" s="2" t="n"/>
    </row>
    <row r="108" ht="15.75" customHeight="1" s="69">
      <c r="B108" s="2" t="n"/>
      <c r="D108" s="2" t="n"/>
      <c r="E108" s="2" t="n"/>
      <c r="F108" s="2" t="n"/>
      <c r="G108" s="2" t="n"/>
      <c r="O108" s="2" t="n"/>
    </row>
    <row r="109" ht="15.75" customHeight="1" s="69">
      <c r="B109" s="2" t="n"/>
      <c r="D109" s="2" t="n"/>
      <c r="E109" s="2" t="n"/>
      <c r="F109" s="2" t="n"/>
      <c r="G109" s="2" t="n"/>
      <c r="O109" s="2" t="n"/>
    </row>
    <row r="110" ht="15.75" customHeight="1" s="69">
      <c r="B110" s="2" t="n"/>
      <c r="D110" s="2" t="n"/>
      <c r="E110" s="2" t="n"/>
      <c r="F110" s="2" t="n"/>
      <c r="G110" s="2" t="n"/>
      <c r="O110" s="2" t="n"/>
    </row>
    <row r="111" ht="15.75" customHeight="1" s="69">
      <c r="B111" s="2" t="n"/>
      <c r="D111" s="2" t="n"/>
      <c r="E111" s="2" t="n"/>
      <c r="F111" s="2" t="n"/>
      <c r="G111" s="2" t="n"/>
      <c r="O111" s="2" t="n"/>
    </row>
    <row r="112" ht="15.75" customHeight="1" s="69">
      <c r="B112" s="2" t="n"/>
      <c r="D112" s="2" t="n"/>
      <c r="E112" s="2" t="n"/>
      <c r="F112" s="2" t="n"/>
      <c r="G112" s="2" t="n"/>
      <c r="O112" s="2" t="n"/>
    </row>
    <row r="113" ht="15.75" customHeight="1" s="69">
      <c r="B113" s="2" t="n"/>
      <c r="D113" s="2" t="n"/>
      <c r="E113" s="2" t="n"/>
      <c r="F113" s="2" t="n"/>
      <c r="G113" s="2" t="n"/>
      <c r="O113" s="2" t="n"/>
    </row>
    <row r="114" ht="15.75" customHeight="1" s="69">
      <c r="B114" s="2" t="n"/>
      <c r="D114" s="2" t="n"/>
      <c r="E114" s="2" t="n"/>
      <c r="F114" s="2" t="n"/>
      <c r="G114" s="2" t="n"/>
      <c r="O114" s="2" t="n"/>
    </row>
    <row r="115" ht="15.75" customHeight="1" s="69">
      <c r="B115" s="2" t="n"/>
      <c r="D115" s="2" t="n"/>
      <c r="E115" s="2" t="n"/>
      <c r="F115" s="2" t="n"/>
      <c r="G115" s="2" t="n"/>
      <c r="O115" s="2" t="n"/>
    </row>
    <row r="116" ht="15.75" customHeight="1" s="69">
      <c r="B116" s="2" t="n"/>
      <c r="D116" s="2" t="n"/>
      <c r="E116" s="2" t="n"/>
      <c r="F116" s="2" t="n"/>
      <c r="G116" s="2" t="n"/>
      <c r="O116" s="2" t="n"/>
    </row>
    <row r="117" ht="15.75" customHeight="1" s="69">
      <c r="B117" s="2" t="n"/>
      <c r="D117" s="2" t="n"/>
      <c r="E117" s="2" t="n"/>
      <c r="F117" s="2" t="n"/>
      <c r="G117" s="2" t="n"/>
      <c r="O117" s="2" t="n"/>
    </row>
    <row r="118" ht="15.75" customHeight="1" s="69">
      <c r="B118" s="2" t="n"/>
      <c r="D118" s="2" t="n"/>
      <c r="E118" s="2" t="n"/>
      <c r="F118" s="2" t="n"/>
      <c r="G118" s="2" t="n"/>
      <c r="O118" s="2" t="n"/>
    </row>
    <row r="119" ht="15.75" customHeight="1" s="69">
      <c r="B119" s="2" t="n"/>
      <c r="D119" s="2" t="n"/>
      <c r="E119" s="2" t="n"/>
      <c r="F119" s="2" t="n"/>
      <c r="G119" s="2" t="n"/>
      <c r="O119" s="2" t="n"/>
    </row>
    <row r="120" ht="15.75" customHeight="1" s="69">
      <c r="B120" s="2" t="n"/>
      <c r="D120" s="2" t="n"/>
      <c r="E120" s="2" t="n"/>
      <c r="F120" s="2" t="n"/>
      <c r="G120" s="2" t="n"/>
      <c r="O120" s="2" t="n"/>
    </row>
    <row r="121" ht="15.75" customHeight="1" s="69">
      <c r="B121" s="2" t="n"/>
      <c r="D121" s="2" t="n"/>
      <c r="E121" s="2" t="n"/>
      <c r="F121" s="2" t="n"/>
      <c r="G121" s="2" t="n"/>
      <c r="O121" s="2" t="n"/>
    </row>
    <row r="122" ht="15.75" customHeight="1" s="69">
      <c r="B122" s="2" t="n"/>
      <c r="D122" s="2" t="n"/>
      <c r="E122" s="2" t="n"/>
      <c r="F122" s="2" t="n"/>
      <c r="G122" s="2" t="n"/>
      <c r="O122" s="2" t="n"/>
    </row>
    <row r="123" ht="15.75" customHeight="1" s="69">
      <c r="B123" s="2" t="n"/>
      <c r="D123" s="2" t="n"/>
      <c r="E123" s="2" t="n"/>
      <c r="F123" s="2" t="n"/>
      <c r="G123" s="2" t="n"/>
      <c r="O123" s="2" t="n"/>
    </row>
    <row r="124" ht="15.75" customHeight="1" s="69">
      <c r="B124" s="2" t="n"/>
      <c r="D124" s="2" t="n"/>
      <c r="E124" s="2" t="n"/>
      <c r="F124" s="2" t="n"/>
      <c r="G124" s="2" t="n"/>
      <c r="O124" s="2" t="n"/>
    </row>
    <row r="125" ht="15.75" customHeight="1" s="69">
      <c r="B125" s="2" t="n"/>
      <c r="D125" s="2" t="n"/>
      <c r="E125" s="2" t="n"/>
      <c r="F125" s="2" t="n"/>
      <c r="G125" s="2" t="n"/>
      <c r="O125" s="2" t="n"/>
    </row>
    <row r="126" ht="15.75" customHeight="1" s="69">
      <c r="B126" s="2" t="n"/>
      <c r="D126" s="2" t="n"/>
      <c r="E126" s="2" t="n"/>
      <c r="F126" s="2" t="n"/>
      <c r="G126" s="2" t="n"/>
      <c r="O126" s="2" t="n"/>
    </row>
    <row r="127" ht="15.75" customHeight="1" s="69">
      <c r="B127" s="2" t="n"/>
      <c r="D127" s="2" t="n"/>
      <c r="E127" s="2" t="n"/>
      <c r="F127" s="2" t="n"/>
      <c r="G127" s="2" t="n"/>
      <c r="O127" s="2" t="n"/>
    </row>
    <row r="128" ht="15.75" customHeight="1" s="69">
      <c r="B128" s="2" t="n"/>
      <c r="D128" s="2" t="n"/>
      <c r="E128" s="2" t="n"/>
      <c r="F128" s="2" t="n"/>
      <c r="G128" s="2" t="n"/>
      <c r="O128" s="2" t="n"/>
    </row>
    <row r="129" ht="15.75" customHeight="1" s="69">
      <c r="B129" s="2" t="n"/>
      <c r="D129" s="2" t="n"/>
      <c r="E129" s="2" t="n"/>
      <c r="F129" s="2" t="n"/>
      <c r="G129" s="2" t="n"/>
      <c r="O129" s="2" t="n"/>
    </row>
    <row r="130" ht="15.75" customHeight="1" s="69">
      <c r="B130" s="2" t="n"/>
      <c r="D130" s="2" t="n"/>
      <c r="E130" s="2" t="n"/>
      <c r="F130" s="2" t="n"/>
      <c r="G130" s="2" t="n"/>
      <c r="O130" s="2" t="n"/>
    </row>
    <row r="131" ht="15.75" customHeight="1" s="69">
      <c r="B131" s="2" t="n"/>
      <c r="D131" s="2" t="n"/>
      <c r="E131" s="2" t="n"/>
      <c r="F131" s="2" t="n"/>
      <c r="G131" s="2" t="n"/>
      <c r="O131" s="2" t="n"/>
    </row>
    <row r="132" ht="15.75" customHeight="1" s="69">
      <c r="B132" s="2" t="n"/>
      <c r="D132" s="2" t="n"/>
      <c r="E132" s="2" t="n"/>
      <c r="F132" s="2" t="n"/>
      <c r="G132" s="2" t="n"/>
      <c r="O132" s="2" t="n"/>
    </row>
    <row r="133" ht="15.75" customHeight="1" s="69">
      <c r="B133" s="2" t="n"/>
      <c r="D133" s="2" t="n"/>
      <c r="E133" s="2" t="n"/>
      <c r="F133" s="2" t="n"/>
      <c r="G133" s="2" t="n"/>
      <c r="O133" s="2" t="n"/>
    </row>
    <row r="134" ht="15.75" customHeight="1" s="69">
      <c r="B134" s="2" t="n"/>
      <c r="D134" s="2" t="n"/>
      <c r="E134" s="2" t="n"/>
      <c r="F134" s="2" t="n"/>
      <c r="G134" s="2" t="n"/>
      <c r="O134" s="2" t="n"/>
    </row>
    <row r="135" ht="15.75" customHeight="1" s="69">
      <c r="B135" s="2" t="n"/>
      <c r="D135" s="2" t="n"/>
      <c r="E135" s="2" t="n"/>
      <c r="F135" s="2" t="n"/>
      <c r="G135" s="2" t="n"/>
      <c r="O135" s="2" t="n"/>
    </row>
    <row r="136" ht="15.75" customHeight="1" s="69">
      <c r="B136" s="2" t="n"/>
      <c r="D136" s="2" t="n"/>
      <c r="E136" s="2" t="n"/>
      <c r="F136" s="2" t="n"/>
      <c r="G136" s="2" t="n"/>
      <c r="O136" s="2" t="n"/>
    </row>
    <row r="137" ht="15.75" customHeight="1" s="69">
      <c r="B137" s="2" t="n"/>
      <c r="D137" s="2" t="n"/>
      <c r="E137" s="2" t="n"/>
      <c r="F137" s="2" t="n"/>
      <c r="G137" s="2" t="n"/>
      <c r="O137" s="2" t="n"/>
    </row>
    <row r="138" ht="15.75" customHeight="1" s="69">
      <c r="B138" s="2" t="n"/>
      <c r="D138" s="2" t="n"/>
      <c r="E138" s="2" t="n"/>
      <c r="F138" s="2" t="n"/>
      <c r="G138" s="2" t="n"/>
      <c r="O138" s="2" t="n"/>
    </row>
    <row r="139" ht="15.75" customHeight="1" s="69">
      <c r="B139" s="2" t="n"/>
      <c r="D139" s="2" t="n"/>
      <c r="E139" s="2" t="n"/>
      <c r="F139" s="2" t="n"/>
      <c r="G139" s="2" t="n"/>
      <c r="O139" s="2" t="n"/>
    </row>
    <row r="140" ht="15.75" customHeight="1" s="69">
      <c r="B140" s="2" t="n"/>
      <c r="D140" s="2" t="n"/>
      <c r="E140" s="2" t="n"/>
      <c r="F140" s="2" t="n"/>
      <c r="G140" s="2" t="n"/>
      <c r="O140" s="2" t="n"/>
    </row>
    <row r="141" ht="15.75" customHeight="1" s="69">
      <c r="B141" s="2" t="n"/>
      <c r="D141" s="2" t="n"/>
      <c r="E141" s="2" t="n"/>
      <c r="F141" s="2" t="n"/>
      <c r="G141" s="2" t="n"/>
      <c r="O141" s="2" t="n"/>
    </row>
    <row r="142" ht="15.75" customHeight="1" s="69">
      <c r="B142" s="2" t="n"/>
      <c r="D142" s="2" t="n"/>
      <c r="E142" s="2" t="n"/>
      <c r="F142" s="2" t="n"/>
      <c r="G142" s="2" t="n"/>
      <c r="O142" s="2" t="n"/>
    </row>
    <row r="143" ht="15.75" customHeight="1" s="69">
      <c r="B143" s="2" t="n"/>
      <c r="D143" s="2" t="n"/>
      <c r="E143" s="2" t="n"/>
      <c r="F143" s="2" t="n"/>
      <c r="G143" s="2" t="n"/>
      <c r="O143" s="2" t="n"/>
    </row>
    <row r="144" ht="15.75" customHeight="1" s="69">
      <c r="B144" s="2" t="n"/>
      <c r="D144" s="2" t="n"/>
      <c r="E144" s="2" t="n"/>
      <c r="F144" s="2" t="n"/>
      <c r="G144" s="2" t="n"/>
      <c r="O144" s="2" t="n"/>
    </row>
    <row r="145" ht="15.75" customHeight="1" s="69">
      <c r="B145" s="2" t="n"/>
      <c r="D145" s="2" t="n"/>
      <c r="E145" s="2" t="n"/>
      <c r="F145" s="2" t="n"/>
      <c r="G145" s="2" t="n"/>
      <c r="O145" s="2" t="n"/>
    </row>
    <row r="146" ht="15.75" customHeight="1" s="69">
      <c r="B146" s="2" t="n"/>
      <c r="D146" s="2" t="n"/>
      <c r="E146" s="2" t="n"/>
      <c r="F146" s="2" t="n"/>
      <c r="G146" s="2" t="n"/>
      <c r="O146" s="2" t="n"/>
    </row>
    <row r="147" ht="15.75" customHeight="1" s="69">
      <c r="B147" s="2" t="n"/>
      <c r="D147" s="2" t="n"/>
      <c r="E147" s="2" t="n"/>
      <c r="F147" s="2" t="n"/>
      <c r="G147" s="2" t="n"/>
      <c r="O147" s="2" t="n"/>
    </row>
    <row r="148" ht="15.75" customHeight="1" s="69">
      <c r="B148" s="2" t="n"/>
      <c r="D148" s="2" t="n"/>
      <c r="E148" s="2" t="n"/>
      <c r="F148" s="2" t="n"/>
      <c r="G148" s="2" t="n"/>
      <c r="O148" s="2" t="n"/>
    </row>
    <row r="149" ht="15.75" customHeight="1" s="69">
      <c r="B149" s="2" t="n"/>
      <c r="D149" s="2" t="n"/>
      <c r="E149" s="2" t="n"/>
      <c r="F149" s="2" t="n"/>
      <c r="G149" s="2" t="n"/>
      <c r="O149" s="2" t="n"/>
    </row>
    <row r="150" ht="15.75" customHeight="1" s="69">
      <c r="B150" s="2" t="n"/>
      <c r="D150" s="2" t="n"/>
      <c r="E150" s="2" t="n"/>
      <c r="F150" s="2" t="n"/>
      <c r="G150" s="2" t="n"/>
      <c r="O150" s="2" t="n"/>
    </row>
    <row r="151" ht="15.75" customHeight="1" s="69">
      <c r="B151" s="2" t="n"/>
      <c r="D151" s="2" t="n"/>
      <c r="E151" s="2" t="n"/>
      <c r="F151" s="2" t="n"/>
      <c r="G151" s="2" t="n"/>
      <c r="O151" s="2" t="n"/>
    </row>
    <row r="152" ht="15.75" customHeight="1" s="69">
      <c r="B152" s="2" t="n"/>
      <c r="D152" s="2" t="n"/>
      <c r="E152" s="2" t="n"/>
      <c r="F152" s="2" t="n"/>
      <c r="G152" s="2" t="n"/>
      <c r="O152" s="2" t="n"/>
    </row>
    <row r="153" ht="15.75" customHeight="1" s="69">
      <c r="B153" s="2" t="n"/>
      <c r="D153" s="2" t="n"/>
      <c r="E153" s="2" t="n"/>
      <c r="F153" s="2" t="n"/>
      <c r="G153" s="2" t="n"/>
      <c r="O153" s="2" t="n"/>
    </row>
    <row r="154" ht="15.75" customHeight="1" s="69">
      <c r="B154" s="2" t="n"/>
      <c r="D154" s="2" t="n"/>
      <c r="E154" s="2" t="n"/>
      <c r="F154" s="2" t="n"/>
      <c r="G154" s="2" t="n"/>
      <c r="O154" s="2" t="n"/>
    </row>
    <row r="155" ht="15.75" customHeight="1" s="69">
      <c r="B155" s="2" t="n"/>
      <c r="D155" s="2" t="n"/>
      <c r="E155" s="2" t="n"/>
      <c r="F155" s="2" t="n"/>
      <c r="G155" s="2" t="n"/>
      <c r="O155" s="2" t="n"/>
    </row>
    <row r="156" ht="15.75" customHeight="1" s="69">
      <c r="B156" s="2" t="n"/>
      <c r="D156" s="2" t="n"/>
      <c r="E156" s="2" t="n"/>
      <c r="F156" s="2" t="n"/>
      <c r="G156" s="2" t="n"/>
      <c r="O156" s="2" t="n"/>
    </row>
    <row r="157" ht="15.75" customHeight="1" s="69">
      <c r="B157" s="2" t="n"/>
      <c r="D157" s="2" t="n"/>
      <c r="E157" s="2" t="n"/>
      <c r="F157" s="2" t="n"/>
      <c r="G157" s="2" t="n"/>
      <c r="O157" s="2" t="n"/>
    </row>
    <row r="158" ht="15.75" customHeight="1" s="69">
      <c r="B158" s="2" t="n"/>
      <c r="D158" s="2" t="n"/>
      <c r="E158" s="2" t="n"/>
      <c r="F158" s="2" t="n"/>
      <c r="G158" s="2" t="n"/>
      <c r="O158" s="2" t="n"/>
    </row>
    <row r="159" ht="15.75" customHeight="1" s="69">
      <c r="B159" s="2" t="n"/>
      <c r="D159" s="2" t="n"/>
      <c r="E159" s="2" t="n"/>
      <c r="F159" s="2" t="n"/>
      <c r="G159" s="2" t="n"/>
      <c r="O159" s="2" t="n"/>
    </row>
    <row r="160" ht="15.75" customHeight="1" s="69">
      <c r="B160" s="2" t="n"/>
      <c r="D160" s="2" t="n"/>
      <c r="E160" s="2" t="n"/>
      <c r="F160" s="2" t="n"/>
      <c r="G160" s="2" t="n"/>
      <c r="O160" s="2" t="n"/>
    </row>
    <row r="161" ht="15.75" customHeight="1" s="69">
      <c r="B161" s="2" t="n"/>
      <c r="D161" s="2" t="n"/>
      <c r="E161" s="2" t="n"/>
      <c r="F161" s="2" t="n"/>
      <c r="G161" s="2" t="n"/>
      <c r="O161" s="2" t="n"/>
    </row>
    <row r="162" ht="15.75" customHeight="1" s="69">
      <c r="B162" s="2" t="n"/>
      <c r="D162" s="2" t="n"/>
      <c r="E162" s="2" t="n"/>
      <c r="F162" s="2" t="n"/>
      <c r="G162" s="2" t="n"/>
      <c r="O162" s="2" t="n"/>
    </row>
    <row r="163" ht="15.75" customHeight="1" s="69">
      <c r="B163" s="2" t="n"/>
      <c r="D163" s="2" t="n"/>
      <c r="E163" s="2" t="n"/>
      <c r="F163" s="2" t="n"/>
      <c r="G163" s="2" t="n"/>
      <c r="O163" s="2" t="n"/>
    </row>
    <row r="164" ht="15.75" customHeight="1" s="69">
      <c r="B164" s="2" t="n"/>
      <c r="D164" s="2" t="n"/>
      <c r="E164" s="2" t="n"/>
      <c r="F164" s="2" t="n"/>
      <c r="G164" s="2" t="n"/>
      <c r="O164" s="2" t="n"/>
    </row>
    <row r="165" ht="15.75" customHeight="1" s="69">
      <c r="B165" s="2" t="n"/>
      <c r="D165" s="2" t="n"/>
      <c r="E165" s="2" t="n"/>
      <c r="F165" s="2" t="n"/>
      <c r="G165" s="2" t="n"/>
      <c r="O165" s="2" t="n"/>
    </row>
    <row r="166" ht="15.75" customHeight="1" s="69">
      <c r="B166" s="2" t="n"/>
      <c r="D166" s="2" t="n"/>
      <c r="E166" s="2" t="n"/>
      <c r="F166" s="2" t="n"/>
      <c r="G166" s="2" t="n"/>
      <c r="O166" s="2" t="n"/>
    </row>
    <row r="167" ht="15.75" customHeight="1" s="69">
      <c r="B167" s="2" t="n"/>
      <c r="D167" s="2" t="n"/>
      <c r="E167" s="2" t="n"/>
      <c r="F167" s="2" t="n"/>
      <c r="G167" s="2" t="n"/>
      <c r="O167" s="2" t="n"/>
    </row>
    <row r="168" ht="15.75" customHeight="1" s="69">
      <c r="B168" s="2" t="n"/>
      <c r="D168" s="2" t="n"/>
      <c r="E168" s="2" t="n"/>
      <c r="F168" s="2" t="n"/>
      <c r="G168" s="2" t="n"/>
      <c r="O168" s="2" t="n"/>
    </row>
    <row r="169" ht="15.75" customHeight="1" s="69">
      <c r="B169" s="2" t="n"/>
      <c r="D169" s="2" t="n"/>
      <c r="E169" s="2" t="n"/>
      <c r="F169" s="2" t="n"/>
      <c r="G169" s="2" t="n"/>
      <c r="O169" s="2" t="n"/>
    </row>
    <row r="170" ht="15.75" customHeight="1" s="69">
      <c r="B170" s="2" t="n"/>
      <c r="D170" s="2" t="n"/>
      <c r="E170" s="2" t="n"/>
      <c r="F170" s="2" t="n"/>
      <c r="G170" s="2" t="n"/>
      <c r="O170" s="2" t="n"/>
    </row>
    <row r="171" ht="15.75" customHeight="1" s="69">
      <c r="B171" s="2" t="n"/>
      <c r="D171" s="2" t="n"/>
      <c r="E171" s="2" t="n"/>
      <c r="F171" s="2" t="n"/>
      <c r="G171" s="2" t="n"/>
      <c r="O171" s="2" t="n"/>
    </row>
    <row r="172" ht="15.75" customHeight="1" s="69">
      <c r="B172" s="2" t="n"/>
      <c r="D172" s="2" t="n"/>
      <c r="E172" s="2" t="n"/>
      <c r="F172" s="2" t="n"/>
      <c r="G172" s="2" t="n"/>
      <c r="O172" s="2" t="n"/>
    </row>
    <row r="173" ht="15.75" customHeight="1" s="69">
      <c r="B173" s="2" t="n"/>
      <c r="D173" s="2" t="n"/>
      <c r="E173" s="2" t="n"/>
      <c r="F173" s="2" t="n"/>
      <c r="G173" s="2" t="n"/>
      <c r="O173" s="2" t="n"/>
    </row>
    <row r="174" ht="15.75" customHeight="1" s="69">
      <c r="B174" s="2" t="n"/>
      <c r="D174" s="2" t="n"/>
      <c r="E174" s="2" t="n"/>
      <c r="F174" s="2" t="n"/>
      <c r="G174" s="2" t="n"/>
      <c r="O174" s="2" t="n"/>
    </row>
    <row r="175" ht="15.75" customHeight="1" s="69">
      <c r="B175" s="2" t="n"/>
      <c r="D175" s="2" t="n"/>
      <c r="E175" s="2" t="n"/>
      <c r="F175" s="2" t="n"/>
      <c r="G175" s="2" t="n"/>
      <c r="O175" s="2" t="n"/>
    </row>
    <row r="176" ht="15.75" customHeight="1" s="69">
      <c r="B176" s="2" t="n"/>
      <c r="D176" s="2" t="n"/>
      <c r="E176" s="2" t="n"/>
      <c r="F176" s="2" t="n"/>
      <c r="G176" s="2" t="n"/>
      <c r="O176" s="2" t="n"/>
    </row>
    <row r="177" ht="15.75" customHeight="1" s="69">
      <c r="B177" s="2" t="n"/>
      <c r="D177" s="2" t="n"/>
      <c r="E177" s="2" t="n"/>
      <c r="F177" s="2" t="n"/>
      <c r="G177" s="2" t="n"/>
      <c r="O177" s="2" t="n"/>
    </row>
    <row r="178" ht="15.75" customHeight="1" s="69">
      <c r="B178" s="2" t="n"/>
      <c r="D178" s="2" t="n"/>
      <c r="E178" s="2" t="n"/>
      <c r="F178" s="2" t="n"/>
      <c r="G178" s="2" t="n"/>
      <c r="O178" s="2" t="n"/>
    </row>
    <row r="179" ht="15.75" customHeight="1" s="69">
      <c r="B179" s="2" t="n"/>
      <c r="D179" s="2" t="n"/>
      <c r="E179" s="2" t="n"/>
      <c r="F179" s="2" t="n"/>
      <c r="G179" s="2" t="n"/>
      <c r="O179" s="2" t="n"/>
    </row>
    <row r="180" ht="15.75" customHeight="1" s="69">
      <c r="B180" s="2" t="n"/>
      <c r="D180" s="2" t="n"/>
      <c r="E180" s="2" t="n"/>
      <c r="F180" s="2" t="n"/>
      <c r="G180" s="2" t="n"/>
      <c r="O180" s="2" t="n"/>
    </row>
    <row r="181" ht="15.75" customHeight="1" s="69">
      <c r="B181" s="2" t="n"/>
      <c r="D181" s="2" t="n"/>
      <c r="E181" s="2" t="n"/>
      <c r="F181" s="2" t="n"/>
      <c r="G181" s="2" t="n"/>
      <c r="O181" s="2" t="n"/>
    </row>
    <row r="182" ht="15.75" customHeight="1" s="69">
      <c r="B182" s="2" t="n"/>
      <c r="D182" s="2" t="n"/>
      <c r="E182" s="2" t="n"/>
      <c r="F182" s="2" t="n"/>
      <c r="G182" s="2" t="n"/>
      <c r="O182" s="2" t="n"/>
    </row>
    <row r="183" ht="15.75" customHeight="1" s="69">
      <c r="B183" s="2" t="n"/>
      <c r="D183" s="2" t="n"/>
      <c r="E183" s="2" t="n"/>
      <c r="F183" s="2" t="n"/>
      <c r="G183" s="2" t="n"/>
      <c r="O183" s="2" t="n"/>
    </row>
    <row r="184" ht="15.75" customHeight="1" s="69">
      <c r="B184" s="2" t="n"/>
      <c r="D184" s="2" t="n"/>
      <c r="E184" s="2" t="n"/>
      <c r="F184" s="2" t="n"/>
      <c r="G184" s="2" t="n"/>
      <c r="O184" s="2" t="n"/>
    </row>
    <row r="185" ht="15.75" customHeight="1" s="69">
      <c r="B185" s="2" t="n"/>
      <c r="D185" s="2" t="n"/>
      <c r="E185" s="2" t="n"/>
      <c r="F185" s="2" t="n"/>
      <c r="G185" s="2" t="n"/>
      <c r="O185" s="2" t="n"/>
    </row>
    <row r="186" ht="15.75" customHeight="1" s="69">
      <c r="B186" s="2" t="n"/>
      <c r="D186" s="2" t="n"/>
      <c r="E186" s="2" t="n"/>
      <c r="F186" s="2" t="n"/>
      <c r="G186" s="2" t="n"/>
      <c r="O186" s="2" t="n"/>
    </row>
    <row r="187" ht="15.75" customHeight="1" s="69">
      <c r="B187" s="2" t="n"/>
      <c r="D187" s="2" t="n"/>
      <c r="E187" s="2" t="n"/>
      <c r="F187" s="2" t="n"/>
      <c r="G187" s="2" t="n"/>
      <c r="O187" s="2" t="n"/>
    </row>
    <row r="188" ht="15.75" customHeight="1" s="69">
      <c r="B188" s="2" t="n"/>
      <c r="D188" s="2" t="n"/>
      <c r="E188" s="2" t="n"/>
      <c r="F188" s="2" t="n"/>
      <c r="G188" s="2" t="n"/>
      <c r="O188" s="2" t="n"/>
    </row>
    <row r="189" ht="15.75" customHeight="1" s="69">
      <c r="B189" s="2" t="n"/>
      <c r="D189" s="2" t="n"/>
      <c r="E189" s="2" t="n"/>
      <c r="F189" s="2" t="n"/>
      <c r="G189" s="2" t="n"/>
      <c r="O189" s="2" t="n"/>
    </row>
    <row r="190" ht="15.75" customHeight="1" s="69">
      <c r="B190" s="2" t="n"/>
      <c r="D190" s="2" t="n"/>
      <c r="E190" s="2" t="n"/>
      <c r="F190" s="2" t="n"/>
      <c r="G190" s="2" t="n"/>
      <c r="O190" s="2" t="n"/>
    </row>
    <row r="191" ht="15.75" customHeight="1" s="69">
      <c r="B191" s="2" t="n"/>
      <c r="D191" s="2" t="n"/>
      <c r="E191" s="2" t="n"/>
      <c r="F191" s="2" t="n"/>
      <c r="G191" s="2" t="n"/>
      <c r="O191" s="2" t="n"/>
    </row>
    <row r="192" ht="15.75" customHeight="1" s="69">
      <c r="B192" s="2" t="n"/>
      <c r="D192" s="2" t="n"/>
      <c r="E192" s="2" t="n"/>
      <c r="F192" s="2" t="n"/>
      <c r="G192" s="2" t="n"/>
      <c r="O192" s="2" t="n"/>
    </row>
    <row r="193" ht="15.75" customHeight="1" s="69">
      <c r="B193" s="2" t="n"/>
      <c r="D193" s="2" t="n"/>
      <c r="E193" s="2" t="n"/>
      <c r="F193" s="2" t="n"/>
      <c r="G193" s="2" t="n"/>
      <c r="O193" s="2" t="n"/>
    </row>
    <row r="194" ht="15.75" customHeight="1" s="69">
      <c r="B194" s="2" t="n"/>
      <c r="D194" s="2" t="n"/>
      <c r="E194" s="2" t="n"/>
      <c r="F194" s="2" t="n"/>
      <c r="G194" s="2" t="n"/>
      <c r="O194" s="2" t="n"/>
    </row>
    <row r="195" ht="15.75" customHeight="1" s="69">
      <c r="B195" s="2" t="n"/>
      <c r="D195" s="2" t="n"/>
      <c r="E195" s="2" t="n"/>
      <c r="F195" s="2" t="n"/>
      <c r="G195" s="2" t="n"/>
      <c r="O195" s="2" t="n"/>
    </row>
    <row r="196" ht="15.75" customHeight="1" s="69">
      <c r="B196" s="2" t="n"/>
      <c r="D196" s="2" t="n"/>
      <c r="E196" s="2" t="n"/>
      <c r="F196" s="2" t="n"/>
      <c r="G196" s="2" t="n"/>
      <c r="O196" s="2" t="n"/>
    </row>
    <row r="197" ht="15.75" customHeight="1" s="69">
      <c r="B197" s="2" t="n"/>
      <c r="D197" s="2" t="n"/>
      <c r="E197" s="2" t="n"/>
      <c r="F197" s="2" t="n"/>
      <c r="G197" s="2" t="n"/>
      <c r="O197" s="2" t="n"/>
    </row>
    <row r="198" ht="15.75" customHeight="1" s="69">
      <c r="B198" s="2" t="n"/>
      <c r="D198" s="2" t="n"/>
      <c r="E198" s="2" t="n"/>
      <c r="F198" s="2" t="n"/>
      <c r="G198" s="2" t="n"/>
      <c r="O198" s="2" t="n"/>
    </row>
    <row r="199" ht="15.75" customHeight="1" s="69">
      <c r="B199" s="2" t="n"/>
      <c r="D199" s="2" t="n"/>
      <c r="E199" s="2" t="n"/>
      <c r="F199" s="2" t="n"/>
      <c r="G199" s="2" t="n"/>
      <c r="O199" s="2" t="n"/>
    </row>
    <row r="200" ht="15.75" customHeight="1" s="69">
      <c r="B200" s="2" t="n"/>
      <c r="D200" s="2" t="n"/>
      <c r="E200" s="2" t="n"/>
      <c r="F200" s="2" t="n"/>
      <c r="G200" s="2" t="n"/>
      <c r="O200" s="2" t="n"/>
    </row>
    <row r="201" ht="15.75" customHeight="1" s="69">
      <c r="B201" s="2" t="n"/>
      <c r="D201" s="2" t="n"/>
      <c r="E201" s="2" t="n"/>
      <c r="F201" s="2" t="n"/>
      <c r="G201" s="2" t="n"/>
      <c r="O201" s="2" t="n"/>
    </row>
    <row r="202" ht="15.75" customHeight="1" s="69">
      <c r="B202" s="2" t="n"/>
      <c r="D202" s="2" t="n"/>
      <c r="E202" s="2" t="n"/>
      <c r="F202" s="2" t="n"/>
      <c r="G202" s="2" t="n"/>
      <c r="O202" s="2" t="n"/>
    </row>
    <row r="203" ht="15.75" customHeight="1" s="69">
      <c r="B203" s="2" t="n"/>
      <c r="D203" s="2" t="n"/>
      <c r="E203" s="2" t="n"/>
      <c r="F203" s="2" t="n"/>
      <c r="G203" s="2" t="n"/>
      <c r="O203" s="2" t="n"/>
    </row>
    <row r="204" ht="15.75" customHeight="1" s="69">
      <c r="B204" s="2" t="n"/>
      <c r="D204" s="2" t="n"/>
      <c r="E204" s="2" t="n"/>
      <c r="F204" s="2" t="n"/>
      <c r="G204" s="2" t="n"/>
      <c r="O204" s="2" t="n"/>
    </row>
    <row r="205" ht="15.75" customHeight="1" s="69">
      <c r="B205" s="2" t="n"/>
      <c r="D205" s="2" t="n"/>
      <c r="E205" s="2" t="n"/>
      <c r="F205" s="2" t="n"/>
      <c r="G205" s="2" t="n"/>
      <c r="O205" s="2" t="n"/>
    </row>
    <row r="206" ht="15.75" customHeight="1" s="69">
      <c r="B206" s="2" t="n"/>
      <c r="D206" s="2" t="n"/>
      <c r="E206" s="2" t="n"/>
      <c r="F206" s="2" t="n"/>
      <c r="G206" s="2" t="n"/>
      <c r="O206" s="2" t="n"/>
    </row>
    <row r="207" ht="15.75" customHeight="1" s="69">
      <c r="B207" s="2" t="n"/>
      <c r="D207" s="2" t="n"/>
      <c r="E207" s="2" t="n"/>
      <c r="F207" s="2" t="n"/>
      <c r="G207" s="2" t="n"/>
      <c r="O207" s="2" t="n"/>
    </row>
    <row r="208" ht="15.75" customHeight="1" s="69">
      <c r="B208" s="2" t="n"/>
      <c r="D208" s="2" t="n"/>
      <c r="E208" s="2" t="n"/>
      <c r="F208" s="2" t="n"/>
      <c r="G208" s="2" t="n"/>
      <c r="O208" s="2" t="n"/>
    </row>
    <row r="209" ht="15.75" customHeight="1" s="69">
      <c r="B209" s="2" t="n"/>
      <c r="D209" s="2" t="n"/>
      <c r="E209" s="2" t="n"/>
      <c r="F209" s="2" t="n"/>
      <c r="G209" s="2" t="n"/>
      <c r="O209" s="2" t="n"/>
    </row>
    <row r="210" ht="15.75" customHeight="1" s="69">
      <c r="B210" s="2" t="n"/>
      <c r="D210" s="2" t="n"/>
      <c r="E210" s="2" t="n"/>
      <c r="F210" s="2" t="n"/>
      <c r="G210" s="2" t="n"/>
      <c r="O210" s="2" t="n"/>
    </row>
    <row r="211" ht="15.75" customHeight="1" s="69">
      <c r="B211" s="2" t="n"/>
      <c r="D211" s="2" t="n"/>
      <c r="E211" s="2" t="n"/>
      <c r="F211" s="2" t="n"/>
      <c r="G211" s="2" t="n"/>
      <c r="O211" s="2" t="n"/>
    </row>
    <row r="212" ht="15.75" customHeight="1" s="69">
      <c r="B212" s="2" t="n"/>
      <c r="D212" s="2" t="n"/>
      <c r="E212" s="2" t="n"/>
      <c r="F212" s="2" t="n"/>
      <c r="G212" s="2" t="n"/>
      <c r="O212" s="2" t="n"/>
    </row>
    <row r="213" ht="15.75" customHeight="1" s="69">
      <c r="B213" s="2" t="n"/>
      <c r="D213" s="2" t="n"/>
      <c r="E213" s="2" t="n"/>
      <c r="F213" s="2" t="n"/>
      <c r="G213" s="2" t="n"/>
      <c r="O213" s="2" t="n"/>
    </row>
    <row r="214" ht="15.75" customHeight="1" s="69">
      <c r="B214" s="2" t="n"/>
      <c r="D214" s="2" t="n"/>
      <c r="E214" s="2" t="n"/>
      <c r="F214" s="2" t="n"/>
      <c r="G214" s="2" t="n"/>
      <c r="O214" s="2" t="n"/>
    </row>
    <row r="215" ht="15.75" customHeight="1" s="69">
      <c r="B215" s="2" t="n"/>
      <c r="D215" s="2" t="n"/>
      <c r="E215" s="2" t="n"/>
      <c r="F215" s="2" t="n"/>
      <c r="G215" s="2" t="n"/>
      <c r="O215" s="2" t="n"/>
    </row>
    <row r="216" ht="15.75" customHeight="1" s="69">
      <c r="B216" s="2" t="n"/>
      <c r="D216" s="2" t="n"/>
      <c r="E216" s="2" t="n"/>
      <c r="F216" s="2" t="n"/>
      <c r="G216" s="2" t="n"/>
      <c r="O216" s="2" t="n"/>
    </row>
    <row r="217" ht="15.75" customHeight="1" s="69">
      <c r="B217" s="2" t="n"/>
      <c r="D217" s="2" t="n"/>
      <c r="E217" s="2" t="n"/>
      <c r="F217" s="2" t="n"/>
      <c r="G217" s="2" t="n"/>
      <c r="O217" s="2" t="n"/>
    </row>
    <row r="218" ht="15.75" customHeight="1" s="69">
      <c r="B218" s="2" t="n"/>
      <c r="D218" s="2" t="n"/>
      <c r="E218" s="2" t="n"/>
      <c r="F218" s="2" t="n"/>
      <c r="G218" s="2" t="n"/>
      <c r="O218" s="2" t="n"/>
    </row>
    <row r="219" ht="15.75" customHeight="1" s="69">
      <c r="B219" s="2" t="n"/>
      <c r="D219" s="2" t="n"/>
      <c r="E219" s="2" t="n"/>
      <c r="F219" s="2" t="n"/>
      <c r="G219" s="2" t="n"/>
      <c r="O219" s="2" t="n"/>
    </row>
    <row r="220" ht="15.75" customHeight="1" s="69">
      <c r="B220" s="2" t="n"/>
      <c r="D220" s="2" t="n"/>
      <c r="E220" s="2" t="n"/>
      <c r="F220" s="2" t="n"/>
      <c r="G220" s="2" t="n"/>
      <c r="O220" s="2" t="n"/>
    </row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ColWidth="11.25" defaultRowHeight="15" customHeight="1"/>
  <cols>
    <col width="6.875" customWidth="1" style="69" min="1" max="1"/>
    <col width="34.25" customWidth="1" style="69" min="2" max="2"/>
    <col width="6.875" customWidth="1" style="69" min="3" max="26"/>
  </cols>
  <sheetData>
    <row r="1" ht="15.75" customHeight="1" s="69">
      <c r="A1" s="15" t="inlineStr">
        <is>
          <t>Fornitori NON mappati in d_fornitori.csv — assegnare una voce (hotelops fornitori) e rigenerare</t>
        </is>
      </c>
    </row>
    <row r="2" ht="15.75" customHeight="1" s="69">
      <c r="A2" s="15" t="inlineStr">
        <is>
          <t>Cod</t>
        </is>
      </c>
      <c r="B2" s="15" t="inlineStr">
        <is>
          <t>Nome (da export)</t>
        </is>
      </c>
      <c r="C2" s="15" t="inlineStr">
        <is>
          <t>GENNAIO</t>
        </is>
      </c>
      <c r="D2" s="15" t="inlineStr">
        <is>
          <t>FEBBRAIO</t>
        </is>
      </c>
      <c r="E2" s="15" t="inlineStr">
        <is>
          <t>MARZO</t>
        </is>
      </c>
      <c r="F2" s="15" t="inlineStr">
        <is>
          <t>APRILE</t>
        </is>
      </c>
      <c r="G2" s="15" t="inlineStr">
        <is>
          <t>MAGGIO</t>
        </is>
      </c>
      <c r="H2" s="15" t="inlineStr">
        <is>
          <t>GIUGNO</t>
        </is>
      </c>
      <c r="I2" s="15" t="inlineStr">
        <is>
          <t>LUGLIO</t>
        </is>
      </c>
      <c r="J2" s="15" t="inlineStr">
        <is>
          <t>AGOSTO</t>
        </is>
      </c>
      <c r="K2" s="15" t="inlineStr">
        <is>
          <t>SETTEMBRE</t>
        </is>
      </c>
      <c r="L2" s="15" t="inlineStr">
        <is>
          <t>OTTOBRE</t>
        </is>
      </c>
      <c r="M2" s="15" t="inlineStr">
        <is>
          <t>NOVEMBRE</t>
        </is>
      </c>
      <c r="N2" s="15" t="inlineStr">
        <is>
          <t>DICEMBRE</t>
        </is>
      </c>
    </row>
    <row r="3" ht="15.75" customHeight="1" s="69">
      <c r="A3" s="64" t="n">
        <v>671</v>
      </c>
      <c r="B3" s="64" t="inlineStr">
        <is>
          <t>2A SYSTEMS SRL</t>
        </is>
      </c>
      <c r="I3" s="63" t="n">
        <v>220</v>
      </c>
    </row>
    <row r="4" ht="15.75" customHeight="1" s="69">
      <c r="A4" s="64" t="n">
        <v>722</v>
      </c>
      <c r="B4" s="64" t="inlineStr">
        <is>
          <t>Barbella Srl</t>
        </is>
      </c>
      <c r="I4" s="63" t="n">
        <v>939.4</v>
      </c>
    </row>
    <row r="5" ht="15.75" customHeight="1" s="69">
      <c r="A5" s="64" t="n">
        <v>1819</v>
      </c>
      <c r="B5" s="64" t="inlineStr">
        <is>
          <t>FUEL STATION SRL</t>
        </is>
      </c>
      <c r="I5" s="63" t="n">
        <v>120</v>
      </c>
    </row>
    <row r="6" ht="15.75" customHeight="1" s="69">
      <c r="A6" s="64" t="n">
        <v>1795</v>
      </c>
      <c r="B6" s="64" t="inlineStr">
        <is>
          <t>HYGIEN TECH S.R.L.</t>
        </is>
      </c>
      <c r="I6" s="63" t="n">
        <v>1365.83</v>
      </c>
    </row>
    <row r="7" ht="15.75" customHeight="1" s="69">
      <c r="A7" s="64" t="n">
        <v>1078</v>
      </c>
      <c r="B7" s="64" t="inlineStr">
        <is>
          <t>Intesa Sanpaolo S.p.a</t>
        </is>
      </c>
      <c r="I7" s="63" t="n">
        <v>67.09999999999999</v>
      </c>
    </row>
    <row r="8" ht="15.75" customHeight="1" s="69">
      <c r="A8" s="64" t="n">
        <v>414</v>
      </c>
      <c r="B8" s="64" t="inlineStr">
        <is>
          <t>NEXI PAYMENTS S.p.A.</t>
        </is>
      </c>
      <c r="I8" s="63" t="n">
        <v>25.44</v>
      </c>
    </row>
    <row r="9" ht="15.75" customHeight="1" s="69"/>
    <row r="10" ht="15.75" customHeight="1" s="69"/>
    <row r="11" ht="15.75" customHeight="1" s="69"/>
    <row r="12" ht="15.75" customHeight="1" s="69"/>
    <row r="13" ht="15.75" customHeight="1" s="69"/>
    <row r="14" ht="15.75" customHeight="1" s="69"/>
    <row r="15" ht="15.75" customHeight="1" s="69"/>
    <row r="16" ht="15.75" customHeight="1" s="69"/>
    <row r="17" ht="15.75" customHeight="1" s="69"/>
    <row r="18" ht="15.75" customHeight="1" s="69"/>
    <row r="19" ht="15.75" customHeight="1" s="69"/>
    <row r="20" ht="15.75" customHeight="1" s="69"/>
    <row r="21" ht="15.75" customHeight="1" s="69"/>
    <row r="22" ht="15.75" customHeight="1" s="69"/>
    <row r="23" ht="15.75" customHeight="1" s="69"/>
    <row r="24" ht="15.75" customHeight="1" s="69"/>
    <row r="25" ht="15.75" customHeight="1" s="69"/>
    <row r="26" ht="15.75" customHeight="1" s="69"/>
    <row r="27" ht="15.75" customHeight="1" s="69"/>
    <row r="28" ht="15.75" customHeight="1" s="69"/>
    <row r="29" ht="15.75" customHeight="1" s="69"/>
    <row r="30" ht="15.75" customHeight="1" s="69"/>
    <row r="31" ht="15.75" customHeight="1" s="69"/>
    <row r="32" ht="15.75" customHeight="1" s="69"/>
    <row r="33" ht="15.75" customHeight="1" s="69"/>
    <row r="34" ht="15.75" customHeight="1" s="69"/>
    <row r="35" ht="15.75" customHeight="1" s="69"/>
    <row r="36" ht="15.75" customHeight="1" s="69"/>
    <row r="37" ht="15.75" customHeight="1" s="69"/>
    <row r="38" ht="15.75" customHeight="1" s="69"/>
    <row r="39" ht="15.75" customHeight="1" s="69"/>
    <row r="40" ht="15.75" customHeight="1" s="69"/>
    <row r="41" ht="15.75" customHeight="1" s="69"/>
    <row r="42" ht="15.75" customHeight="1" s="69"/>
    <row r="43" ht="15.75" customHeight="1" s="69"/>
    <row r="44" ht="15.75" customHeight="1" s="69"/>
    <row r="45" ht="15.75" customHeight="1" s="69"/>
    <row r="46" ht="15.75" customHeight="1" s="69"/>
    <row r="47" ht="15.75" customHeight="1" s="69"/>
    <row r="48" ht="15.75" customHeight="1" s="69"/>
    <row r="49" ht="15.75" customHeight="1" s="69"/>
    <row r="50" ht="15.75" customHeight="1" s="69"/>
    <row r="51" ht="15.75" customHeight="1" s="69"/>
    <row r="52" ht="15.75" customHeight="1" s="69"/>
    <row r="53" ht="15.75" customHeight="1" s="69"/>
    <row r="54" ht="15.75" customHeight="1" s="69"/>
    <row r="55" ht="15.75" customHeight="1" s="69"/>
    <row r="56" ht="15.75" customHeight="1" s="69"/>
    <row r="57" ht="15.75" customHeight="1" s="69"/>
    <row r="58" ht="15.75" customHeight="1" s="69"/>
    <row r="59" ht="15.75" customHeight="1" s="69"/>
    <row r="60" ht="15.75" customHeight="1" s="69"/>
    <row r="61" ht="15.75" customHeight="1" s="69"/>
    <row r="62" ht="15.75" customHeight="1" s="69"/>
    <row r="63" ht="15.75" customHeight="1" s="69"/>
    <row r="64" ht="15.75" customHeight="1" s="69"/>
    <row r="65" ht="15.75" customHeight="1" s="69"/>
    <row r="66" ht="15.75" customHeight="1" s="69"/>
    <row r="67" ht="15.75" customHeight="1" s="69"/>
    <row r="68" ht="15.75" customHeight="1" s="69"/>
    <row r="69" ht="15.75" customHeight="1" s="69"/>
    <row r="70" ht="15.75" customHeight="1" s="69"/>
    <row r="71" ht="15.75" customHeight="1" s="69"/>
    <row r="72" ht="15.75" customHeight="1" s="69"/>
    <row r="73" ht="15.75" customHeight="1" s="69"/>
    <row r="74" ht="15.75" customHeight="1" s="69"/>
    <row r="75" ht="15.75" customHeight="1" s="69"/>
    <row r="76" ht="15.75" customHeight="1" s="69"/>
    <row r="77" ht="15.75" customHeight="1" s="69"/>
    <row r="78" ht="15.75" customHeight="1" s="69"/>
    <row r="79" ht="15.75" customHeight="1" s="69"/>
    <row r="80" ht="15.75" customHeight="1" s="69"/>
    <row r="81" ht="15.75" customHeight="1" s="69"/>
    <row r="82" ht="15.75" customHeight="1" s="69"/>
    <row r="83" ht="15.75" customHeight="1" s="69"/>
    <row r="84" ht="15.75" customHeight="1" s="69"/>
    <row r="85" ht="15.75" customHeight="1" s="69"/>
    <row r="86" ht="15.75" customHeight="1" s="69"/>
    <row r="87" ht="15.75" customHeight="1" s="69"/>
    <row r="88" ht="15.75" customHeight="1" s="69"/>
    <row r="89" ht="15.75" customHeight="1" s="69"/>
    <row r="90" ht="15.75" customHeight="1" s="69"/>
    <row r="91" ht="15.75" customHeight="1" s="69"/>
    <row r="92" ht="15.75" customHeight="1" s="69"/>
    <row r="93" ht="15.75" customHeight="1" s="69"/>
    <row r="94" ht="15.75" customHeight="1" s="69"/>
    <row r="95" ht="15.75" customHeight="1" s="69"/>
    <row r="96" ht="15.75" customHeight="1" s="69"/>
    <row r="97" ht="15.75" customHeight="1" s="69"/>
    <row r="98" ht="15.75" customHeight="1" s="69"/>
    <row r="99" ht="15.75" customHeight="1" s="69"/>
    <row r="100" ht="15.75" customHeight="1" s="69"/>
    <row r="101" ht="15.75" customHeight="1" s="69"/>
    <row r="102" ht="15.75" customHeight="1" s="69"/>
    <row r="103" ht="15.75" customHeight="1" s="69"/>
    <row r="104" ht="15.75" customHeight="1" s="69"/>
    <row r="105" ht="15.75" customHeight="1" s="69"/>
    <row r="106" ht="15.75" customHeight="1" s="69"/>
    <row r="107" ht="15.75" customHeight="1" s="69"/>
    <row r="108" ht="15.75" customHeight="1" s="69"/>
    <row r="109" ht="15.75" customHeight="1" s="69"/>
    <row r="110" ht="15.75" customHeight="1" s="69"/>
    <row r="111" ht="15.75" customHeight="1" s="69"/>
    <row r="112" ht="15.75" customHeight="1" s="69"/>
    <row r="113" ht="15.75" customHeight="1" s="69"/>
    <row r="114" ht="15.75" customHeight="1" s="69"/>
    <row r="115" ht="15.75" customHeight="1" s="69"/>
    <row r="116" ht="15.75" customHeight="1" s="69"/>
    <row r="117" ht="15.75" customHeight="1" s="69"/>
    <row r="118" ht="15.75" customHeight="1" s="69"/>
    <row r="119" ht="15.75" customHeight="1" s="69"/>
    <row r="120" ht="15.75" customHeight="1" s="69"/>
    <row r="121" ht="15.75" customHeight="1" s="69"/>
    <row r="122" ht="15.75" customHeight="1" s="69"/>
    <row r="123" ht="15.75" customHeight="1" s="69"/>
    <row r="124" ht="15.75" customHeight="1" s="69"/>
    <row r="125" ht="15.75" customHeight="1" s="69"/>
    <row r="126" ht="15.75" customHeight="1" s="69"/>
    <row r="127" ht="15.75" customHeight="1" s="69"/>
    <row r="128" ht="15.75" customHeight="1" s="69"/>
    <row r="129" ht="15.75" customHeight="1" s="69"/>
    <row r="130" ht="15.75" customHeight="1" s="69"/>
    <row r="131" ht="15.75" customHeight="1" s="69"/>
    <row r="132" ht="15.75" customHeight="1" s="69"/>
    <row r="133" ht="15.75" customHeight="1" s="69"/>
    <row r="134" ht="15.75" customHeight="1" s="69"/>
    <row r="135" ht="15.75" customHeight="1" s="69"/>
    <row r="136" ht="15.75" customHeight="1" s="69"/>
    <row r="137" ht="15.75" customHeight="1" s="69"/>
    <row r="138" ht="15.75" customHeight="1" s="69"/>
    <row r="139" ht="15.75" customHeight="1" s="69"/>
    <row r="140" ht="15.75" customHeight="1" s="69"/>
    <row r="141" ht="15.75" customHeight="1" s="69"/>
    <row r="142" ht="15.75" customHeight="1" s="69"/>
    <row r="143" ht="15.75" customHeight="1" s="69"/>
    <row r="144" ht="15.75" customHeight="1" s="69"/>
    <row r="145" ht="15.75" customHeight="1" s="69"/>
    <row r="146" ht="15.75" customHeight="1" s="69"/>
    <row r="147" ht="15.75" customHeight="1" s="69"/>
    <row r="148" ht="15.75" customHeight="1" s="69"/>
    <row r="149" ht="15.75" customHeight="1" s="69"/>
    <row r="150" ht="15.75" customHeight="1" s="69"/>
    <row r="151" ht="15.75" customHeight="1" s="69"/>
    <row r="152" ht="15.75" customHeight="1" s="69"/>
    <row r="153" ht="15.75" customHeight="1" s="69"/>
    <row r="154" ht="15.75" customHeight="1" s="69"/>
    <row r="155" ht="15.75" customHeight="1" s="69"/>
    <row r="156" ht="15.75" customHeight="1" s="69"/>
    <row r="157" ht="15.75" customHeight="1" s="69"/>
    <row r="158" ht="15.75" customHeight="1" s="69"/>
    <row r="159" ht="15.75" customHeight="1" s="69"/>
    <row r="160" ht="15.75" customHeight="1" s="69"/>
    <row r="161" ht="15.75" customHeight="1" s="69"/>
    <row r="162" ht="15.75" customHeight="1" s="69"/>
    <row r="163" ht="15.75" customHeight="1" s="69"/>
    <row r="164" ht="15.75" customHeight="1" s="69"/>
    <row r="165" ht="15.75" customHeight="1" s="69"/>
    <row r="166" ht="15.75" customHeight="1" s="69"/>
    <row r="167" ht="15.75" customHeight="1" s="69"/>
    <row r="168" ht="15.75" customHeight="1" s="69"/>
    <row r="169" ht="15.75" customHeight="1" s="69"/>
    <row r="170" ht="15.75" customHeight="1" s="69"/>
    <row r="171" ht="15.75" customHeight="1" s="69"/>
    <row r="172" ht="15.75" customHeight="1" s="69"/>
    <row r="173" ht="15.75" customHeight="1" s="69"/>
    <row r="174" ht="15.75" customHeight="1" s="69"/>
    <row r="175" ht="15.75" customHeight="1" s="69"/>
    <row r="176" ht="15.75" customHeight="1" s="69"/>
    <row r="177" ht="15.75" customHeight="1" s="69"/>
    <row r="178" ht="15.75" customHeight="1" s="69"/>
    <row r="179" ht="15.75" customHeight="1" s="69"/>
    <row r="180" ht="15.75" customHeight="1" s="69"/>
    <row r="181" ht="15.75" customHeight="1" s="69"/>
    <row r="182" ht="15.75" customHeight="1" s="69"/>
    <row r="183" ht="15.75" customHeight="1" s="69"/>
    <row r="184" ht="15.75" customHeight="1" s="69"/>
    <row r="185" ht="15.75" customHeight="1" s="69"/>
    <row r="186" ht="15.75" customHeight="1" s="69"/>
    <row r="187" ht="15.75" customHeight="1" s="69"/>
    <row r="188" ht="15.75" customHeight="1" s="69"/>
    <row r="189" ht="15.75" customHeight="1" s="69"/>
    <row r="190" ht="15.75" customHeight="1" s="69"/>
    <row r="191" ht="15.75" customHeight="1" s="69"/>
    <row r="192" ht="15.75" customHeight="1" s="69"/>
    <row r="193" ht="15.75" customHeight="1" s="69"/>
    <row r="194" ht="15.75" customHeight="1" s="69"/>
    <row r="195" ht="15.75" customHeight="1" s="69"/>
    <row r="196" ht="15.75" customHeight="1" s="69"/>
    <row r="197" ht="15.75" customHeight="1" s="69"/>
    <row r="198" ht="15.75" customHeight="1" s="69"/>
    <row r="199" ht="15.75" customHeight="1" s="69"/>
    <row r="200" ht="15.75" customHeight="1" s="69"/>
    <row r="201" ht="15.75" customHeight="1" s="69"/>
    <row r="202" ht="15.75" customHeight="1" s="69"/>
    <row r="203" ht="15.75" customHeight="1" s="69"/>
    <row r="204" ht="15.75" customHeight="1" s="69"/>
    <row r="205" ht="15.75" customHeight="1" s="69"/>
    <row r="206" ht="15.75" customHeight="1" s="69"/>
    <row r="207" ht="15.75" customHeight="1" s="69"/>
    <row r="208" ht="15.75" customHeight="1" s="69"/>
    <row r="209" ht="15.75" customHeight="1" s="69"/>
    <row r="210" ht="15.75" customHeight="1" s="69"/>
    <row r="211" ht="15.75" customHeight="1" s="69"/>
    <row r="212" ht="15.75" customHeight="1" s="69"/>
    <row r="213" ht="15.75" customHeight="1" s="69"/>
    <row r="214" ht="15.75" customHeight="1" s="69"/>
    <row r="215" ht="15.75" customHeight="1" s="69"/>
    <row r="216" ht="15.75" customHeight="1" s="69"/>
    <row r="217" ht="15.75" customHeight="1" s="69"/>
    <row r="218" ht="15.75" customHeight="1" s="69"/>
    <row r="219" ht="15.75" customHeight="1" s="69"/>
    <row r="220" ht="15.75" customHeight="1" s="69"/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ColWidth="11.25" defaultRowHeight="15" customHeight="1"/>
  <cols>
    <col width="6.875" customWidth="1" style="69" min="1" max="1"/>
    <col width="34.25" customWidth="1" style="69" min="2" max="2"/>
    <col width="6.875" customWidth="1" style="69" min="3" max="14"/>
    <col width="24.875" customWidth="1" style="69" min="15" max="15"/>
    <col width="6.875" customWidth="1" style="69" min="16" max="26"/>
  </cols>
  <sheetData>
    <row r="1" ht="15.75" customHeight="1" s="69">
      <c r="A1" s="15" t="inlineStr">
        <is>
          <t>Fornitori ESCLUSI dalla cassa per scelta (is_excluded) — fuori dal saldo proiettato. NON sono un TODO: il motivo è in colonna Motivo.</t>
        </is>
      </c>
    </row>
    <row r="2" ht="15.75" customHeight="1" s="69">
      <c r="A2" s="15" t="inlineStr">
        <is>
          <t>Cod</t>
        </is>
      </c>
      <c r="B2" s="15" t="inlineStr">
        <is>
          <t>Nome (da CSV)</t>
        </is>
      </c>
      <c r="C2" s="15" t="inlineStr">
        <is>
          <t>GENNAIO</t>
        </is>
      </c>
      <c r="D2" s="15" t="inlineStr">
        <is>
          <t>FEBBRAIO</t>
        </is>
      </c>
      <c r="E2" s="15" t="inlineStr">
        <is>
          <t>MARZO</t>
        </is>
      </c>
      <c r="F2" s="15" t="inlineStr">
        <is>
          <t>APRILE</t>
        </is>
      </c>
      <c r="G2" s="15" t="inlineStr">
        <is>
          <t>MAGGIO</t>
        </is>
      </c>
      <c r="H2" s="15" t="inlineStr">
        <is>
          <t>GIUGNO</t>
        </is>
      </c>
      <c r="I2" s="15" t="inlineStr">
        <is>
          <t>LUGLIO</t>
        </is>
      </c>
      <c r="J2" s="15" t="inlineStr">
        <is>
          <t>AGOSTO</t>
        </is>
      </c>
      <c r="K2" s="15" t="inlineStr">
        <is>
          <t>SETTEMBRE</t>
        </is>
      </c>
      <c r="L2" s="15" t="inlineStr">
        <is>
          <t>OTTOBRE</t>
        </is>
      </c>
      <c r="M2" s="15" t="inlineStr">
        <is>
          <t>NOVEMBRE</t>
        </is>
      </c>
      <c r="N2" s="15" t="inlineStr">
        <is>
          <t>DICEMBRE</t>
        </is>
      </c>
      <c r="O2" s="15" t="inlineStr">
        <is>
          <t>Motivo</t>
        </is>
      </c>
    </row>
    <row r="3" ht="15.75" customHeight="1" s="69">
      <c r="A3" s="64" t="n">
        <v>1033</v>
      </c>
      <c r="B3" s="64" t="inlineStr">
        <is>
          <t>EURO GROUP NETWORK S.R.L.</t>
        </is>
      </c>
      <c r="I3" s="63" t="n">
        <v>31.99</v>
      </c>
      <c r="O3" s="64" t="inlineStr">
        <is>
          <t>una_tantum</t>
        </is>
      </c>
    </row>
    <row r="4" ht="15.75" customHeight="1" s="69">
      <c r="A4" s="64" t="n">
        <v>1048</v>
      </c>
      <c r="B4" s="64" t="inlineStr">
        <is>
          <t>MEDITERRANEO SNC DI TRAMONTANO</t>
        </is>
      </c>
      <c r="I4" s="63" t="n">
        <v>59.99</v>
      </c>
      <c r="O4" s="64" t="inlineStr">
        <is>
          <t>una_tantum</t>
        </is>
      </c>
    </row>
    <row r="5" ht="15.75" customHeight="1" s="69">
      <c r="A5" s="64" t="n">
        <v>264</v>
      </c>
      <c r="B5" s="64" t="inlineStr">
        <is>
          <t>PANORAMA COMPANY S.R.L.</t>
        </is>
      </c>
      <c r="I5" s="63" t="n">
        <v>412036.53</v>
      </c>
      <c r="O5" s="64" t="inlineStr">
        <is>
          <t>intercompany</t>
        </is>
      </c>
    </row>
    <row r="6" ht="15.75" customHeight="1" s="69">
      <c r="A6" s="64" t="n">
        <v>796</v>
      </c>
      <c r="B6" s="64" t="inlineStr">
        <is>
          <t>RAIA LIBERATO</t>
        </is>
      </c>
      <c r="I6" s="63" t="n">
        <v>66.01000000000001</v>
      </c>
      <c r="O6" s="64" t="inlineStr">
        <is>
          <t>una_tantum</t>
        </is>
      </c>
    </row>
    <row r="7" ht="15.75" customHeight="1" s="69">
      <c r="A7" s="64" t="n">
        <v>236</v>
      </c>
      <c r="B7" s="64" t="inlineStr">
        <is>
          <t>RISTORANTE GIARDINIELLO SRL</t>
        </is>
      </c>
      <c r="I7" s="63" t="n">
        <v>97.5</v>
      </c>
      <c r="O7" s="64" t="inlineStr">
        <is>
          <t>una_tantum</t>
        </is>
      </c>
    </row>
    <row r="8" ht="15.75" customHeight="1" s="69">
      <c r="A8" s="64" t="n">
        <v>85</v>
      </c>
      <c r="B8" s="64" t="inlineStr">
        <is>
          <t>TECNO CAMPANIA SRL</t>
        </is>
      </c>
      <c r="I8" s="63" t="n">
        <v>45440</v>
      </c>
      <c r="O8" s="64" t="inlineStr">
        <is>
          <t>una_tantum</t>
        </is>
      </c>
    </row>
    <row r="9" ht="15.75" customHeight="1" s="69"/>
    <row r="10" ht="15.75" customHeight="1" s="69"/>
    <row r="11" ht="15.75" customHeight="1" s="69"/>
    <row r="12" ht="15.75" customHeight="1" s="69"/>
    <row r="13" ht="15.75" customHeight="1" s="69"/>
    <row r="14" ht="15.75" customHeight="1" s="69"/>
    <row r="15" ht="15.75" customHeight="1" s="69"/>
    <row r="16" ht="15.75" customHeight="1" s="69"/>
    <row r="17" ht="15.75" customHeight="1" s="69"/>
    <row r="18" ht="15.75" customHeight="1" s="69"/>
    <row r="19" ht="15.75" customHeight="1" s="69"/>
    <row r="20" ht="15.75" customHeight="1" s="69"/>
    <row r="21" ht="15.75" customHeight="1" s="69"/>
    <row r="22" ht="15.75" customHeight="1" s="69"/>
    <row r="23" ht="15.75" customHeight="1" s="69"/>
    <row r="24" ht="15.75" customHeight="1" s="69"/>
    <row r="25" ht="15.75" customHeight="1" s="69"/>
    <row r="26" ht="15.75" customHeight="1" s="69"/>
    <row r="27" ht="15.75" customHeight="1" s="69"/>
    <row r="28" ht="15.75" customHeight="1" s="69"/>
    <row r="29" ht="15.75" customHeight="1" s="69"/>
    <row r="30" ht="15.75" customHeight="1" s="69"/>
    <row r="31" ht="15.75" customHeight="1" s="69"/>
    <row r="32" ht="15.75" customHeight="1" s="69"/>
    <row r="33" ht="15.75" customHeight="1" s="69"/>
    <row r="34" ht="15.75" customHeight="1" s="69"/>
    <row r="35" ht="15.75" customHeight="1" s="69"/>
    <row r="36" ht="15.75" customHeight="1" s="69"/>
    <row r="37" ht="15.75" customHeight="1" s="69"/>
    <row r="38" ht="15.75" customHeight="1" s="69"/>
    <row r="39" ht="15.75" customHeight="1" s="69"/>
    <row r="40" ht="15.75" customHeight="1" s="69"/>
    <row r="41" ht="15.75" customHeight="1" s="69"/>
    <row r="42" ht="15.75" customHeight="1" s="69"/>
    <row r="43" ht="15.75" customHeight="1" s="69"/>
    <row r="44" ht="15.75" customHeight="1" s="69"/>
    <row r="45" ht="15.75" customHeight="1" s="69"/>
    <row r="46" ht="15.75" customHeight="1" s="69"/>
    <row r="47" ht="15.75" customHeight="1" s="69"/>
    <row r="48" ht="15.75" customHeight="1" s="69"/>
    <row r="49" ht="15.75" customHeight="1" s="69"/>
    <row r="50" ht="15.75" customHeight="1" s="69"/>
    <row r="51" ht="15.75" customHeight="1" s="69"/>
    <row r="52" ht="15.75" customHeight="1" s="69"/>
    <row r="53" ht="15.75" customHeight="1" s="69"/>
    <row r="54" ht="15.75" customHeight="1" s="69"/>
    <row r="55" ht="15.75" customHeight="1" s="69"/>
    <row r="56" ht="15.75" customHeight="1" s="69"/>
    <row r="57" ht="15.75" customHeight="1" s="69"/>
    <row r="58" ht="15.75" customHeight="1" s="69"/>
    <row r="59" ht="15.75" customHeight="1" s="69"/>
    <row r="60" ht="15.75" customHeight="1" s="69"/>
    <row r="61" ht="15.75" customHeight="1" s="69"/>
    <row r="62" ht="15.75" customHeight="1" s="69"/>
    <row r="63" ht="15.75" customHeight="1" s="69"/>
    <row r="64" ht="15.75" customHeight="1" s="69"/>
    <row r="65" ht="15.75" customHeight="1" s="69"/>
    <row r="66" ht="15.75" customHeight="1" s="69"/>
    <row r="67" ht="15.75" customHeight="1" s="69"/>
    <row r="68" ht="15.75" customHeight="1" s="69"/>
    <row r="69" ht="15.75" customHeight="1" s="69"/>
    <row r="70" ht="15.75" customHeight="1" s="69"/>
    <row r="71" ht="15.75" customHeight="1" s="69"/>
    <row r="72" ht="15.75" customHeight="1" s="69"/>
    <row r="73" ht="15.75" customHeight="1" s="69"/>
    <row r="74" ht="15.75" customHeight="1" s="69"/>
    <row r="75" ht="15.75" customHeight="1" s="69"/>
    <row r="76" ht="15.75" customHeight="1" s="69"/>
    <row r="77" ht="15.75" customHeight="1" s="69"/>
    <row r="78" ht="15.75" customHeight="1" s="69"/>
    <row r="79" ht="15.75" customHeight="1" s="69"/>
    <row r="80" ht="15.75" customHeight="1" s="69"/>
    <row r="81" ht="15.75" customHeight="1" s="69"/>
    <row r="82" ht="15.75" customHeight="1" s="69"/>
    <row r="83" ht="15.75" customHeight="1" s="69"/>
    <row r="84" ht="15.75" customHeight="1" s="69"/>
    <row r="85" ht="15.75" customHeight="1" s="69"/>
    <row r="86" ht="15.75" customHeight="1" s="69"/>
    <row r="87" ht="15.75" customHeight="1" s="69"/>
    <row r="88" ht="15.75" customHeight="1" s="69"/>
    <row r="89" ht="15.75" customHeight="1" s="69"/>
    <row r="90" ht="15.75" customHeight="1" s="69"/>
    <row r="91" ht="15.75" customHeight="1" s="69"/>
    <row r="92" ht="15.75" customHeight="1" s="69"/>
    <row r="93" ht="15.75" customHeight="1" s="69"/>
    <row r="94" ht="15.75" customHeight="1" s="69"/>
    <row r="95" ht="15.75" customHeight="1" s="69"/>
    <row r="96" ht="15.75" customHeight="1" s="69"/>
    <row r="97" ht="15.75" customHeight="1" s="69"/>
    <row r="98" ht="15.75" customHeight="1" s="69"/>
    <row r="99" ht="15.75" customHeight="1" s="69"/>
    <row r="100" ht="15.75" customHeight="1" s="69"/>
    <row r="101" ht="15.75" customHeight="1" s="69"/>
    <row r="102" ht="15.75" customHeight="1" s="69"/>
    <row r="103" ht="15.75" customHeight="1" s="69"/>
    <row r="104" ht="15.75" customHeight="1" s="69"/>
    <row r="105" ht="15.75" customHeight="1" s="69"/>
    <row r="106" ht="15.75" customHeight="1" s="69"/>
    <row r="107" ht="15.75" customHeight="1" s="69"/>
    <row r="108" ht="15.75" customHeight="1" s="69"/>
    <row r="109" ht="15.75" customHeight="1" s="69"/>
    <row r="110" ht="15.75" customHeight="1" s="69"/>
    <row r="111" ht="15.75" customHeight="1" s="69"/>
    <row r="112" ht="15.75" customHeight="1" s="69"/>
    <row r="113" ht="15.75" customHeight="1" s="69"/>
    <row r="114" ht="15.75" customHeight="1" s="69"/>
    <row r="115" ht="15.75" customHeight="1" s="69"/>
    <row r="116" ht="15.75" customHeight="1" s="69"/>
    <row r="117" ht="15.75" customHeight="1" s="69"/>
    <row r="118" ht="15.75" customHeight="1" s="69"/>
    <row r="119" ht="15.75" customHeight="1" s="69"/>
    <row r="120" ht="15.75" customHeight="1" s="69"/>
    <row r="121" ht="15.75" customHeight="1" s="69"/>
    <row r="122" ht="15.75" customHeight="1" s="69"/>
    <row r="123" ht="15.75" customHeight="1" s="69"/>
    <row r="124" ht="15.75" customHeight="1" s="69"/>
    <row r="125" ht="15.75" customHeight="1" s="69"/>
    <row r="126" ht="15.75" customHeight="1" s="69"/>
    <row r="127" ht="15.75" customHeight="1" s="69"/>
    <row r="128" ht="15.75" customHeight="1" s="69"/>
    <row r="129" ht="15.75" customHeight="1" s="69"/>
    <row r="130" ht="15.75" customHeight="1" s="69"/>
    <row r="131" ht="15.75" customHeight="1" s="69"/>
    <row r="132" ht="15.75" customHeight="1" s="69"/>
    <row r="133" ht="15.75" customHeight="1" s="69"/>
    <row r="134" ht="15.75" customHeight="1" s="69"/>
    <row r="135" ht="15.75" customHeight="1" s="69"/>
    <row r="136" ht="15.75" customHeight="1" s="69"/>
    <row r="137" ht="15.75" customHeight="1" s="69"/>
    <row r="138" ht="15.75" customHeight="1" s="69"/>
    <row r="139" ht="15.75" customHeight="1" s="69"/>
    <row r="140" ht="15.75" customHeight="1" s="69"/>
    <row r="141" ht="15.75" customHeight="1" s="69"/>
    <row r="142" ht="15.75" customHeight="1" s="69"/>
    <row r="143" ht="15.75" customHeight="1" s="69"/>
    <row r="144" ht="15.75" customHeight="1" s="69"/>
    <row r="145" ht="15.75" customHeight="1" s="69"/>
    <row r="146" ht="15.75" customHeight="1" s="69"/>
    <row r="147" ht="15.75" customHeight="1" s="69"/>
    <row r="148" ht="15.75" customHeight="1" s="69"/>
    <row r="149" ht="15.75" customHeight="1" s="69"/>
    <row r="150" ht="15.75" customHeight="1" s="69"/>
    <row r="151" ht="15.75" customHeight="1" s="69"/>
    <row r="152" ht="15.75" customHeight="1" s="69"/>
    <row r="153" ht="15.75" customHeight="1" s="69"/>
    <row r="154" ht="15.75" customHeight="1" s="69"/>
    <row r="155" ht="15.75" customHeight="1" s="69"/>
    <row r="156" ht="15.75" customHeight="1" s="69"/>
    <row r="157" ht="15.75" customHeight="1" s="69"/>
    <row r="158" ht="15.75" customHeight="1" s="69"/>
    <row r="159" ht="15.75" customHeight="1" s="69"/>
    <row r="160" ht="15.75" customHeight="1" s="69"/>
    <row r="161" ht="15.75" customHeight="1" s="69"/>
    <row r="162" ht="15.75" customHeight="1" s="69"/>
    <row r="163" ht="15.75" customHeight="1" s="69"/>
    <row r="164" ht="15.75" customHeight="1" s="69"/>
    <row r="165" ht="15.75" customHeight="1" s="69"/>
    <row r="166" ht="15.75" customHeight="1" s="69"/>
    <row r="167" ht="15.75" customHeight="1" s="69"/>
    <row r="168" ht="15.75" customHeight="1" s="69"/>
    <row r="169" ht="15.75" customHeight="1" s="69"/>
    <row r="170" ht="15.75" customHeight="1" s="69"/>
    <row r="171" ht="15.75" customHeight="1" s="69"/>
    <row r="172" ht="15.75" customHeight="1" s="69"/>
    <row r="173" ht="15.75" customHeight="1" s="69"/>
    <row r="174" ht="15.75" customHeight="1" s="69"/>
    <row r="175" ht="15.75" customHeight="1" s="69"/>
    <row r="176" ht="15.75" customHeight="1" s="69"/>
    <row r="177" ht="15.75" customHeight="1" s="69"/>
    <row r="178" ht="15.75" customHeight="1" s="69"/>
    <row r="179" ht="15.75" customHeight="1" s="69"/>
    <row r="180" ht="15.75" customHeight="1" s="69"/>
    <row r="181" ht="15.75" customHeight="1" s="69"/>
    <row r="182" ht="15.75" customHeight="1" s="69"/>
    <row r="183" ht="15.75" customHeight="1" s="69"/>
    <row r="184" ht="15.75" customHeight="1" s="69"/>
    <row r="185" ht="15.75" customHeight="1" s="69"/>
    <row r="186" ht="15.75" customHeight="1" s="69"/>
    <row r="187" ht="15.75" customHeight="1" s="69"/>
    <row r="188" ht="15.75" customHeight="1" s="69"/>
    <row r="189" ht="15.75" customHeight="1" s="69"/>
    <row r="190" ht="15.75" customHeight="1" s="69"/>
    <row r="191" ht="15.75" customHeight="1" s="69"/>
    <row r="192" ht="15.75" customHeight="1" s="69"/>
    <row r="193" ht="15.75" customHeight="1" s="69"/>
    <row r="194" ht="15.75" customHeight="1" s="69"/>
    <row r="195" ht="15.75" customHeight="1" s="69"/>
    <row r="196" ht="15.75" customHeight="1" s="69"/>
    <row r="197" ht="15.75" customHeight="1" s="69"/>
    <row r="198" ht="15.75" customHeight="1" s="69"/>
    <row r="199" ht="15.75" customHeight="1" s="69"/>
    <row r="200" ht="15.75" customHeight="1" s="69"/>
    <row r="201" ht="15.75" customHeight="1" s="69"/>
    <row r="202" ht="15.75" customHeight="1" s="69"/>
    <row r="203" ht="15.75" customHeight="1" s="69"/>
    <row r="204" ht="15.75" customHeight="1" s="69"/>
    <row r="205" ht="15.75" customHeight="1" s="69"/>
    <row r="206" ht="15.75" customHeight="1" s="69"/>
    <row r="207" ht="15.75" customHeight="1" s="69"/>
    <row r="208" ht="15.75" customHeight="1" s="69"/>
    <row r="209" ht="15.75" customHeight="1" s="69"/>
    <row r="210" ht="15.75" customHeight="1" s="69"/>
    <row r="211" ht="15.75" customHeight="1" s="69"/>
    <row r="212" ht="15.75" customHeight="1" s="69"/>
    <row r="213" ht="15.75" customHeight="1" s="69"/>
    <row r="214" ht="15.75" customHeight="1" s="69"/>
    <row r="215" ht="15.75" customHeight="1" s="69"/>
    <row r="216" ht="15.75" customHeight="1" s="69"/>
    <row r="217" ht="15.75" customHeight="1" s="69"/>
    <row r="218" ht="15.75" customHeight="1" s="69"/>
    <row r="219" ht="15.75" customHeight="1" s="69"/>
    <row r="220" ht="15.75" customHeight="1" s="69"/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.75"/>
  <cols>
    <col width="44" customWidth="1" style="69" min="2" max="2"/>
  </cols>
  <sheetData>
    <row r="1">
      <c r="A1" s="66" t="inlineStr">
        <is>
          <t>Fornitori NON mappati in d_fornitori.csv — assegnare una voce (hotelops fornitori) e rigenerare</t>
        </is>
      </c>
    </row>
    <row r="2">
      <c r="A2" s="66" t="inlineStr">
        <is>
          <t>Cod</t>
        </is>
      </c>
      <c r="B2" s="66" t="inlineStr">
        <is>
          <t>Nome (da export)</t>
        </is>
      </c>
      <c r="C2" s="66" t="inlineStr">
        <is>
          <t>GENNAIO</t>
        </is>
      </c>
      <c r="D2" s="66" t="inlineStr">
        <is>
          <t>FEBBRAIO</t>
        </is>
      </c>
      <c r="E2" s="66" t="inlineStr">
        <is>
          <t>MARZO</t>
        </is>
      </c>
      <c r="F2" s="66" t="inlineStr">
        <is>
          <t>APRILE</t>
        </is>
      </c>
      <c r="G2" s="66" t="inlineStr">
        <is>
          <t>MAGGIO</t>
        </is>
      </c>
      <c r="H2" s="66" t="inlineStr">
        <is>
          <t>GIUGNO</t>
        </is>
      </c>
      <c r="I2" s="66" t="inlineStr">
        <is>
          <t>LUGLIO</t>
        </is>
      </c>
      <c r="J2" s="66" t="inlineStr">
        <is>
          <t>AGOSTO</t>
        </is>
      </c>
      <c r="K2" s="66" t="inlineStr">
        <is>
          <t>SETTEMBRE</t>
        </is>
      </c>
      <c r="L2" s="66" t="inlineStr">
        <is>
          <t>OTTOBRE</t>
        </is>
      </c>
      <c r="M2" s="66" t="inlineStr">
        <is>
          <t>NOVEMBRE</t>
        </is>
      </c>
      <c r="N2" s="66" t="inlineStr">
        <is>
          <t>DICEMBRE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.75"/>
  <cols>
    <col width="44" customWidth="1" style="69" min="2" max="2"/>
    <col width="32" customWidth="1" style="69" min="15" max="15"/>
  </cols>
  <sheetData>
    <row r="1">
      <c r="A1" s="66" t="inlineStr">
        <is>
          <t>Fornitori ESCLUSI dalla cassa per scelta (is_excluded) — fuori dal saldo proiettato. NON sono un TODO: il motivo è in colonna Motivo.</t>
        </is>
      </c>
    </row>
    <row r="2">
      <c r="A2" s="66" t="inlineStr">
        <is>
          <t>Cod</t>
        </is>
      </c>
      <c r="B2" s="66" t="inlineStr">
        <is>
          <t>Nome (da CSV)</t>
        </is>
      </c>
      <c r="C2" s="66" t="inlineStr">
        <is>
          <t>GENNAIO</t>
        </is>
      </c>
      <c r="D2" s="66" t="inlineStr">
        <is>
          <t>FEBBRAIO</t>
        </is>
      </c>
      <c r="E2" s="66" t="inlineStr">
        <is>
          <t>MARZO</t>
        </is>
      </c>
      <c r="F2" s="66" t="inlineStr">
        <is>
          <t>APRILE</t>
        </is>
      </c>
      <c r="G2" s="66" t="inlineStr">
        <is>
          <t>MAGGIO</t>
        </is>
      </c>
      <c r="H2" s="66" t="inlineStr">
        <is>
          <t>GIUGNO</t>
        </is>
      </c>
      <c r="I2" s="66" t="inlineStr">
        <is>
          <t>LUGLIO</t>
        </is>
      </c>
      <c r="J2" s="66" t="inlineStr">
        <is>
          <t>AGOSTO</t>
        </is>
      </c>
      <c r="K2" s="66" t="inlineStr">
        <is>
          <t>SETTEMBRE</t>
        </is>
      </c>
      <c r="L2" s="66" t="inlineStr">
        <is>
          <t>OTTOBRE</t>
        </is>
      </c>
      <c r="M2" s="66" t="inlineStr">
        <is>
          <t>NOVEMBRE</t>
        </is>
      </c>
      <c r="N2" s="66" t="inlineStr">
        <is>
          <t>DICEMBRE</t>
        </is>
      </c>
      <c r="O2" s="66" t="inlineStr">
        <is>
          <t>Motivo</t>
        </is>
      </c>
    </row>
    <row r="3">
      <c r="A3" t="n">
        <v>1048</v>
      </c>
      <c r="B3" t="inlineStr">
        <is>
          <t>MEDITERRANEO SNC DI TRAMONTANO</t>
        </is>
      </c>
      <c r="J3" s="67" t="n">
        <v>59.99</v>
      </c>
      <c r="O3" t="inlineStr">
        <is>
          <t>una_tantum</t>
        </is>
      </c>
    </row>
    <row r="4">
      <c r="A4" t="n">
        <v>264</v>
      </c>
      <c r="B4" t="inlineStr">
        <is>
          <t>PANORAMA COMPANY S.R.L.</t>
        </is>
      </c>
      <c r="J4" s="67" t="n">
        <v>412036.53</v>
      </c>
      <c r="O4" t="inlineStr">
        <is>
          <t>intercompany</t>
        </is>
      </c>
    </row>
    <row r="5">
      <c r="A5" t="n">
        <v>236</v>
      </c>
      <c r="B5" t="inlineStr">
        <is>
          <t>RISTORANTE GIARDINIELLO SRL</t>
        </is>
      </c>
      <c r="J5" s="67" t="n">
        <v>97.5</v>
      </c>
      <c r="O5" t="inlineStr">
        <is>
          <t>una_tantum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44" customWidth="1" style="69" min="2" max="2"/>
  </cols>
  <sheetData>
    <row r="1">
      <c r="A1" s="89" t="inlineStr">
        <is>
          <t>Fornitori NON mappati in d_fornitori.csv — assegnare una voce (hotelops fornitori) e rigenerare</t>
        </is>
      </c>
    </row>
    <row r="2">
      <c r="A2" s="89" t="inlineStr">
        <is>
          <t>Cod</t>
        </is>
      </c>
      <c r="B2" s="89" t="inlineStr">
        <is>
          <t>Nome (da export)</t>
        </is>
      </c>
      <c r="C2" s="89" t="inlineStr">
        <is>
          <t>GENNAIO</t>
        </is>
      </c>
      <c r="D2" s="89" t="inlineStr">
        <is>
          <t>FEBBRAIO</t>
        </is>
      </c>
      <c r="E2" s="89" t="inlineStr">
        <is>
          <t>MARZO</t>
        </is>
      </c>
      <c r="F2" s="89" t="inlineStr">
        <is>
          <t>APRILE</t>
        </is>
      </c>
      <c r="G2" s="89" t="inlineStr">
        <is>
          <t>MAGGIO</t>
        </is>
      </c>
      <c r="H2" s="89" t="inlineStr">
        <is>
          <t>GIUGNO</t>
        </is>
      </c>
      <c r="I2" s="89" t="inlineStr">
        <is>
          <t>LUGLIO</t>
        </is>
      </c>
      <c r="J2" s="89" t="inlineStr">
        <is>
          <t>AGOSTO</t>
        </is>
      </c>
      <c r="K2" s="89" t="inlineStr">
        <is>
          <t>SETTEMBRE</t>
        </is>
      </c>
      <c r="L2" s="89" t="inlineStr">
        <is>
          <t>OTTOBRE</t>
        </is>
      </c>
      <c r="M2" s="89" t="inlineStr">
        <is>
          <t>NOVEMBRE</t>
        </is>
      </c>
      <c r="N2" s="89" t="inlineStr">
        <is>
          <t>DICEMBRE</t>
        </is>
      </c>
    </row>
    <row r="3">
      <c r="A3" t="n">
        <v>671</v>
      </c>
      <c r="B3" t="inlineStr">
        <is>
          <t>2A SYSTEMS SRL</t>
        </is>
      </c>
      <c r="K3" s="67" t="n">
        <v>220</v>
      </c>
    </row>
    <row r="4">
      <c r="A4" t="n">
        <v>722</v>
      </c>
      <c r="B4" t="inlineStr">
        <is>
          <t>Barbella Srl</t>
        </is>
      </c>
      <c r="K4" s="67" t="n">
        <v>939.4</v>
      </c>
    </row>
    <row r="5">
      <c r="A5" t="n">
        <v>654</v>
      </c>
      <c r="B5" t="inlineStr">
        <is>
          <t>GOOGLE CLOUD ITALY S.R.L.</t>
        </is>
      </c>
      <c r="K5" s="67" t="n">
        <v>205.4</v>
      </c>
    </row>
    <row r="6">
      <c r="A6" t="n">
        <v>921</v>
      </c>
      <c r="B6" t="inlineStr">
        <is>
          <t>IL CENTRO C.S.C. SRL</t>
        </is>
      </c>
      <c r="K6" s="67" t="n">
        <v>688.2</v>
      </c>
    </row>
    <row r="7">
      <c r="A7" t="n">
        <v>1911</v>
      </c>
      <c r="B7" t="inlineStr">
        <is>
          <t>Masucci Marco</t>
        </is>
      </c>
      <c r="K7" s="67" t="n">
        <v>761.28</v>
      </c>
    </row>
    <row r="8">
      <c r="A8" t="n">
        <v>414</v>
      </c>
      <c r="B8" t="inlineStr">
        <is>
          <t>NEXI PAYMENTS S.p.A.</t>
        </is>
      </c>
      <c r="K8" s="67" t="n">
        <v>12.81</v>
      </c>
    </row>
    <row r="9">
      <c r="A9" t="n">
        <v>1890</v>
      </c>
      <c r="B9" t="inlineStr">
        <is>
          <t>Tsemplifico soc. coop.</t>
        </is>
      </c>
      <c r="K9" s="67" t="n">
        <v>1830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44" customWidth="1" style="69" min="2" max="2"/>
    <col width="32" customWidth="1" style="69" min="15" max="15"/>
  </cols>
  <sheetData>
    <row r="1">
      <c r="A1" s="89" t="inlineStr">
        <is>
          <t>Fornitori ESCLUSI dalla cassa per scelta (is_excluded) — fuori dal saldo proiettato. NON sono un TODO: il motivo è in colonna Motivo.</t>
        </is>
      </c>
    </row>
    <row r="2">
      <c r="A2" s="89" t="inlineStr">
        <is>
          <t>Cod</t>
        </is>
      </c>
      <c r="B2" s="89" t="inlineStr">
        <is>
          <t>Nome (da CSV)</t>
        </is>
      </c>
      <c r="C2" s="89" t="inlineStr">
        <is>
          <t>GENNAIO</t>
        </is>
      </c>
      <c r="D2" s="89" t="inlineStr">
        <is>
          <t>FEBBRAIO</t>
        </is>
      </c>
      <c r="E2" s="89" t="inlineStr">
        <is>
          <t>MARZO</t>
        </is>
      </c>
      <c r="F2" s="89" t="inlineStr">
        <is>
          <t>APRILE</t>
        </is>
      </c>
      <c r="G2" s="89" t="inlineStr">
        <is>
          <t>MAGGIO</t>
        </is>
      </c>
      <c r="H2" s="89" t="inlineStr">
        <is>
          <t>GIUGNO</t>
        </is>
      </c>
      <c r="I2" s="89" t="inlineStr">
        <is>
          <t>LUGLIO</t>
        </is>
      </c>
      <c r="J2" s="89" t="inlineStr">
        <is>
          <t>AGOSTO</t>
        </is>
      </c>
      <c r="K2" s="89" t="inlineStr">
        <is>
          <t>SETTEMBRE</t>
        </is>
      </c>
      <c r="L2" s="89" t="inlineStr">
        <is>
          <t>OTTOBRE</t>
        </is>
      </c>
      <c r="M2" s="89" t="inlineStr">
        <is>
          <t>NOVEMBRE</t>
        </is>
      </c>
      <c r="N2" s="89" t="inlineStr">
        <is>
          <t>DICEMBRE</t>
        </is>
      </c>
      <c r="O2" s="89" t="inlineStr">
        <is>
          <t>Motivo</t>
        </is>
      </c>
    </row>
    <row r="3">
      <c r="A3" t="n">
        <v>1033</v>
      </c>
      <c r="B3" t="inlineStr">
        <is>
          <t>EURO GROUP NETWORK S.R.L.</t>
        </is>
      </c>
      <c r="K3" s="67" t="n">
        <v>31.99</v>
      </c>
      <c r="O3" t="inlineStr">
        <is>
          <t>una_tantum</t>
        </is>
      </c>
    </row>
    <row r="4">
      <c r="A4" t="n">
        <v>1048</v>
      </c>
      <c r="B4" t="inlineStr">
        <is>
          <t>MEDITERRANEO SNC DI TRAMONTANO</t>
        </is>
      </c>
      <c r="K4" s="67" t="n">
        <v>59.99</v>
      </c>
      <c r="O4" t="inlineStr">
        <is>
          <t>una_tantum</t>
        </is>
      </c>
    </row>
    <row r="5">
      <c r="A5" t="n">
        <v>264</v>
      </c>
      <c r="B5" t="inlineStr">
        <is>
          <t>PANORAMA COMPANY S.R.L.</t>
        </is>
      </c>
      <c r="K5" s="67" t="n">
        <v>412036.53</v>
      </c>
      <c r="O5" t="inlineStr">
        <is>
          <t>intercompany</t>
        </is>
      </c>
    </row>
    <row r="6">
      <c r="A6" t="n">
        <v>796</v>
      </c>
      <c r="B6" t="inlineStr">
        <is>
          <t>RAIA LIBERATO</t>
        </is>
      </c>
      <c r="K6" s="67" t="n">
        <v>66.01000000000001</v>
      </c>
      <c r="O6" t="inlineStr">
        <is>
          <t>una_tantum</t>
        </is>
      </c>
    </row>
    <row r="7">
      <c r="A7" t="n">
        <v>236</v>
      </c>
      <c r="B7" t="inlineStr">
        <is>
          <t>RISTORANTE GIARDINIELLO SRL</t>
        </is>
      </c>
      <c r="K7" s="67" t="n">
        <v>97.5</v>
      </c>
      <c r="O7" t="inlineStr">
        <is>
          <t>una_tantum</t>
        </is>
      </c>
    </row>
    <row r="8">
      <c r="A8" t="n">
        <v>85</v>
      </c>
      <c r="B8" t="inlineStr">
        <is>
          <t>TECNO CAMPANIA SRL</t>
        </is>
      </c>
      <c r="K8" s="67" t="n">
        <v>45440</v>
      </c>
      <c r="O8" t="inlineStr">
        <is>
          <t>una_tantum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Antonio Russo</dc:creator>
  <dcterms:created xmlns:dcterms="http://purl.org/dc/terms/" xmlns:xsi="http://www.w3.org/2001/XMLSchema-instance" xsi:type="dcterms:W3CDTF">2024-09-13T09:28:39Z</dcterms:created>
  <dcterms:modified xmlns:dcterms="http://purl.org/dc/terms/" xmlns:xsi="http://www.w3.org/2001/XMLSchema-instance" xsi:type="dcterms:W3CDTF">2026-10-26T14:58:33Z</dcterms:modified>
  <cp:lastModifiedBy>Amministrazione</cp:lastModifiedBy>
</cp:coreProperties>
</file>