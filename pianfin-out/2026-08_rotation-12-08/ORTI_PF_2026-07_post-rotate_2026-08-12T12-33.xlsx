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140" tabRatio="600" firstSheet="4" activeTab="11" autoFilterDateGrouping="1"/>
  </bookViews>
  <sheets>
    <sheet xmlns:r="http://schemas.openxmlformats.org/officeDocument/2006/relationships" name="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s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Commisisoni Portali" sheetId="7" state="visible" r:id="rId7"/>
    <sheet xmlns:r="http://schemas.openxmlformats.org/officeDocument/2006/relationships" name="Mutui e Finaziamenti" sheetId="8" state="visible" r:id="rId8"/>
    <sheet xmlns:r="http://schemas.openxmlformats.org/officeDocument/2006/relationships" name="Consulenze" sheetId="9" state="visible" r:id="rId9"/>
    <sheet xmlns:r="http://schemas.openxmlformats.org/officeDocument/2006/relationships" name="Godimento Beni di Terzi" sheetId="10" state="visible" r:id="rId10"/>
    <sheet xmlns:r="http://schemas.openxmlformats.org/officeDocument/2006/relationships" name="Canoni e servizi" sheetId="11" state="visible" r:id="rId11"/>
    <sheet xmlns:r="http://schemas.openxmlformats.org/officeDocument/2006/relationships" name=" Varie ed Eventuali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DA MAPPARE2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€-2]\ * #,##0.00_-;\-[$€-2]\ * #,##0.00_-;_-[$€-2]\ * &quot;-&quot;??_-;_-@"/>
    <numFmt numFmtId="165" formatCode="d/m/yyyy"/>
    <numFmt numFmtId="166" formatCode="_([$€-2]\ * #,##0.00_);_([$€-2]\ * \(#,##0.00\);_([$€-2]\ * &quot;-&quot;??_);_(@_)"/>
    <numFmt numFmtId="167" formatCode="_-[$€-2]* #,##0.00_-;_-[$€-2]* \-#,##0.00_-;_-[$€-2]* &quot;-&quot;??_-;_-@"/>
  </numFmts>
  <fonts count="52">
    <font>
      <name val="Aptos Narrow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rgb="FF1F3864"/>
      <sz val="16"/>
    </font>
    <font>
      <name val="Arial"/>
      <family val="2"/>
      <b val="1"/>
      <color theme="1"/>
      <sz val="11"/>
    </font>
    <font>
      <name val="Aptos Narrow"/>
      <color theme="1"/>
      <sz val="12"/>
    </font>
    <font>
      <name val="Calibri"/>
      <family val="2"/>
      <b val="1"/>
      <color rgb="FF1F3864"/>
      <sz val="20"/>
    </font>
    <font>
      <name val="Arial"/>
      <family val="2"/>
      <b val="1"/>
      <color rgb="FF1F3864"/>
      <sz val="14"/>
    </font>
    <font>
      <name val="Calibri"/>
      <family val="2"/>
      <color theme="1"/>
      <sz val="12"/>
    </font>
    <font>
      <name val="Calibri"/>
      <family val="2"/>
      <b val="1"/>
      <color rgb="FF1F3864"/>
      <sz val="14"/>
    </font>
    <font>
      <name val="Arial"/>
      <family val="2"/>
      <i val="1"/>
      <color rgb="FF80808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1"/>
    </font>
    <font>
      <name val="Calibri"/>
      <family val="2"/>
      <b val="1"/>
      <color rgb="FF4472C4"/>
      <sz val="14"/>
    </font>
    <font>
      <name val="Calibri"/>
      <family val="2"/>
      <b val="1"/>
      <color rgb="FFFFFFFF"/>
      <sz val="12"/>
    </font>
    <font>
      <name val="Arial"/>
      <family val="2"/>
      <color rgb="FF333333"/>
      <sz val="11"/>
    </font>
    <font>
      <name val="Arial"/>
      <family val="2"/>
      <b val="1"/>
      <color rgb="FF006100"/>
      <sz val="11"/>
    </font>
    <font>
      <name val="Calibri"/>
      <family val="2"/>
      <color rgb="FFFFFFFF"/>
      <sz val="12"/>
    </font>
    <font>
      <name val="Calibri"/>
      <family val="2"/>
      <b val="1"/>
      <color rgb="FFC00000"/>
      <sz val="12"/>
    </font>
    <font>
      <name val="Aptos Narrow"/>
      <b val="1"/>
      <color theme="1"/>
      <sz val="12"/>
    </font>
    <font>
      <name val="Calibri"/>
      <family val="2"/>
      <b val="1"/>
      <color rgb="FF1F3864"/>
      <sz val="12"/>
    </font>
    <font>
      <name val="Arial"/>
      <family val="2"/>
      <b val="1"/>
      <color rgb="FF000000"/>
      <sz val="11"/>
    </font>
    <font>
      <name val="Calibri"/>
      <family val="2"/>
      <color rgb="FF000000"/>
      <sz val="12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  <u val="single"/>
    </font>
    <font>
      <name val="Aptos Narrow"/>
      <b val="1"/>
      <color theme="1"/>
      <sz val="12"/>
      <u val="single"/>
    </font>
    <font>
      <name val="Arial"/>
      <family val="2"/>
      <color rgb="FF006100"/>
      <sz val="11"/>
    </font>
    <font>
      <name val="Calibri"/>
      <family val="2"/>
      <b val="1"/>
      <color rgb="FF000000"/>
      <sz val="12"/>
    </font>
    <font>
      <name val="Calibri"/>
      <family val="2"/>
      <b val="1"/>
      <color theme="1"/>
      <sz val="12"/>
    </font>
    <font>
      <name val="Calibri"/>
      <family val="2"/>
      <b val="1"/>
      <color rgb="FFC00000"/>
      <sz val="12"/>
      <u val="single"/>
    </font>
    <font>
      <name val="Calibri"/>
      <family val="2"/>
      <b val="1"/>
      <color rgb="FF1F3864"/>
      <sz val="12"/>
      <u val="single"/>
    </font>
    <font>
      <name val="Calibri"/>
      <family val="2"/>
      <b val="1"/>
      <i val="1"/>
      <color rgb="FF0070C0"/>
      <sz val="12"/>
    </font>
    <font>
      <name val="Calibri"/>
      <family val="2"/>
      <color rgb="FF0000FF"/>
      <sz val="12"/>
    </font>
    <font>
      <name val="Calibri"/>
      <family val="2"/>
      <b val="1"/>
      <color rgb="FF006100"/>
      <sz val="12"/>
      <u val="single"/>
    </font>
    <font>
      <name val="Calibri"/>
      <family val="2"/>
      <b val="1"/>
      <color rgb="FF006100"/>
      <sz val="12"/>
    </font>
    <font>
      <name val="Calibri"/>
      <family val="2"/>
      <b val="1"/>
      <color rgb="FF1F3864"/>
      <sz val="13"/>
    </font>
    <font>
      <name val="Calibri"/>
      <family val="2"/>
      <b val="1"/>
      <color theme="1"/>
      <sz val="13"/>
      <u val="single"/>
    </font>
    <font>
      <name val="Calibri"/>
      <family val="2"/>
      <b val="1"/>
      <color theme="1"/>
      <sz val="13"/>
    </font>
    <font>
      <name val="Calibri"/>
      <family val="2"/>
      <color rgb="FFFF0000"/>
      <sz val="12"/>
    </font>
    <font>
      <name val="Calibri"/>
      <family val="2"/>
      <b val="1"/>
      <color rgb="FF7030A0"/>
      <sz val="12"/>
      <u val="single"/>
    </font>
    <font>
      <name val="Calibri"/>
      <family val="2"/>
      <b val="1"/>
      <color rgb="FF7030A0"/>
      <sz val="12"/>
    </font>
    <font>
      <name val="Arial"/>
      <family val="2"/>
      <b val="1"/>
      <color rgb="FF006100"/>
      <sz val="14"/>
    </font>
    <font>
      <name val="Arial"/>
      <family val="2"/>
      <b val="1"/>
      <color rgb="FF7F6000"/>
      <sz val="11"/>
    </font>
    <font>
      <name val="Arial"/>
      <family val="2"/>
      <b val="1"/>
      <i val="1"/>
      <color rgb="FF7F6000"/>
      <sz val="11"/>
    </font>
    <font>
      <name val="Arial"/>
      <family val="2"/>
      <b val="1"/>
      <color rgb="FFFF0000"/>
      <sz val="11"/>
    </font>
    <font>
      <name val="Arial"/>
      <family val="2"/>
      <color rgb="FF0000FF"/>
      <sz val="11"/>
      <u val="single"/>
    </font>
    <font>
      <name val="Aptos Narrow"/>
      <color theme="1"/>
      <sz val="12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 style="medium">
        <color rgb="FF1F3864"/>
      </bottom>
      <diagonal/>
    </border>
    <border>
      <left/>
      <right/>
      <top style="thin">
        <color rgb="FF006100"/>
      </top>
      <bottom style="double">
        <color rgb="FF006100"/>
      </bottom>
      <diagonal/>
    </border>
    <border>
      <left style="thin">
        <color rgb="FF000000"/>
      </left>
      <right/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0061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B4C6E7"/>
      </left>
      <right/>
      <top style="thin">
        <color rgb="FF000000"/>
      </top>
      <bottom style="dotted">
        <color rgb="FFB4C6E7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/>
      <top style="dotted">
        <color rgb="FFB4C6E7"/>
      </top>
      <bottom style="dotted">
        <color rgb="FFB4C6E7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C00000"/>
      </bottom>
      <diagonal/>
    </border>
    <border>
      <left/>
      <right/>
      <top style="thin">
        <color rgb="FF1F3864"/>
      </top>
      <bottom style="double">
        <color rgb="FF1F3864"/>
      </bottom>
      <diagonal/>
    </border>
    <border>
      <left/>
      <right style="dotted">
        <color rgb="FFB4C6E7"/>
      </right>
      <top style="dotted">
        <color rgb="FFB4C6E7"/>
      </top>
      <bottom style="dotted">
        <color rgb="FFB4C6E7"/>
      </bottom>
      <diagonal/>
    </border>
    <border>
      <left/>
      <right/>
      <top style="thin">
        <color rgb="FF000000"/>
      </top>
      <bottom style="double">
        <color rgb="FF0061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7030A0"/>
      </bottom>
      <diagonal/>
    </border>
    <border>
      <left/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  <diagonal/>
    </border>
    <border>
      <left style="dotted">
        <color rgb="FFB4C6E7"/>
      </left>
      <right/>
      <top style="dotted">
        <color rgb="FFB4C6E7"/>
      </top>
      <bottom style="double">
        <color rgb="FF000000"/>
      </bottom>
      <diagonal/>
    </border>
    <border>
      <left/>
      <right/>
      <top style="double">
        <color rgb="FF006100"/>
      </top>
      <bottom style="double">
        <color rgb="FF0061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 style="thin">
        <color rgb="FF000000"/>
      </left>
      <right style="double">
        <color rgb="FF000000"/>
      </right>
      <top/>
      <bottom style="medium">
        <color rgb="FF1F3864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tted">
        <color rgb="FFB4C6E7"/>
      </left>
      <right style="double">
        <color rgb="FF1F3864"/>
      </right>
      <top style="thin">
        <color rgb="FF000000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tted">
        <color rgb="FFB4C6E7"/>
      </bottom>
      <diagonal/>
    </border>
    <border>
      <left style="dotted">
        <color rgb="FFB4C6E7"/>
      </left>
      <right style="double">
        <color rgb="FF1F3864"/>
      </right>
      <top style="dotted">
        <color rgb="FFB4C6E7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</borders>
  <cellStyleXfs count="1">
    <xf numFmtId="0" fontId="50" fillId="0" borderId="1"/>
  </cellStyleXfs>
  <cellXfs count="16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2" borderId="1" pivotButton="0" quotePrefix="0" xfId="0"/>
    <xf numFmtId="0" fontId="9" fillId="2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4" borderId="4" applyAlignment="1" pivotButton="0" quotePrefix="0" xfId="0">
      <alignment horizontal="center"/>
    </xf>
    <xf numFmtId="0" fontId="12" fillId="5" borderId="5" pivotButton="0" quotePrefix="0" xfId="0"/>
    <xf numFmtId="0" fontId="14" fillId="4" borderId="6" applyAlignment="1" pivotButton="0" quotePrefix="0" xfId="0">
      <alignment horizontal="center"/>
    </xf>
    <xf numFmtId="0" fontId="14" fillId="4" borderId="7" applyAlignment="1" pivotButton="0" quotePrefix="0" xfId="0">
      <alignment horizontal="center"/>
    </xf>
    <xf numFmtId="0" fontId="15" fillId="2" borderId="1" pivotButton="0" quotePrefix="0" xfId="0"/>
    <xf numFmtId="0" fontId="16" fillId="6" borderId="8" pivotButton="0" quotePrefix="0" xfId="0"/>
    <xf numFmtId="0" fontId="14" fillId="4" borderId="9" applyAlignment="1" pivotButton="0" quotePrefix="0" xfId="0">
      <alignment horizontal="center"/>
    </xf>
    <xf numFmtId="164" fontId="16" fillId="6" borderId="8" pivotButton="0" quotePrefix="0" xfId="0"/>
    <xf numFmtId="0" fontId="3" fillId="0" borderId="10" applyAlignment="1" pivotButton="0" quotePrefix="0" xfId="0">
      <alignment horizontal="center"/>
    </xf>
    <xf numFmtId="0" fontId="16" fillId="6" borderId="1" applyAlignment="1" pivotButton="0" quotePrefix="0" xfId="0">
      <alignment horizontal="center"/>
    </xf>
    <xf numFmtId="0" fontId="17" fillId="2" borderId="1" applyAlignment="1" pivotButton="0" quotePrefix="0" xfId="0">
      <alignment horizontal="center"/>
    </xf>
    <xf numFmtId="0" fontId="14" fillId="2" borderId="11" applyAlignment="1" pivotButton="0" quotePrefix="0" xfId="0">
      <alignment horizontal="center"/>
    </xf>
    <xf numFmtId="164" fontId="16" fillId="6" borderId="12" applyAlignment="1" pivotButton="0" quotePrefix="0" xfId="0">
      <alignment horizontal="right"/>
    </xf>
    <xf numFmtId="0" fontId="14" fillId="2" borderId="13" applyAlignment="1" pivotButton="0" quotePrefix="0" xfId="0">
      <alignment horizontal="center"/>
    </xf>
    <xf numFmtId="0" fontId="18" fillId="5" borderId="1" applyAlignment="1" pivotButton="0" quotePrefix="0" xfId="0">
      <alignment horizontal="left"/>
    </xf>
    <xf numFmtId="0" fontId="19" fillId="0" borderId="0" pivotButton="0" quotePrefix="0" xfId="0"/>
    <xf numFmtId="0" fontId="20" fillId="5" borderId="1" pivotButton="0" quotePrefix="0" xfId="0"/>
    <xf numFmtId="164" fontId="16" fillId="6" borderId="8" applyAlignment="1" pivotButton="0" quotePrefix="0" xfId="0">
      <alignment horizontal="right"/>
    </xf>
    <xf numFmtId="164" fontId="20" fillId="5" borderId="14" applyAlignment="1" pivotButton="0" quotePrefix="0" xfId="0">
      <alignment horizontal="right"/>
    </xf>
    <xf numFmtId="164" fontId="20" fillId="5" borderId="15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4" fontId="3" fillId="0" borderId="16" pivotButton="0" quotePrefix="0" xfId="0"/>
    <xf numFmtId="164" fontId="12" fillId="8" borderId="17" applyAlignment="1" pivotButton="0" quotePrefix="0" xfId="0">
      <alignment horizontal="right"/>
    </xf>
    <xf numFmtId="164" fontId="1" fillId="0" borderId="16" applyAlignment="1" pivotButton="0" quotePrefix="0" xfId="0">
      <alignment horizontal="right"/>
    </xf>
    <xf numFmtId="164" fontId="20" fillId="5" borderId="18" applyAlignment="1" pivotButton="0" quotePrefix="0" xfId="0">
      <alignment horizontal="right"/>
    </xf>
    <xf numFmtId="0" fontId="10" fillId="2" borderId="1" applyAlignment="1" pivotButton="0" quotePrefix="0" xfId="0">
      <alignment horizontal="left"/>
    </xf>
    <xf numFmtId="164" fontId="21" fillId="0" borderId="16" applyAlignment="1" pivotButton="0" quotePrefix="0" xfId="0">
      <alignment horizontal="left"/>
    </xf>
    <xf numFmtId="0" fontId="9" fillId="2" borderId="1" pivotButton="0" quotePrefix="0" xfId="0"/>
    <xf numFmtId="0" fontId="7" fillId="9" borderId="1" applyAlignment="1" pivotButton="0" quotePrefix="0" xfId="0">
      <alignment horizontal="left"/>
    </xf>
    <xf numFmtId="0" fontId="7" fillId="9" borderId="1" pivotButton="0" quotePrefix="0" xfId="0"/>
    <xf numFmtId="164" fontId="3" fillId="0" borderId="19" pivotButton="0" quotePrefix="0" xfId="0"/>
    <xf numFmtId="164" fontId="7" fillId="9" borderId="20" applyAlignment="1" pivotButton="0" quotePrefix="0" xfId="0">
      <alignment horizontal="right"/>
    </xf>
    <xf numFmtId="164" fontId="7" fillId="9" borderId="21" applyAlignment="1" pivotButton="0" quotePrefix="0" xfId="0">
      <alignment horizontal="right"/>
    </xf>
    <xf numFmtId="164" fontId="12" fillId="8" borderId="19" applyAlignment="1" pivotButton="0" quotePrefix="0" xfId="0">
      <alignment horizontal="right"/>
    </xf>
    <xf numFmtId="164" fontId="1" fillId="10" borderId="17" applyAlignment="1" pivotButton="0" quotePrefix="0" xfId="0">
      <alignment horizontal="right"/>
    </xf>
    <xf numFmtId="164" fontId="1" fillId="0" borderId="19" applyAlignment="1" pivotButton="0" quotePrefix="0" xfId="0">
      <alignment horizontal="right"/>
    </xf>
    <xf numFmtId="164" fontId="7" fillId="9" borderId="22" applyAlignment="1" pivotButton="0" quotePrefix="0" xfId="0">
      <alignment horizontal="right"/>
    </xf>
    <xf numFmtId="0" fontId="4" fillId="11" borderId="1" pivotButton="0" quotePrefix="0" xfId="0"/>
    <xf numFmtId="164" fontId="10" fillId="0" borderId="16" applyAlignment="1" pivotButton="0" quotePrefix="0" xfId="0">
      <alignment horizontal="right"/>
    </xf>
    <xf numFmtId="0" fontId="22" fillId="2" borderId="1" applyAlignment="1" pivotButton="0" quotePrefix="0" xfId="0">
      <alignment horizontal="left"/>
    </xf>
    <xf numFmtId="0" fontId="7" fillId="0" borderId="0" pivotButton="0" quotePrefix="0" xfId="0"/>
    <xf numFmtId="164" fontId="7" fillId="0" borderId="20" applyAlignment="1" pivotButton="0" quotePrefix="0" xfId="0">
      <alignment horizontal="right"/>
    </xf>
    <xf numFmtId="164" fontId="7" fillId="0" borderId="21" applyAlignment="1" pivotButton="0" quotePrefix="0" xfId="0">
      <alignment horizontal="right"/>
    </xf>
    <xf numFmtId="164" fontId="21" fillId="0" borderId="19" applyAlignment="1" pivotButton="0" quotePrefix="0" xfId="0">
      <alignment horizontal="left"/>
    </xf>
    <xf numFmtId="164" fontId="1" fillId="10" borderId="19" applyAlignment="1" pivotButton="0" quotePrefix="0" xfId="0">
      <alignment horizontal="right"/>
    </xf>
    <xf numFmtId="164" fontId="7" fillId="0" borderId="23" applyAlignment="1" pivotButton="0" quotePrefix="0" xfId="0">
      <alignment horizontal="right"/>
    </xf>
    <xf numFmtId="164" fontId="10" fillId="0" borderId="19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64" fontId="1" fillId="0" borderId="19" pivotButton="0" quotePrefix="0" xfId="0"/>
    <xf numFmtId="164" fontId="23" fillId="6" borderId="12" applyAlignment="1" pivotButton="0" quotePrefix="0" xfId="0">
      <alignment horizontal="left"/>
    </xf>
    <xf numFmtId="164" fontId="24" fillId="6" borderId="12" pivotButton="0" quotePrefix="0" xfId="0"/>
    <xf numFmtId="164" fontId="25" fillId="6" borderId="24" applyAlignment="1" pivotButton="0" quotePrefix="0" xfId="0">
      <alignment horizontal="right"/>
    </xf>
    <xf numFmtId="164" fontId="26" fillId="6" borderId="21" applyAlignment="1" pivotButton="0" quotePrefix="0" xfId="0">
      <alignment horizontal="right"/>
    </xf>
    <xf numFmtId="164" fontId="27" fillId="6" borderId="22" applyAlignment="1" pivotButton="0" quotePrefix="0" xfId="0">
      <alignment horizontal="right"/>
    </xf>
    <xf numFmtId="0" fontId="29" fillId="0" borderId="0" pivotButton="0" quotePrefix="0" xfId="0"/>
    <xf numFmtId="164" fontId="7" fillId="9" borderId="24" applyAlignment="1" pivotButton="0" quotePrefix="0" xfId="0">
      <alignment horizontal="right"/>
    </xf>
    <xf numFmtId="0" fontId="30" fillId="2" borderId="1" pivotButton="0" quotePrefix="0" xfId="0"/>
    <xf numFmtId="0" fontId="7" fillId="0" borderId="23" applyAlignment="1" pivotButton="0" quotePrefix="0" xfId="0">
      <alignment horizontal="right"/>
    </xf>
    <xf numFmtId="0" fontId="31" fillId="2" borderId="1" applyAlignment="1" pivotButton="0" quotePrefix="0" xfId="0">
      <alignment horizontal="left"/>
    </xf>
    <xf numFmtId="0" fontId="32" fillId="0" borderId="0" pivotButton="0" quotePrefix="0" xfId="0"/>
    <xf numFmtId="164" fontId="32" fillId="0" borderId="20" applyAlignment="1" pivotButton="0" quotePrefix="0" xfId="0">
      <alignment horizontal="right"/>
    </xf>
    <xf numFmtId="164" fontId="32" fillId="0" borderId="21" applyAlignment="1" pivotButton="0" quotePrefix="0" xfId="0">
      <alignment horizontal="right"/>
    </xf>
    <xf numFmtId="164" fontId="32" fillId="0" borderId="23" applyAlignment="1" pivotButton="0" quotePrefix="0" xfId="0">
      <alignment horizontal="right"/>
    </xf>
    <xf numFmtId="164" fontId="33" fillId="12" borderId="25" applyAlignment="1" pivotButton="0" quotePrefix="0" xfId="0">
      <alignment horizontal="left"/>
    </xf>
    <xf numFmtId="164" fontId="18" fillId="12" borderId="25" pivotButton="0" quotePrefix="0" xfId="0"/>
    <xf numFmtId="164" fontId="18" fillId="12" borderId="24" applyAlignment="1" pivotButton="0" quotePrefix="0" xfId="0">
      <alignment horizontal="right"/>
    </xf>
    <xf numFmtId="164" fontId="18" fillId="12" borderId="21" applyAlignment="1" pivotButton="0" quotePrefix="0" xfId="0">
      <alignment horizontal="right"/>
    </xf>
    <xf numFmtId="164" fontId="18" fillId="12" borderId="22" applyAlignment="1" pivotButton="0" quotePrefix="0" xfId="0">
      <alignment horizontal="right"/>
    </xf>
    <xf numFmtId="164" fontId="34" fillId="5" borderId="26" applyAlignment="1" pivotButton="0" quotePrefix="0" xfId="0">
      <alignment horizontal="left"/>
    </xf>
    <xf numFmtId="164" fontId="20" fillId="5" borderId="26" pivotButton="0" quotePrefix="0" xfId="0"/>
    <xf numFmtId="164" fontId="20" fillId="5" borderId="24" applyAlignment="1" pivotButton="0" quotePrefix="0" xfId="0">
      <alignment horizontal="right"/>
    </xf>
    <xf numFmtId="164" fontId="20" fillId="5" borderId="21" applyAlignment="1" pivotButton="0" quotePrefix="0" xfId="0">
      <alignment horizontal="right"/>
    </xf>
    <xf numFmtId="164" fontId="20" fillId="5" borderId="22" applyAlignment="1" pivotButton="0" quotePrefix="0" xfId="0">
      <alignment horizontal="right"/>
    </xf>
    <xf numFmtId="165" fontId="35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65" fontId="36" fillId="0" borderId="0" applyAlignment="1" pivotButton="0" quotePrefix="0" xfId="0">
      <alignment horizontal="right"/>
    </xf>
    <xf numFmtId="166" fontId="7" fillId="0" borderId="27" applyAlignment="1" pivotButton="0" quotePrefix="0" xfId="0">
      <alignment horizontal="right"/>
    </xf>
    <xf numFmtId="167" fontId="7" fillId="0" borderId="21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4" fontId="37" fillId="3" borderId="28" applyAlignment="1" pivotButton="0" quotePrefix="0" xfId="0">
      <alignment horizontal="left"/>
    </xf>
    <xf numFmtId="164" fontId="38" fillId="3" borderId="28" pivotButton="0" quotePrefix="0" xfId="0"/>
    <xf numFmtId="164" fontId="38" fillId="3" borderId="24" applyAlignment="1" pivotButton="0" quotePrefix="0" xfId="0">
      <alignment horizontal="right"/>
    </xf>
    <xf numFmtId="164" fontId="38" fillId="3" borderId="21" applyAlignment="1" pivotButton="0" quotePrefix="0" xfId="0">
      <alignment horizontal="right"/>
    </xf>
    <xf numFmtId="164" fontId="38" fillId="3" borderId="22" applyAlignment="1" pivotButton="0" quotePrefix="0" xfId="0">
      <alignment horizontal="right"/>
    </xf>
    <xf numFmtId="164" fontId="39" fillId="0" borderId="29" applyAlignment="1" pivotButton="0" quotePrefix="0" xfId="0">
      <alignment horizontal="left"/>
    </xf>
    <xf numFmtId="164" fontId="40" fillId="0" borderId="29" pivotButton="0" quotePrefix="0" xfId="0"/>
    <xf numFmtId="164" fontId="41" fillId="0" borderId="27" applyAlignment="1" pivotButton="0" quotePrefix="0" xfId="0">
      <alignment horizontal="right"/>
    </xf>
    <xf numFmtId="164" fontId="41" fillId="0" borderId="21" applyAlignment="1" pivotButton="0" quotePrefix="0" xfId="0">
      <alignment horizontal="right"/>
    </xf>
    <xf numFmtId="164" fontId="41" fillId="0" borderId="23" applyAlignment="1" pivotButton="0" quotePrefix="0" xfId="0">
      <alignment horizontal="right"/>
    </xf>
    <xf numFmtId="0" fontId="42" fillId="9" borderId="1" applyAlignment="1" pivotButton="0" quotePrefix="0" xfId="0">
      <alignment horizontal="left"/>
    </xf>
    <xf numFmtId="164" fontId="43" fillId="13" borderId="30" applyAlignment="1" pivotButton="0" quotePrefix="0" xfId="0">
      <alignment horizontal="left"/>
    </xf>
    <xf numFmtId="164" fontId="44" fillId="13" borderId="30" pivotButton="0" quotePrefix="0" xfId="0"/>
    <xf numFmtId="164" fontId="44" fillId="13" borderId="24" applyAlignment="1" pivotButton="0" quotePrefix="0" xfId="0">
      <alignment horizontal="right"/>
    </xf>
    <xf numFmtId="164" fontId="44" fillId="13" borderId="21" applyAlignment="1" pivotButton="0" quotePrefix="0" xfId="0">
      <alignment horizontal="right"/>
    </xf>
    <xf numFmtId="164" fontId="44" fillId="13" borderId="22" applyAlignment="1" pivotButton="0" quotePrefix="0" xfId="0">
      <alignment horizontal="right"/>
    </xf>
    <xf numFmtId="164" fontId="41" fillId="0" borderId="31" applyAlignment="1" pivotButton="0" quotePrefix="0" xfId="0">
      <alignment horizontal="right"/>
    </xf>
    <xf numFmtId="164" fontId="41" fillId="0" borderId="32" applyAlignment="1" pivotButton="0" quotePrefix="0" xfId="0">
      <alignment horizontal="right"/>
    </xf>
    <xf numFmtId="164" fontId="41" fillId="0" borderId="33" applyAlignment="1" pivotButton="0" quotePrefix="0" xfId="0">
      <alignment horizontal="right"/>
    </xf>
    <xf numFmtId="164" fontId="4" fillId="0" borderId="0" pivotButton="0" quotePrefix="0" xfId="0"/>
    <xf numFmtId="0" fontId="45" fillId="6" borderId="34" pivotButton="0" quotePrefix="0" xfId="0"/>
    <xf numFmtId="164" fontId="10" fillId="0" borderId="0" applyAlignment="1" pivotButton="0" quotePrefix="0" xfId="0">
      <alignment horizontal="left"/>
    </xf>
    <xf numFmtId="164" fontId="1" fillId="0" borderId="0" pivotButton="0" quotePrefix="0" xfId="0"/>
    <xf numFmtId="0" fontId="11" fillId="4" borderId="35" applyAlignment="1" pivotButton="0" quotePrefix="0" xfId="0">
      <alignment horizontal="center"/>
    </xf>
    <xf numFmtId="0" fontId="46" fillId="14" borderId="1" applyAlignment="1" pivotButton="0" quotePrefix="0" xfId="0">
      <alignment horizontal="center"/>
    </xf>
    <xf numFmtId="0" fontId="47" fillId="14" borderId="1" applyAlignment="1" pivotButton="0" quotePrefix="0" xfId="0">
      <alignment horizontal="center"/>
    </xf>
    <xf numFmtId="166" fontId="46" fillId="14" borderId="1" applyAlignment="1" pivotButton="0" quotePrefix="0" xfId="0">
      <alignment horizontal="center"/>
    </xf>
    <xf numFmtId="166" fontId="46" fillId="14" borderId="36" applyAlignment="1" pivotButton="0" quotePrefix="0" xfId="0">
      <alignment horizontal="right"/>
    </xf>
    <xf numFmtId="164" fontId="10" fillId="0" borderId="37" applyAlignment="1" pivotButton="0" quotePrefix="0" xfId="0">
      <alignment horizontal="right"/>
    </xf>
    <xf numFmtId="164" fontId="1" fillId="2" borderId="19" applyAlignment="1" pivotButton="0" quotePrefix="0" xfId="0">
      <alignment horizontal="right"/>
    </xf>
    <xf numFmtId="0" fontId="4" fillId="2" borderId="1" pivotButton="0" quotePrefix="0" xfId="0"/>
    <xf numFmtId="164" fontId="1" fillId="2" borderId="17" applyAlignment="1" pivotButton="0" quotePrefix="0" xfId="0">
      <alignment horizontal="right"/>
    </xf>
    <xf numFmtId="164" fontId="49" fillId="0" borderId="0" pivotButton="0" quotePrefix="0" xfId="0"/>
    <xf numFmtId="0" fontId="3" fillId="0" borderId="38" applyAlignment="1" pivotButton="0" quotePrefix="0" xfId="0">
      <alignment horizontal="center"/>
    </xf>
    <xf numFmtId="0" fontId="3" fillId="0" borderId="0" pivotButton="0" quotePrefix="0" xfId="0"/>
    <xf numFmtId="164" fontId="1" fillId="0" borderId="16" pivotButton="0" quotePrefix="0" xfId="0"/>
    <xf numFmtId="164" fontId="1" fillId="0" borderId="0" applyAlignment="1" pivotButton="0" quotePrefix="0" xfId="0">
      <alignment horizontal="right"/>
    </xf>
    <xf numFmtId="0" fontId="50" fillId="0" borderId="0" pivotButton="0" quotePrefix="0" xfId="0"/>
    <xf numFmtId="4" fontId="4" fillId="0" borderId="0" pivotButton="0" quotePrefix="0" xfId="0"/>
    <xf numFmtId="0" fontId="8" fillId="2" borderId="39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3" fillId="3" borderId="1" applyAlignment="1" pivotButton="0" quotePrefix="0" xfId="0">
      <alignment horizontal="left" vertical="center"/>
    </xf>
    <xf numFmtId="0" fontId="0" fillId="0" borderId="0" pivotButton="0" quotePrefix="0" xfId="0"/>
    <xf numFmtId="0" fontId="6" fillId="2" borderId="1" applyAlignment="1" pivotButton="0" quotePrefix="0" xfId="0">
      <alignment horizontal="center"/>
    </xf>
    <xf numFmtId="0" fontId="48" fillId="2" borderId="1" applyAlignment="1" pivotButton="0" quotePrefix="0" xfId="0">
      <alignment horizontal="left"/>
    </xf>
    <xf numFmtId="0" fontId="8" fillId="15" borderId="40" applyAlignment="1" pivotButton="0" quotePrefix="0" xfId="0">
      <alignment horizontal="center"/>
    </xf>
    <xf numFmtId="0" fontId="14" fillId="7" borderId="41" applyAlignment="1" pivotButton="0" quotePrefix="0" xfId="0">
      <alignment horizontal="center"/>
    </xf>
    <xf numFmtId="0" fontId="0" fillId="0" borderId="39" pivotButton="0" quotePrefix="0" xfId="0"/>
    <xf numFmtId="0" fontId="14" fillId="4" borderId="42" applyAlignment="1" pivotButton="0" quotePrefix="0" xfId="0">
      <alignment horizontal="center"/>
    </xf>
    <xf numFmtId="0" fontId="20" fillId="9" borderId="1" applyAlignment="1" pivotButton="0" quotePrefix="0" xfId="0">
      <alignment horizontal="right"/>
    </xf>
    <xf numFmtId="164" fontId="7" fillId="9" borderId="43" applyAlignment="1" pivotButton="0" quotePrefix="0" xfId="0">
      <alignment horizontal="right"/>
    </xf>
    <xf numFmtId="164" fontId="7" fillId="9" borderId="44" applyAlignment="1" pivotButton="0" quotePrefix="0" xfId="0">
      <alignment horizontal="right"/>
    </xf>
    <xf numFmtId="164" fontId="28" fillId="9" borderId="12" applyAlignment="1" pivotButton="0" quotePrefix="0" xfId="0">
      <alignment horizontal="right"/>
    </xf>
    <xf numFmtId="164" fontId="7" fillId="9" borderId="1" applyAlignment="1" pivotButton="0" quotePrefix="0" xfId="0">
      <alignment horizontal="right"/>
    </xf>
    <xf numFmtId="164" fontId="32" fillId="9" borderId="44" applyAlignment="1" pivotButton="0" quotePrefix="0" xfId="0">
      <alignment horizontal="right"/>
    </xf>
    <xf numFmtId="164" fontId="18" fillId="9" borderId="25" applyAlignment="1" pivotButton="0" quotePrefix="0" xfId="0">
      <alignment horizontal="right"/>
    </xf>
    <xf numFmtId="164" fontId="20" fillId="9" borderId="26" applyAlignment="1" pivotButton="0" quotePrefix="0" xfId="0">
      <alignment horizontal="right"/>
    </xf>
    <xf numFmtId="164" fontId="38" fillId="9" borderId="28" applyAlignment="1" pivotButton="0" quotePrefix="0" xfId="0">
      <alignment horizontal="right"/>
    </xf>
    <xf numFmtId="164" fontId="41" fillId="9" borderId="29" applyAlignment="1" pivotButton="0" quotePrefix="0" xfId="0">
      <alignment horizontal="right"/>
    </xf>
    <xf numFmtId="164" fontId="44" fillId="9" borderId="30" applyAlignment="1" pivotButton="0" quotePrefix="0" xfId="0">
      <alignment horizontal="right"/>
    </xf>
    <xf numFmtId="0" fontId="14" fillId="2" borderId="45" applyAlignment="1" pivotButton="0" quotePrefix="0" xfId="0">
      <alignment horizontal="center"/>
    </xf>
    <xf numFmtId="164" fontId="20" fillId="5" borderId="46" applyAlignment="1" pivotButton="0" quotePrefix="0" xfId="0">
      <alignment horizontal="right"/>
    </xf>
    <xf numFmtId="164" fontId="7" fillId="9" borderId="47" applyAlignment="1" pivotButton="0" quotePrefix="0" xfId="0">
      <alignment horizontal="right"/>
    </xf>
    <xf numFmtId="164" fontId="7" fillId="0" borderId="47" applyAlignment="1" pivotButton="0" quotePrefix="0" xfId="0">
      <alignment horizontal="right"/>
    </xf>
    <xf numFmtId="164" fontId="27" fillId="6" borderId="47" applyAlignment="1" pivotButton="0" quotePrefix="0" xfId="0">
      <alignment horizontal="right"/>
    </xf>
    <xf numFmtId="164" fontId="32" fillId="0" borderId="47" applyAlignment="1" pivotButton="0" quotePrefix="0" xfId="0">
      <alignment horizontal="right"/>
    </xf>
    <xf numFmtId="164" fontId="18" fillId="12" borderId="47" applyAlignment="1" pivotButton="0" quotePrefix="0" xfId="0">
      <alignment horizontal="right"/>
    </xf>
    <xf numFmtId="164" fontId="20" fillId="5" borderId="47" applyAlignment="1" pivotButton="0" quotePrefix="0" xfId="0">
      <alignment horizontal="right"/>
    </xf>
    <xf numFmtId="164" fontId="38" fillId="3" borderId="47" applyAlignment="1" pivotButton="0" quotePrefix="0" xfId="0">
      <alignment horizontal="right"/>
    </xf>
    <xf numFmtId="164" fontId="41" fillId="0" borderId="47" applyAlignment="1" pivotButton="0" quotePrefix="0" xfId="0">
      <alignment horizontal="right"/>
    </xf>
    <xf numFmtId="164" fontId="44" fillId="13" borderId="47" applyAlignment="1" pivotButton="0" quotePrefix="0" xfId="0">
      <alignment horizontal="right"/>
    </xf>
    <xf numFmtId="164" fontId="41" fillId="0" borderId="48" applyAlignment="1" pivotButton="0" quotePrefix="0" xfId="0">
      <alignment horizontal="right"/>
    </xf>
    <xf numFmtId="0" fontId="6" fillId="15" borderId="0" applyAlignment="1" pivotButton="0" quotePrefix="0" xfId="0">
      <alignment horizontal="center"/>
    </xf>
    <xf numFmtId="0" fontId="6" fillId="15" borderId="1" applyAlignment="1" pivotButton="0" quotePrefix="0" xfId="0">
      <alignment horizontal="center"/>
    </xf>
    <xf numFmtId="0" fontId="51" fillId="0" borderId="0" pivotButton="0" quotePrefix="0" xfId="0"/>
    <xf numFmtId="4" fontId="0" fillId="0" borderId="0" pivotButton="0" quotePrefix="0" xfId="0"/>
  </cellXfs>
  <cellStyles count="1">
    <cellStyle name="Normal" xfId="0" builtinId="0"/>
  </cellStyles>
  <dxfs count="6"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FFFFFF"/>
      </font>
      <fill>
        <patternFill patternType="solid">
          <fgColor rgb="FFC00000"/>
          <bgColor rgb="FFC00000"/>
        </patternFill>
      </fill>
    </dxf>
    <dxf>
      <font>
        <color rgb="FFFFFFFF"/>
      </font>
      <fill>
        <patternFill patternType="solid">
          <fgColor rgb="FF548235"/>
          <bgColor rgb="FF548235"/>
        </patternFill>
      </fill>
    </dxf>
    <dxf>
      <font>
        <color rgb="FFC00000"/>
      </font>
    </dxf>
    <dxf>
      <font>
        <color rgb="FF0061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None</author>
  </authors>
  <commentList>
    <comment ref="A14" authorId="0" shapeId="0">
      <text>
        <t>======
ID#AAACFWyTS2E
Antonio Russo    (2024-09-20 08:25:32)
Stima</t>
      </text>
    </comment>
    <comment ref="A16" authorId="0" shapeId="0">
      <text>
        <t>======
ID#AAACFWyTS1s
Economato Panorama Group    (2025-01-24 11:45:42)
Ripartato consuntivo da conto economico menisle 2024 secondo accordi con fornitori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H7" authorId="0" shapeId="0">
      <text>
        <t>======
ID#AAACFWyTS18
Amministrazione    (2025-01-28 16:04:53)
ACCONTO IVA 2025 - SCAD PAG 27/12/2025</t>
      </text>
    </comment>
    <comment ref="B10" authorId="0" shapeId="0">
      <text>
        <t>======
ID#AAACFWyTS10
Amministrazione    (2025-01-27 13:30:23)
33,33% del complessivo versato</t>
      </text>
    </comment>
    <comment ref="F15" authorId="0" shapeId="0">
      <text>
        <t>======
ID#AAACFWyTS14
Antonio Russo    (2025-11-11 09:45:57)
STIMA DI DINO SU UTILE DI 800K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4" authorId="0" shapeId="0">
      <text>
        <t>======
ID#AAACFWyTS2A
Economato Panorama Group    (2025-01-24 11:30:18)
Valore stimato su fatturato 2024</t>
      </text>
    </comment>
    <comment ref="B5" authorId="0" shapeId="0">
      <text>
        <t>======
ID#AAACFWyTS1w
Economato Panorama Group    (2025-01-24 11:30:25)
Valore stimato su fatturato 2024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5" authorId="0" shapeId="0">
      <text>
        <t>======
ID#AAACFWyTS2I
Amministrazione    (2025-10-22 08:36:07)
Avuto il dettaglio il 22/10/2025</t>
      </text>
    </comment>
    <comment ref="B14" authorId="0" shapeId="0">
      <text>
        <t>======
ID#AAACFWyTS1o
Economato Panorama Group    (2025-01-24 11:21:30)
Valore indicativo di € 8000,00 divisi per trimestri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://tur.com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4"/>
  <sheetViews>
    <sheetView workbookViewId="0">
      <selection activeCell="A1" sqref="A1"/>
    </sheetView>
  </sheetViews>
  <sheetFormatPr baseColWidth="10" defaultColWidth="11.1640625" defaultRowHeight="15" customHeight="1"/>
  <cols>
    <col width="58.33203125" customWidth="1" style="134" min="1" max="1"/>
    <col width="41.6640625" customWidth="1" style="134" min="2" max="2"/>
    <col width="10.5" customWidth="1" style="134" min="3" max="6"/>
    <col width="11.1640625" customWidth="1" style="134" min="7" max="26"/>
  </cols>
  <sheetData>
    <row r="1" ht="15.75" customHeight="1" s="134">
      <c r="A1" s="2" t="inlineStr">
        <is>
          <t>CONTROLLI PIANO FINANZIARIO — ORTI</t>
        </is>
      </c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134">
      <c r="A2" s="9" t="n"/>
      <c r="B2" s="9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5.75" customHeight="1" s="134">
      <c r="A3" s="13" t="inlineStr">
        <is>
          <t>1. SALDO PARTENZA</t>
        </is>
      </c>
      <c r="B3" s="13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134">
      <c r="A4" s="16" t="inlineStr">
        <is>
          <t>C4:E4 = saldi iniziali hardcoded (mesi chiusi)?</t>
        </is>
      </c>
      <c r="B4" s="21">
        <f>IF(OR(_xlfn.ISFORMULA('Piano Finanziario'!C4),_xlfn.ISFORMULA('Piano Finanziario'!D4),_xlfn.ISFORMULA('Piano Finanziario'!E4)),"ERRORE","OK")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34">
      <c r="A5" s="16" t="inlineStr">
        <is>
          <t>F4 = E37 (luglio parte da saldo reale giugno)?</t>
        </is>
      </c>
      <c r="B5" s="21">
        <f>IF('Piano Finanziario'!F4='Piano Finanziario'!E37,"OK","ERRORE")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34">
      <c r="A6" s="16" t="inlineStr">
        <is>
          <t>Catena F4:Q4 = mese prec riga 37?</t>
        </is>
      </c>
      <c r="B6" s="21">
        <f>IF(AND('Piano Finanziario'!F4='Piano Finanziario'!E37,'Piano Finanziario'!G4='Piano Finanziario'!F37,'Piano Finanziario'!H4='Piano Finanziario'!G37,'Piano Finanziario'!I4='Piano Finanziario'!H37,'Piano Finanziario'!J4='Piano Finanziario'!I37,'Piano Finanziario'!K4='Piano Finanziario'!J37,'Piano Finanziario'!L4='Piano Finanziario'!K37,'Piano Finanziario'!M4='Piano Finanziario'!L37,'Piano Finanziario'!N4='Piano Finanziario'!M37,'Piano Finanziario'!O4='Piano Finanziario'!N37,'Piano Finanziario'!P4='Piano Finanziario'!O37,'Piano Finanziario'!Q4='Piano Finanziario'!P37),"OK","ERRORE")</f>
        <v/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34">
      <c r="A7" s="39" t="inlineStr">
        <is>
          <t>(non applicabile — mesi passati rimossi)</t>
        </is>
      </c>
      <c r="B7" s="21" t="inlineStr">
        <is>
          <t>OK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34">
      <c r="A8" s="9" t="n"/>
      <c r="B8" s="9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34">
      <c r="A9" s="13" t="inlineStr">
        <is>
          <t>2. TOTALE ENTRATE (riga 12)</t>
        </is>
      </c>
      <c r="B9" s="13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34">
      <c r="A10" s="16" t="inlineStr">
        <is>
          <t>Riga 12 = SUM(6:11) per mesi C:K?</t>
        </is>
      </c>
      <c r="B10" s="21">
        <f>IF(AND('Piano Finanziario'!C12=SUM('Piano Finanziario'!C6:'Piano Finanziario'!C11),'Piano Finanziario'!D12=SUM('Piano Finanziario'!D6:'Piano Finanziario'!D11),'Piano Finanziario'!E12=SUM('Piano Finanziario'!E6:'Piano Finanziario'!E11),'Piano Finanziario'!F12=SUM('Piano Finanziario'!F6:'Piano Finanziario'!F11),'Piano Finanziario'!G12=SUM('Piano Finanziario'!G6:'Piano Finanziario'!G11),'Piano Finanziario'!H12=SUM('Piano Finanziario'!H6:'Piano Finanziario'!H11),'Piano Finanziario'!I12=SUM('Piano Finanziario'!I6:'Piano Finanziario'!I11),'Piano Finanziario'!J12=SUM('Piano Finanziario'!J6:'Piano Finanziario'!J11),'Piano Finanziario'!K12=SUM('Piano Finanziario'!K6:'Piano Finanziario'!K11)),"OK","ERRORE")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34">
      <c r="A11" s="9" t="n"/>
      <c r="B11" s="9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34">
      <c r="A12" s="13" t="inlineStr">
        <is>
          <t>3. TOTALE USCITE (riga 27)</t>
        </is>
      </c>
      <c r="B12" s="13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34">
      <c r="A13" s="16" t="inlineStr">
        <is>
          <t>Riga 27 = SUM(14:26) per mesi C:K?</t>
        </is>
      </c>
      <c r="B13" s="21">
        <f>IF(AND('Piano Finanziario'!C27=SUM('Piano Finanziario'!C14:'Piano Finanziario'!C26),'Piano Finanziario'!D27=SUM('Piano Finanziario'!D14:'Piano Finanziario'!D26),'Piano Finanziario'!E27=SUM('Piano Finanziario'!E14:'Piano Finanziario'!E26),'Piano Finanziario'!F27=SUM('Piano Finanziario'!F14:'Piano Finanziario'!F26),'Piano Finanziario'!G27=SUM('Piano Finanziario'!G14:'Piano Finanziario'!G26),'Piano Finanziario'!H27=SUM('Piano Finanziario'!H14:'Piano Finanziario'!H26),'Piano Finanziario'!I27=SUM('Piano Finanziario'!I14:'Piano Finanziario'!I26),'Piano Finanziario'!J27=SUM('Piano Finanziario'!J14:'Piano Finanziario'!J26),'Piano Finanziario'!K27=SUM('Piano Finanziario'!K14:'Piano Finanziario'!K26)),"OK","ERRORE")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34">
      <c r="A14" s="9" t="n"/>
      <c r="B14" s="9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34">
      <c r="A15" s="13" t="inlineStr">
        <is>
          <t>4. CASH FLOW (riga 29)</t>
        </is>
      </c>
      <c r="B15" s="13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34">
      <c r="A16" s="16" t="inlineStr">
        <is>
          <t>Riga 29 = Entrate - Uscite per mesi C:K?</t>
        </is>
      </c>
      <c r="B16" s="21">
        <f>IF(AND('Piano Finanziario'!C29='Piano Finanziario'!C12-'Piano Finanziario'!C27,'Piano Finanziario'!D29='Piano Finanziario'!D12-'Piano Finanziario'!D27,'Piano Finanziario'!E29='Piano Finanziario'!E12-'Piano Finanziario'!E27,'Piano Finanziario'!F29='Piano Finanziario'!F12-'Piano Finanziario'!F27,'Piano Finanziario'!G29='Piano Finanziario'!G12-'Piano Finanziario'!G27,'Piano Finanziario'!H29='Piano Finanziario'!H12-'Piano Finanziario'!H27,'Piano Finanziario'!I29='Piano Finanziario'!I12-'Piano Finanziario'!I27,'Piano Finanziario'!J29='Piano Finanziario'!J12-'Piano Finanziario'!J27,'Piano Finanziario'!K29='Piano Finanziario'!K12-'Piano Finanziario'!K27),"OK","ERRORE")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34">
      <c r="A17" s="9" t="n"/>
      <c r="B17" s="9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34">
      <c r="A18" s="13" t="n"/>
      <c r="B18" s="13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34">
      <c r="A19" s="9" t="n"/>
      <c r="B19" s="68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34">
      <c r="A20" s="9" t="n"/>
      <c r="B20" s="9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13" t="inlineStr">
        <is>
          <t>6. RIFERIMENTI USCITE — FOGLI DETTAGLIO (mesi I:R)</t>
        </is>
      </c>
      <c r="B21" s="13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16" t="inlineStr">
        <is>
          <t>Riga 14 — Salari e Stipendi</t>
        </is>
      </c>
      <c r="B22" s="21">
        <f>IF(AND('Piano Finanziario'!C14='Salari e Stipendi'!D4,'Piano Finanziario'!D14='Salari e Stipendi'!E4,'Piano Finanziario'!E14='Salari e Stipendi'!F4,'Piano Finanziario'!F14='Salari e Stipendi'!G4,'Piano Finanziario'!G14='Salari e Stipendi'!H4,'Piano Finanziario'!H14='Salari e Stipendi'!I4,'Piano Finanziario'!I14='Salari e Stipendi'!J4,'Piano Finanziario'!J14='Salari e Stipendi'!K4,'Piano Finanziario'!K14='Salari e Stipendi'!L4),"OK","ERRORE")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16" t="inlineStr">
        <is>
          <t>Riga 15 — Utenze</t>
        </is>
      </c>
      <c r="B23" s="21">
        <f>IF(AND('Piano Finanziario'!C15=Utenze!D3,'Piano Finanziario'!D15=Utenze!E3,'Piano Finanziario'!E15=Utenze!F3,'Piano Finanziario'!F15=Utenze!G3,'Piano Finanziario'!G15=Utenze!H3,'Piano Finanziario'!H15=Utenze!I3,'Piano Finanziario'!I15=Utenze!J3,'Piano Finanziario'!J15=Utenze!K3,'Piano Finanziario'!K15=Utenze!L3),"OK","ERRORE")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16" t="inlineStr">
        <is>
          <t>Riga 16 — Materie Prime/Consumo</t>
        </is>
      </c>
      <c r="B24" s="21">
        <f>IF(AND('Piano Finanziario'!C16=MAX('Materie Prime-Consumo '!D3,'Materie Prime-Consumo '!D4),'Piano Finanziario'!D16=MAX('Materie Prime-Consumo '!E3,'Materie Prime-Consumo '!E4),'Piano Finanziario'!E16=MAX('Materie Prime-Consumo '!F3,'Materie Prime-Consumo '!F4),'Piano Finanziario'!F16=MAX('Materie Prime-Consumo '!G3,'Materie Prime-Consumo '!G4),'Piano Finanziario'!G16=MAX('Materie Prime-Consumo '!H3,'Materie Prime-Consumo '!H4),'Piano Finanziario'!H16=MAX('Materie Prime-Consumo '!I3,'Materie Prime-Consumo '!I4),'Piano Finanziario'!I16=MAX('Materie Prime-Consumo '!J3,'Materie Prime-Consumo '!J4),'Piano Finanziario'!J16=MAX('Materie Prime-Consumo '!K3,'Materie Prime-Consumo '!K4),'Piano Finanziario'!K16=MAX('Materie Prime-Consumo '!L3,'Materie Prime-Consumo '!L4)),"OK","ERRORE")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16" t="inlineStr">
        <is>
          <t>Riga 17 — Tasse e Imposte</t>
        </is>
      </c>
      <c r="B25" s="21">
        <f>IF(AND('Piano Finanziario'!C17='Tasse e Imposte'!D3,'Piano Finanziario'!D17='Tasse e Imposte'!E3,'Piano Finanziario'!E17='Tasse e Imposte'!F3,'Piano Finanziario'!F17='Tasse e Imposte'!G3,'Piano Finanziario'!G17='Tasse e Imposte'!H3,'Piano Finanziario'!H17='Tasse e Imposte'!I3,'Piano Finanziario'!I17='Tasse e Imposte'!J3,'Piano Finanziario'!J17='Tasse e Imposte'!K3,'Piano Finanziario'!K17='Tasse e Imposte'!L3),"OK","ERRORE")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16" t="inlineStr">
        <is>
          <t>Riga 18 — Commissioni Portali</t>
        </is>
      </c>
      <c r="B26" s="21">
        <f>IF(AND('Piano Finanziario'!C18='Commisisoni Portali'!D3,'Piano Finanziario'!D18='Commisisoni Portali'!E3,'Piano Finanziario'!E18='Commisisoni Portali'!F3,'Piano Finanziario'!F18='Commisisoni Portali'!G3,'Piano Finanziario'!G18='Commisisoni Portali'!H3,'Piano Finanziario'!H18='Commisisoni Portali'!I3,'Piano Finanziario'!I18='Commisisoni Portali'!J3,'Piano Finanziario'!J18='Commisisoni Portali'!K3,'Piano Finanziario'!K18='Commisisoni Portali'!L3),"OK","ERRORE")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16" t="inlineStr">
        <is>
          <t>Riga 19 — Mutui e Finanziamenti</t>
        </is>
      </c>
      <c r="B27" s="21">
        <f>IF(AND('Piano Finanziario'!C19='Mutui e Finaziamenti'!D3,'Piano Finanziario'!D19='Mutui e Finaziamenti'!E3,'Piano Finanziario'!E19='Mutui e Finaziamenti'!F3,'Piano Finanziario'!F19='Mutui e Finaziamenti'!G3,'Piano Finanziario'!G19='Mutui e Finaziamenti'!H3,'Piano Finanziario'!H19='Mutui e Finaziamenti'!I3,'Piano Finanziario'!I19='Mutui e Finaziamenti'!J3,'Piano Finanziario'!J19='Mutui e Finaziamenti'!K3,'Piano Finanziario'!K19='Mutui e Finaziamenti'!L3),"OK","ERRORE")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16" t="inlineStr">
        <is>
          <t>Riga 20 — Consulenze</t>
        </is>
      </c>
      <c r="B28" s="21">
        <f>IF(AND('Piano Finanziario'!C20=Consulenze!D3,'Piano Finanziario'!D20=Consulenze!E3,'Piano Finanziario'!E20=Consulenze!F3,'Piano Finanziario'!F20=Consulenze!G3,'Piano Finanziario'!G20=Consulenze!H3,'Piano Finanziario'!H20=Consulenze!I3,'Piano Finanziario'!I20=Consulenze!J3,'Piano Finanziario'!J20=Consulenze!K3,'Piano Finanziario'!K20=Consulenze!L3),"OK","ERRORE")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16" t="inlineStr">
        <is>
          <t>Riga 21 — Godimento Beni di Terzi</t>
        </is>
      </c>
      <c r="B29" s="21">
        <f>IF(AND('Piano Finanziario'!C21='Godimento Beni di Terzi'!D4,'Piano Finanziario'!D21='Godimento Beni di Terzi'!E4,'Piano Finanziario'!E21='Godimento Beni di Terzi'!F4,'Piano Finanziario'!F21='Godimento Beni di Terzi'!G4,'Piano Finanziario'!G21='Godimento Beni di Terzi'!H4,'Piano Finanziario'!H21='Godimento Beni di Terzi'!I4,'Piano Finanziario'!I21='Godimento Beni di Terzi'!J4,'Piano Finanziario'!J21='Godimento Beni di Terzi'!K4,'Piano Finanziario'!K21='Godimento Beni di Terzi'!L4),"OK","ERRORE")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16" t="inlineStr">
        <is>
          <t>Riga 22 — Varie ed Eventuali</t>
        </is>
      </c>
      <c r="B30" s="21">
        <f>IF(AND('Piano Finanziario'!C22=' Varie ed Eventuali'!D3,'Piano Finanziario'!D22=' Varie ed Eventuali'!E3,'Piano Finanziario'!E22=' Varie ed Eventuali'!F3,'Piano Finanziario'!F22=' Varie ed Eventuali'!G3,'Piano Finanziario'!G22=' Varie ed Eventuali'!H3,'Piano Finanziario'!H22=' Varie ed Eventuali'!I3,'Piano Finanziario'!I22=' Varie ed Eventuali'!J3,'Piano Finanziario'!J22=' Varie ed Eventuali'!K3,'Piano Finanziario'!K22=' Varie ed Eventuali'!L3),"OK","ERRORE")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16" t="inlineStr">
        <is>
          <t>Riga 23 — Canoni e servizi</t>
        </is>
      </c>
      <c r="B31" s="21">
        <f>IF(AND('Piano Finanziario'!C23='Canoni e servizi'!D4,'Piano Finanziario'!D23='Canoni e servizi'!E4,'Piano Finanziario'!E23='Canoni e servizi'!F4,'Piano Finanziario'!F23='Canoni e servizi'!G4,'Piano Finanziario'!G23='Canoni e servizi'!H4,'Piano Finanziario'!H23='Canoni e servizi'!I4,'Piano Finanziario'!I23='Canoni e servizi'!J4,'Piano Finanziario'!J23='Canoni e servizi'!K4,'Piano Finanziario'!K23='Canoni e servizi'!L4),"OK","ERRORE")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9" t="n"/>
      <c r="B32" s="9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13" t="inlineStr">
        <is>
          <t>7. SALDO PROIETTATO (riga 37)</t>
        </is>
      </c>
      <c r="B33" s="13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16" t="inlineStr">
        <is>
          <t>Riga 37 = riga 4 + riga 29 per mesi attivi I:R?</t>
        </is>
      </c>
      <c r="B34" s="21">
        <f>IF(AND('Piano Finanziario'!C37='Piano Finanziario'!C4+'Piano Finanziario'!C29,'Piano Finanziario'!D37='Piano Finanziario'!D4+'Piano Finanziario'!D29,'Piano Finanziario'!E37='Piano Finanziario'!E4+'Piano Finanziario'!E29,'Piano Finanziario'!F37='Piano Finanziario'!F4+'Piano Finanziario'!F29,'Piano Finanziario'!G37='Piano Finanziario'!G4+'Piano Finanziario'!G29,'Piano Finanziario'!H37='Piano Finanziario'!H4+'Piano Finanziario'!H29,'Piano Finanziario'!I37='Piano Finanziario'!I4+'Piano Finanziario'!I29,'Piano Finanziario'!J37='Piano Finanziario'!J4+'Piano Finanziario'!J29,'Piano Finanziario'!K37='Piano Finanziario'!K4+'Piano Finanziario'!K29),"OK","ERRORE")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9" t="n"/>
      <c r="B35" s="9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13" t="inlineStr">
        <is>
          <t>8. CASH FLOW CON AFFIDAMENTI (riga 45)</t>
        </is>
      </c>
      <c r="B36" s="13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16" t="inlineStr">
        <is>
          <t>Riga 45 = riga 37 + riga 43 per mesi attivi I:R?</t>
        </is>
      </c>
      <c r="B37" s="21">
        <f>IF(AND('Piano Finanziario'!C45='Piano Finanziario'!C37+'Piano Finanziario'!C43,'Piano Finanziario'!D45='Piano Finanziario'!D37+'Piano Finanziario'!D43,'Piano Finanziario'!E45='Piano Finanziario'!E37+'Piano Finanziario'!E43,'Piano Finanziario'!F45='Piano Finanziario'!F37+'Piano Finanziario'!F43,'Piano Finanziario'!G45='Piano Finanziario'!G37+'Piano Finanziario'!G43,'Piano Finanziario'!H45='Piano Finanziario'!H37+'Piano Finanziario'!H43,'Piano Finanziario'!I45='Piano Finanziario'!I37+'Piano Finanziario'!I43,'Piano Finanziario'!J45='Piano Finanziario'!J37+'Piano Finanziario'!J43,'Piano Finanziario'!K45='Piano Finanziario'!K37+'Piano Finanziario'!K43),"OK","ERRORE")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9" t="n"/>
      <c r="B38" s="9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13" t="inlineStr">
        <is>
          <t>9. COLONNA TOTALI (T)</t>
        </is>
      </c>
      <c r="B39" s="13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16" t="inlineStr">
        <is>
          <t>L12 Totale Entrate = SUM(C12:K12)?</t>
        </is>
      </c>
      <c r="B40" s="21">
        <f>IF('Piano Finanziario'!L12=SUM('Piano Finanziario'!C12:'Piano Finanziario'!K12),"OK","ERRORE")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16" t="inlineStr">
        <is>
          <t>L27 Totale Uscite = SUM(C27:K27)?</t>
        </is>
      </c>
      <c r="B41" s="21">
        <f>IF('Piano Finanziario'!L27=SUM('Piano Finanziario'!C27:'Piano Finanziario'!K27),"OK","ERRORE")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16" t="inlineStr">
        <is>
          <t>L29 Cash Flow = L12 - L27?</t>
        </is>
      </c>
      <c r="B42" s="21">
        <f>IF('Piano Finanziario'!L29='Piano Finanziario'!L12-'Piano Finanziario'!L27,"OK","ERRORE")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9" t="n"/>
      <c r="B43" s="9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111">
        <f>CONCATENATE("RISULTATO COMPLESSIVO")</f>
        <v/>
      </c>
      <c r="B44" s="111">
        <f>IF(COUNTIF(B4:B42,"ERRORE")=0,"✓ TUTTI I "&amp;COUNTA(B4:B42)&amp;" CONTROLLI OK","✗ "&amp;COUNTIF(B4:B42,"ERRORE")&amp;" ERRORI TROVATI su "&amp;COUNTA(B4:B42)&amp;" verifiche")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/>
    <row r="246" ht="15.75" customHeight="1" s="134"/>
    <row r="247" ht="15.75" customHeight="1" s="134"/>
    <row r="248" ht="15.75" customHeight="1" s="134"/>
    <row r="249" ht="15.75" customHeight="1" s="134"/>
    <row r="250" ht="15.75" customHeight="1" s="134"/>
    <row r="251" ht="15.75" customHeight="1" s="134"/>
    <row r="252" ht="15.75" customHeight="1" s="134"/>
    <row r="253" ht="15.75" customHeight="1" s="134"/>
    <row r="254" ht="15.75" customHeight="1" s="134"/>
    <row r="255" ht="15.75" customHeight="1" s="134"/>
    <row r="256" ht="15.75" customHeight="1" s="134"/>
    <row r="257" ht="15.75" customHeight="1" s="134"/>
    <row r="258" ht="15.75" customHeight="1" s="134"/>
    <row r="259" ht="15.75" customHeight="1" s="134"/>
    <row r="260" ht="15.75" customHeight="1" s="134"/>
    <row r="261" ht="15.75" customHeight="1" s="134"/>
    <row r="262" ht="15.75" customHeight="1" s="134"/>
    <row r="263" ht="15.75" customHeight="1" s="134"/>
    <row r="264" ht="15.75" customHeight="1" s="134"/>
    <row r="265" ht="15.75" customHeight="1" s="134"/>
    <row r="266" ht="15.75" customHeight="1" s="134"/>
    <row r="267" ht="15.75" customHeight="1" s="134"/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AF245"/>
  <sheetViews>
    <sheetView workbookViewId="0">
      <pane xSplit="1" ySplit="3" topLeftCell="D10" activePane="bottomRight" state="frozen"/>
      <selection pane="topRight" activeCell="B1" sqref="B1"/>
      <selection pane="bottomLeft" activeCell="A4" sqref="A4"/>
      <selection pane="bottomRight" activeCell="N32" sqref="N32"/>
    </sheetView>
  </sheetViews>
  <sheetFormatPr baseColWidth="10" defaultColWidth="11.1640625" defaultRowHeight="15" customHeight="1"/>
  <cols>
    <col width="15.33203125" customWidth="1" style="134" min="1" max="6"/>
    <col hidden="1" width="13" customWidth="1" style="134" min="3" max="3"/>
    <col hidden="1" width="13" customWidth="1" style="134" min="4" max="4"/>
    <col hidden="1" width="13" customWidth="1" style="134" min="5" max="5"/>
    <col width="16.33203125" customWidth="1" style="134" min="7" max="9"/>
    <col width="14.83203125" customWidth="1" style="134" min="10" max="10"/>
    <col width="15.33203125" customWidth="1" style="134" min="11" max="11"/>
    <col width="14.83203125" customWidth="1" style="134" min="12" max="17"/>
    <col width="14.5" bestFit="1" customWidth="1" style="134" min="18" max="18"/>
    <col width="11.1640625" customWidth="1" style="134" min="19" max="26"/>
  </cols>
  <sheetData>
    <row r="1" ht="30" customHeight="1" s="134">
      <c r="A1" s="6" t="inlineStr">
        <is>
          <t>ORTI S.R.L.</t>
        </is>
      </c>
      <c r="B1" s="7" t="n"/>
      <c r="C1" s="130" t="n">
        <v>2026</v>
      </c>
      <c r="D1" s="131" t="n"/>
      <c r="E1" s="131" t="n"/>
      <c r="F1" s="131" t="n"/>
      <c r="G1" s="131" t="n"/>
      <c r="H1" s="131" t="n"/>
      <c r="I1" s="131" t="n"/>
      <c r="J1" s="131" t="n"/>
      <c r="K1" s="139" t="n"/>
      <c r="L1" s="137" t="n">
        <v>2027</v>
      </c>
      <c r="M1" s="131" t="n"/>
      <c r="N1" s="131" t="n"/>
      <c r="O1" s="131" t="n"/>
      <c r="P1" s="131" t="n"/>
      <c r="Q1" s="131" t="n"/>
      <c r="R1" s="131" t="n"/>
      <c r="S1" s="131" t="n"/>
      <c r="T1" s="139" t="n"/>
      <c r="U1" s="8" t="n"/>
      <c r="V1" s="8" t="n"/>
      <c r="W1" s="8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</row>
    <row r="2" ht="24" customHeight="1" s="134" thickBot="1">
      <c r="A2" s="133" t="n"/>
      <c r="B2" s="7" t="n"/>
      <c r="C2" s="14" t="inlineStr">
        <is>
          <t>APRILE</t>
        </is>
      </c>
      <c r="D2" s="15" t="inlineStr">
        <is>
          <t>MAGGIO</t>
        </is>
      </c>
      <c r="E2" s="15" t="inlineStr">
        <is>
          <t>GIUGNO</t>
        </is>
      </c>
      <c r="F2" s="15" t="inlineStr">
        <is>
          <t>LUGLIO</t>
        </is>
      </c>
      <c r="G2" s="15" t="inlineStr">
        <is>
          <t>AGOSTO</t>
        </is>
      </c>
      <c r="H2" s="15" t="inlineStr">
        <is>
          <t>SETTEMBRE</t>
        </is>
      </c>
      <c r="I2" s="15" t="inlineStr">
        <is>
          <t>OTTOBRE</t>
        </is>
      </c>
      <c r="J2" s="15" t="inlineStr">
        <is>
          <t>NOVEMBRE</t>
        </is>
      </c>
      <c r="K2" s="18" t="inlineStr">
        <is>
          <t>DICEMBRE</t>
        </is>
      </c>
      <c r="L2" s="15" t="inlineStr">
        <is>
          <t>GENNAIO</t>
        </is>
      </c>
      <c r="M2" s="15" t="inlineStr">
        <is>
          <t>FEBBRAIO</t>
        </is>
      </c>
      <c r="N2" s="15" t="inlineStr">
        <is>
          <t>MARZO</t>
        </is>
      </c>
      <c r="O2" s="15" t="inlineStr">
        <is>
          <t>APRILE</t>
        </is>
      </c>
      <c r="P2" s="18" t="inlineStr">
        <is>
          <t>MAGGIO</t>
        </is>
      </c>
      <c r="Q2" s="140" t="inlineStr">
        <is>
          <t>GIUGNO</t>
        </is>
      </c>
      <c r="R2" s="138" t="inlineStr">
        <is>
          <t>TOTALI</t>
        </is>
      </c>
      <c r="S2" s="8" t="n"/>
      <c r="T2" s="8" t="n"/>
      <c r="U2" s="8" t="n"/>
      <c r="V2" s="8" t="n"/>
      <c r="W2" s="8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 ht="15.75" customHeight="1" s="134">
      <c r="B3" s="22" t="n"/>
      <c r="C3" s="23" t="n"/>
      <c r="D3" s="23" t="n"/>
      <c r="E3" s="23" t="n"/>
      <c r="F3" s="23" t="n"/>
      <c r="G3" s="23" t="n"/>
      <c r="H3" s="23" t="n"/>
      <c r="I3" s="23" t="n"/>
      <c r="J3" s="23" t="n"/>
      <c r="K3" s="25" t="n"/>
      <c r="L3" s="23" t="n"/>
      <c r="M3" s="23" t="n"/>
      <c r="N3" s="23" t="n"/>
      <c r="O3" s="23" t="n"/>
      <c r="P3" s="25" t="n"/>
      <c r="Q3" s="152" t="n"/>
      <c r="R3" s="22" t="n"/>
      <c r="S3" s="8" t="n"/>
      <c r="T3" s="8" t="n"/>
      <c r="U3" s="8" t="n"/>
      <c r="V3" s="8" t="n"/>
      <c r="W3" s="8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</row>
    <row r="4" ht="21.75" customHeight="1" s="134">
      <c r="A4" s="26" t="inlineStr">
        <is>
          <t>SALDO MESE PRECED</t>
        </is>
      </c>
      <c r="B4" s="28" t="n"/>
      <c r="C4" s="30" t="n">
        <v>339337.46</v>
      </c>
      <c r="D4" s="31" t="n">
        <v>581125.86</v>
      </c>
      <c r="E4" s="31" t="n">
        <v>863258.6300000001</v>
      </c>
      <c r="F4" s="31">
        <f>E37</f>
        <v/>
      </c>
      <c r="G4" s="31">
        <f>F37</f>
        <v/>
      </c>
      <c r="H4" s="31">
        <f>G37</f>
        <v/>
      </c>
      <c r="I4" s="31">
        <f>H37</f>
        <v/>
      </c>
      <c r="J4" s="36">
        <f>I37</f>
        <v/>
      </c>
      <c r="K4" s="36">
        <f>J37</f>
        <v/>
      </c>
      <c r="L4" s="36">
        <f>K37</f>
        <v/>
      </c>
      <c r="M4" s="36">
        <f>L37</f>
        <v/>
      </c>
      <c r="N4" s="36">
        <f>M37</f>
        <v/>
      </c>
      <c r="O4" s="36">
        <f>N37</f>
        <v/>
      </c>
      <c r="P4" s="36">
        <f>O37</f>
        <v/>
      </c>
      <c r="Q4" s="153">
        <f>P37</f>
        <v/>
      </c>
      <c r="R4" s="141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7.5" customHeight="1" s="134">
      <c r="A5" s="40" t="n"/>
      <c r="B5" s="41" t="n"/>
      <c r="C5" s="43" t="n"/>
      <c r="D5" s="44" t="n"/>
      <c r="E5" s="44" t="n"/>
      <c r="F5" s="44" t="n"/>
      <c r="G5" s="44" t="n"/>
      <c r="H5" s="44" t="n"/>
      <c r="I5" s="44" t="n"/>
      <c r="J5" s="48" t="n"/>
      <c r="K5" s="48" t="n"/>
      <c r="L5" s="48" t="n"/>
      <c r="M5" s="48" t="n"/>
      <c r="N5" s="48" t="n"/>
      <c r="O5" s="48" t="n"/>
      <c r="P5" s="48" t="n"/>
      <c r="Q5" s="154" t="n"/>
      <c r="R5" s="142" t="n"/>
      <c r="S5" s="49" t="n"/>
      <c r="T5" s="49" t="n"/>
      <c r="U5" s="49" t="n"/>
      <c r="V5" s="49" t="n"/>
      <c r="W5" s="49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</row>
    <row r="6" ht="21.75" customHeight="1" s="134">
      <c r="A6" s="51" t="inlineStr">
        <is>
          <t xml:space="preserve">Entrate Hotel </t>
        </is>
      </c>
      <c r="B6" s="52" t="n"/>
      <c r="C6" s="53" t="n"/>
      <c r="D6" s="54" t="n"/>
      <c r="E6" s="54" t="n"/>
      <c r="F6" s="54" t="n">
        <v>750000</v>
      </c>
      <c r="G6" s="54" t="n">
        <v>830000</v>
      </c>
      <c r="H6" s="54" t="n">
        <v>580000</v>
      </c>
      <c r="I6" s="54">
        <f>110000+160000</f>
        <v/>
      </c>
      <c r="J6" s="57" t="n"/>
      <c r="K6" s="57" t="n"/>
      <c r="L6" s="57" t="n"/>
      <c r="M6" s="57" t="n"/>
      <c r="N6" s="57" t="n"/>
      <c r="O6" s="57" t="n"/>
      <c r="P6" s="57" t="n"/>
      <c r="Q6" s="155" t="n"/>
      <c r="R6" s="142">
        <f>SUM(C6:Q6)</f>
        <v/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  <row r="7" ht="21.75" customHeight="1" s="134">
      <c r="A7" s="51" t="inlineStr">
        <is>
          <t>Entrate Residence</t>
        </is>
      </c>
      <c r="B7" s="52" t="n"/>
      <c r="C7" s="53" t="n"/>
      <c r="D7" s="54" t="n"/>
      <c r="E7" s="54" t="n"/>
      <c r="F7" s="54" t="n">
        <v>120000</v>
      </c>
      <c r="G7" s="54" t="n">
        <v>140000</v>
      </c>
      <c r="H7" s="54" t="n">
        <v>100000</v>
      </c>
      <c r="I7" s="54">
        <f>26000+17000</f>
        <v/>
      </c>
      <c r="J7" s="57" t="n"/>
      <c r="K7" s="57" t="n"/>
      <c r="L7" s="57" t="n"/>
      <c r="M7" s="57" t="n"/>
      <c r="N7" s="57" t="n"/>
      <c r="O7" s="57" t="n"/>
      <c r="P7" s="57" t="n"/>
      <c r="Q7" s="155" t="n"/>
      <c r="R7" s="142">
        <f>SUM(C7:Q7)</f>
        <v/>
      </c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</row>
    <row r="8" ht="21.75" customHeight="1" s="134">
      <c r="A8" s="51" t="inlineStr">
        <is>
          <t>Entrate CVM</t>
        </is>
      </c>
      <c r="B8" s="52" t="n"/>
      <c r="C8" s="53" t="n"/>
      <c r="D8" s="54" t="n"/>
      <c r="E8" s="54" t="n"/>
      <c r="F8" s="54" t="n">
        <v>45000</v>
      </c>
      <c r="G8" s="54" t="n">
        <v>48000</v>
      </c>
      <c r="H8" s="54" t="n">
        <v>30000</v>
      </c>
      <c r="I8" s="54">
        <f>5798+10000</f>
        <v/>
      </c>
      <c r="J8" s="57" t="n"/>
      <c r="K8" s="57" t="n"/>
      <c r="L8" s="57" t="n"/>
      <c r="M8" s="57" t="n"/>
      <c r="N8" s="57" t="n"/>
      <c r="O8" s="57" t="n"/>
      <c r="P8" s="57" t="n"/>
      <c r="Q8" s="155" t="n"/>
      <c r="R8" s="142">
        <f>SUM(C8:Q8)</f>
        <v/>
      </c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</row>
    <row r="9" ht="21.75" customHeight="1" s="134">
      <c r="A9" s="51" t="inlineStr">
        <is>
          <t>Entrate Supermercato</t>
        </is>
      </c>
      <c r="B9" s="52" t="n"/>
      <c r="C9" s="53" t="n"/>
      <c r="D9" s="54" t="n"/>
      <c r="E9" s="54" t="n"/>
      <c r="F9" s="54" t="n">
        <v>25620</v>
      </c>
      <c r="G9" s="54" t="n">
        <v>25620</v>
      </c>
      <c r="H9" s="54" t="n">
        <v>25620</v>
      </c>
      <c r="I9" s="54" t="n">
        <v>25620</v>
      </c>
      <c r="J9" s="57" t="n">
        <v>25620</v>
      </c>
      <c r="K9" s="57" t="n">
        <v>25620</v>
      </c>
      <c r="L9" s="57" t="n"/>
      <c r="M9" s="57" t="n"/>
      <c r="N9" s="57" t="n"/>
      <c r="O9" s="57" t="n"/>
      <c r="P9" s="57" t="n"/>
      <c r="Q9" s="155" t="n"/>
      <c r="R9" s="143">
        <f>SUM(C9:Q9)</f>
        <v/>
      </c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</row>
    <row r="10" ht="21.75" customHeight="1" s="134">
      <c r="A10" s="51" t="inlineStr">
        <is>
          <t>Rientro Sospesi</t>
        </is>
      </c>
      <c r="B10" s="52" t="n"/>
      <c r="C10" s="53" t="n"/>
      <c r="D10" s="54" t="n"/>
      <c r="E10" s="54" t="n"/>
      <c r="F10" s="54" t="n"/>
      <c r="G10" s="54" t="n"/>
      <c r="H10" s="54" t="n"/>
      <c r="I10" s="54" t="n"/>
      <c r="J10" s="57" t="n"/>
      <c r="K10" s="57" t="n"/>
      <c r="L10" s="57" t="n"/>
      <c r="M10" s="57" t="n"/>
      <c r="N10" s="57" t="n"/>
      <c r="O10" s="57" t="n"/>
      <c r="P10" s="57" t="n"/>
      <c r="Q10" s="155" t="n"/>
      <c r="R10" s="143">
        <f>SUM(C10:Q10)</f>
        <v/>
      </c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</row>
    <row r="11" ht="21.75" customHeight="1" s="134">
      <c r="A11" s="51" t="inlineStr">
        <is>
          <t>Caparre Intur</t>
        </is>
      </c>
      <c r="B11" s="52" t="n"/>
      <c r="C11" s="53" t="n"/>
      <c r="D11" s="54" t="n"/>
      <c r="E11" s="54" t="n"/>
      <c r="F11" s="54" t="n"/>
      <c r="G11" s="54" t="n"/>
      <c r="H11" s="54" t="n"/>
      <c r="I11" s="54" t="n"/>
      <c r="J11" s="57" t="n"/>
      <c r="K11" s="57" t="n"/>
      <c r="L11" s="57" t="n"/>
      <c r="M11" s="57" t="n"/>
      <c r="N11" s="57" t="n"/>
      <c r="O11" s="57" t="n"/>
      <c r="P11" s="57" t="n"/>
      <c r="Q11" s="155" t="n"/>
      <c r="R11" s="143">
        <f>SUM(C11:Q11)</f>
        <v/>
      </c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</row>
    <row r="12" ht="21.75" customHeight="1" s="134" thickBot="1">
      <c r="A12" s="61" t="inlineStr">
        <is>
          <t>TOTALE ENTRATE</t>
        </is>
      </c>
      <c r="B12" s="62" t="n"/>
      <c r="C12" s="63">
        <f>SUM(C6:C11)</f>
        <v/>
      </c>
      <c r="D12" s="64">
        <f>SUM(D6:D11)</f>
        <v/>
      </c>
      <c r="E12" s="64">
        <f>SUM(E6:E11)</f>
        <v/>
      </c>
      <c r="F12" s="64">
        <f>SUM(F6:F11)</f>
        <v/>
      </c>
      <c r="G12" s="64">
        <f>SUM(G6:G11)</f>
        <v/>
      </c>
      <c r="H12" s="64">
        <f>SUM(H6:H11)</f>
        <v/>
      </c>
      <c r="I12" s="64">
        <f>SUM(I6:I11)</f>
        <v/>
      </c>
      <c r="J12" s="65">
        <f>SUM(J6:J11)</f>
        <v/>
      </c>
      <c r="K12" s="65">
        <f>SUM(K6:K11)</f>
        <v/>
      </c>
      <c r="L12" s="65">
        <f>SUM(L6:L11)</f>
        <v/>
      </c>
      <c r="M12" s="65">
        <f>SUM(M6:M11)</f>
        <v/>
      </c>
      <c r="N12" s="65">
        <f>SUM(N6:N11)</f>
        <v/>
      </c>
      <c r="O12" s="65">
        <f>SUM(O6:O11)</f>
        <v/>
      </c>
      <c r="P12" s="65">
        <f>SUM(P6:P11)</f>
        <v/>
      </c>
      <c r="Q12" s="156">
        <f>SUM(Q6:Q11)</f>
        <v/>
      </c>
      <c r="R12" s="144">
        <f>SUM(C12:Q12)</f>
        <v/>
      </c>
      <c r="S12" s="66" t="n"/>
      <c r="T12" s="66" t="n"/>
      <c r="U12" s="66" t="n"/>
      <c r="V12" s="66" t="n"/>
      <c r="W12" s="66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</row>
    <row r="13" ht="7.5" customHeight="1" s="134" thickTop="1">
      <c r="A13" s="40" t="n"/>
      <c r="B13" s="41" t="n"/>
      <c r="C13" s="67" t="n"/>
      <c r="D13" s="44" t="n"/>
      <c r="E13" s="44" t="n"/>
      <c r="F13" s="44" t="n"/>
      <c r="G13" s="44" t="n"/>
      <c r="H13" s="44" t="n"/>
      <c r="I13" s="44" t="n"/>
      <c r="J13" s="48" t="n"/>
      <c r="K13" s="48" t="n"/>
      <c r="L13" s="48" t="n"/>
      <c r="M13" s="48" t="n"/>
      <c r="N13" s="48" t="n"/>
      <c r="O13" s="48" t="n"/>
      <c r="P13" s="48" t="n"/>
      <c r="Q13" s="154" t="n"/>
      <c r="R13" s="14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</row>
    <row r="14" ht="21.75" customHeight="1" s="134">
      <c r="A14" s="51" t="inlineStr">
        <is>
          <t>Salari e Stipendi</t>
        </is>
      </c>
      <c r="B14" s="52" t="n"/>
      <c r="C14" s="53">
        <f>'Salari e Stipendi'!D4</f>
        <v/>
      </c>
      <c r="D14" s="54">
        <f>'Salari e Stipendi'!E4</f>
        <v/>
      </c>
      <c r="E14" s="54">
        <f>'Salari e Stipendi'!F4</f>
        <v/>
      </c>
      <c r="F14" s="54">
        <f>'Salari e Stipendi'!G4</f>
        <v/>
      </c>
      <c r="G14" s="54">
        <f>'Salari e Stipendi'!H4</f>
        <v/>
      </c>
      <c r="H14" s="54">
        <f>'Salari e Stipendi'!I4</f>
        <v/>
      </c>
      <c r="I14" s="54">
        <f>'Salari e Stipendi'!J4</f>
        <v/>
      </c>
      <c r="J14" s="57">
        <f>'Salari e Stipendi'!K4</f>
        <v/>
      </c>
      <c r="K14" s="57">
        <f>'Salari e Stipendi'!L4</f>
        <v/>
      </c>
      <c r="L14" s="57">
        <f>'Salari e Stipendi'!M4</f>
        <v/>
      </c>
      <c r="M14" s="57">
        <f>'Salari e Stipendi'!N4</f>
        <v/>
      </c>
      <c r="N14" s="57">
        <f>'Salari e Stipendi'!O4</f>
        <v/>
      </c>
      <c r="O14" s="57">
        <f>'Salari e Stipendi'!P4</f>
        <v/>
      </c>
      <c r="P14" s="57">
        <f>'Salari e Stipendi'!Q4</f>
        <v/>
      </c>
      <c r="Q14" s="155">
        <f>'Salari e Stipendi'!R4</f>
        <v/>
      </c>
      <c r="R14" s="142">
        <f>SUM(C14:Q14)</f>
        <v/>
      </c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</row>
    <row r="15" ht="21.75" customHeight="1" s="134">
      <c r="A15" s="51" t="inlineStr">
        <is>
          <t>Utenze</t>
        </is>
      </c>
      <c r="B15" s="52" t="n"/>
      <c r="C15" s="53">
        <f>Utenze!D3</f>
        <v/>
      </c>
      <c r="D15" s="54">
        <f>Utenze!E3</f>
        <v/>
      </c>
      <c r="E15" s="54">
        <f>Utenze!F3</f>
        <v/>
      </c>
      <c r="F15" s="54">
        <f>Utenze!G3</f>
        <v/>
      </c>
      <c r="G15" s="54">
        <f>Utenze!H3</f>
        <v/>
      </c>
      <c r="H15" s="54">
        <f>Utenze!I3</f>
        <v/>
      </c>
      <c r="I15" s="54">
        <f>Utenze!J3</f>
        <v/>
      </c>
      <c r="J15" s="57">
        <f>Utenze!K3</f>
        <v/>
      </c>
      <c r="K15" s="57">
        <f>Utenze!L3</f>
        <v/>
      </c>
      <c r="L15" s="57">
        <f>Utenze!M3</f>
        <v/>
      </c>
      <c r="M15" s="57">
        <f>Utenze!N3</f>
        <v/>
      </c>
      <c r="N15" s="57">
        <f>Utenze!O3</f>
        <v/>
      </c>
      <c r="O15" s="57">
        <f>Utenze!P3</f>
        <v/>
      </c>
      <c r="P15" s="57">
        <f>Utenze!Q3</f>
        <v/>
      </c>
      <c r="Q15" s="155">
        <f>Utenze!R3</f>
        <v/>
      </c>
      <c r="R15" s="142">
        <f>SUM(C15:Q15)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</row>
    <row r="16" ht="21.75" customHeight="1" s="134">
      <c r="A16" s="51" t="inlineStr">
        <is>
          <t>Materie Prime/Consumo</t>
        </is>
      </c>
      <c r="B16" s="52" t="n"/>
      <c r="C16" s="53">
        <f>MAX('Materie Prime-Consumo '!D3,'Materie Prime-Consumo '!D4)</f>
        <v/>
      </c>
      <c r="D16" s="54">
        <f>MAX('Materie Prime-Consumo '!E3,'Materie Prime-Consumo '!E4)</f>
        <v/>
      </c>
      <c r="E16" s="54">
        <f>MAX('Materie Prime-Consumo '!F3,'Materie Prime-Consumo '!F4)</f>
        <v/>
      </c>
      <c r="F16" s="54">
        <f>MAX('Materie Prime-Consumo '!G3,'Materie Prime-Consumo '!G4)</f>
        <v/>
      </c>
      <c r="G16" s="54">
        <f>MAX('Materie Prime-Consumo '!H3,'Materie Prime-Consumo '!H4)</f>
        <v/>
      </c>
      <c r="H16" s="54">
        <f>MAX('Materie Prime-Consumo '!I3,'Materie Prime-Consumo '!I4)</f>
        <v/>
      </c>
      <c r="I16" s="54">
        <f>MAX('Materie Prime-Consumo '!J3,'Materie Prime-Consumo '!J4)</f>
        <v/>
      </c>
      <c r="J16" s="57">
        <f>MAX('Materie Prime-Consumo '!K3,'Materie Prime-Consumo '!K4)</f>
        <v/>
      </c>
      <c r="K16" s="57">
        <f>MAX('Materie Prime-Consumo '!L3,'Materie Prime-Consumo '!L4)</f>
        <v/>
      </c>
      <c r="L16" s="57">
        <f>MAX('Materie Prime-Consumo '!M3,'Materie Prime-Consumo '!M4)</f>
        <v/>
      </c>
      <c r="M16" s="57">
        <f>MAX('Materie Prime-Consumo '!N3,'Materie Prime-Consumo '!N4)</f>
        <v/>
      </c>
      <c r="N16" s="57">
        <f>MAX('Materie Prime-Consumo '!O3,'Materie Prime-Consumo '!O4)</f>
        <v/>
      </c>
      <c r="O16" s="57">
        <f>MAX('Materie Prime-Consumo '!P3,'Materie Prime-Consumo '!P4)</f>
        <v/>
      </c>
      <c r="P16" s="57">
        <f>MAX('Materie Prime-Consumo '!Q3,'Materie Prime-Consumo '!Q4)</f>
        <v/>
      </c>
      <c r="Q16" s="155">
        <f>MAX('Materie Prime-Consumo '!R3,'Materie Prime-Consumo '!R4)</f>
        <v/>
      </c>
      <c r="R16" s="142">
        <f>SUM(C16:Q16)</f>
        <v/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</row>
    <row r="17" ht="21.75" customHeight="1" s="134">
      <c r="A17" s="51" t="inlineStr">
        <is>
          <t>Tasse e Imposte</t>
        </is>
      </c>
      <c r="B17" s="52" t="n"/>
      <c r="C17" s="53">
        <f>'Tasse e Imposte'!D3</f>
        <v/>
      </c>
      <c r="D17" s="54">
        <f>'Tasse e Imposte'!E3</f>
        <v/>
      </c>
      <c r="E17" s="54">
        <f>'Tasse e Imposte'!F3</f>
        <v/>
      </c>
      <c r="F17" s="54">
        <f>'Tasse e Imposte'!G3</f>
        <v/>
      </c>
      <c r="G17" s="54">
        <f>'Tasse e Imposte'!H3</f>
        <v/>
      </c>
      <c r="H17" s="54">
        <f>'Tasse e Imposte'!I3</f>
        <v/>
      </c>
      <c r="I17" s="54">
        <f>'Tasse e Imposte'!J3</f>
        <v/>
      </c>
      <c r="J17" s="57">
        <f>'Tasse e Imposte'!K3</f>
        <v/>
      </c>
      <c r="K17" s="57">
        <f>'Tasse e Imposte'!L3</f>
        <v/>
      </c>
      <c r="L17" s="57">
        <f>'Tasse e Imposte'!M3</f>
        <v/>
      </c>
      <c r="M17" s="57">
        <f>'Tasse e Imposte'!N3</f>
        <v/>
      </c>
      <c r="N17" s="57">
        <f>'Tasse e Imposte'!O3</f>
        <v/>
      </c>
      <c r="O17" s="57">
        <f>'Tasse e Imposte'!P3</f>
        <v/>
      </c>
      <c r="P17" s="57">
        <f>'Tasse e Imposte'!Q3</f>
        <v/>
      </c>
      <c r="Q17" s="155">
        <f>'Tasse e Imposte'!R3</f>
        <v/>
      </c>
      <c r="R17" s="142">
        <f>SUM(C17:Q17)</f>
        <v/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</row>
    <row r="18" ht="21.75" customHeight="1" s="134">
      <c r="A18" s="51" t="inlineStr">
        <is>
          <t>Commissioni Portali</t>
        </is>
      </c>
      <c r="B18" s="52" t="n"/>
      <c r="C18" s="53">
        <f>'Commisisoni Portali'!D3</f>
        <v/>
      </c>
      <c r="D18" s="54">
        <f>'Commisisoni Portali'!E3</f>
        <v/>
      </c>
      <c r="E18" s="54">
        <f>'Commisisoni Portali'!F3</f>
        <v/>
      </c>
      <c r="F18" s="54">
        <f>'Commisisoni Portali'!G3</f>
        <v/>
      </c>
      <c r="G18" s="54">
        <f>'Commisisoni Portali'!H3</f>
        <v/>
      </c>
      <c r="H18" s="54">
        <f>'Commisisoni Portali'!I3</f>
        <v/>
      </c>
      <c r="I18" s="54">
        <f>'Commisisoni Portali'!J3</f>
        <v/>
      </c>
      <c r="J18" s="57">
        <f>'Commisisoni Portali'!K3</f>
        <v/>
      </c>
      <c r="K18" s="57">
        <f>'Commisisoni Portali'!L3</f>
        <v/>
      </c>
      <c r="L18" s="57">
        <f>'Commisisoni Portali'!M3</f>
        <v/>
      </c>
      <c r="M18" s="57">
        <f>'Commisisoni Portali'!N3</f>
        <v/>
      </c>
      <c r="N18" s="57">
        <f>'Commisisoni Portali'!O3</f>
        <v/>
      </c>
      <c r="O18" s="57">
        <f>'Commisisoni Portali'!P3</f>
        <v/>
      </c>
      <c r="P18" s="57">
        <f>'Commisisoni Portali'!Q3</f>
        <v/>
      </c>
      <c r="Q18" s="155">
        <f>'Commisisoni Portali'!R3</f>
        <v/>
      </c>
      <c r="R18" s="142">
        <f>SUM(C18:Q18)</f>
        <v/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</row>
    <row r="19" ht="21.75" customHeight="1" s="134">
      <c r="A19" s="51" t="inlineStr">
        <is>
          <t>Mutui e Finaziamenti</t>
        </is>
      </c>
      <c r="B19" s="52" t="n"/>
      <c r="C19" s="53">
        <f>'Mutui e Finaziamenti'!D3</f>
        <v/>
      </c>
      <c r="D19" s="54">
        <f>'Mutui e Finaziamenti'!E3</f>
        <v/>
      </c>
      <c r="E19" s="54">
        <f>'Mutui e Finaziamenti'!F3</f>
        <v/>
      </c>
      <c r="F19" s="54">
        <f>'Mutui e Finaziamenti'!G3</f>
        <v/>
      </c>
      <c r="G19" s="54">
        <f>'Mutui e Finaziamenti'!H3</f>
        <v/>
      </c>
      <c r="H19" s="54">
        <f>'Mutui e Finaziamenti'!I3</f>
        <v/>
      </c>
      <c r="I19" s="54">
        <f>'Mutui e Finaziamenti'!J3</f>
        <v/>
      </c>
      <c r="J19" s="57">
        <f>'Mutui e Finaziamenti'!K3</f>
        <v/>
      </c>
      <c r="K19" s="57">
        <f>'Mutui e Finaziamenti'!L3</f>
        <v/>
      </c>
      <c r="L19" s="57">
        <f>'Mutui e Finaziamenti'!M3</f>
        <v/>
      </c>
      <c r="M19" s="57">
        <f>'Mutui e Finaziamenti'!N3</f>
        <v/>
      </c>
      <c r="N19" s="57">
        <f>'Mutui e Finaziamenti'!O3</f>
        <v/>
      </c>
      <c r="O19" s="57">
        <f>'Mutui e Finaziamenti'!P3</f>
        <v/>
      </c>
      <c r="P19" s="57">
        <f>'Mutui e Finaziamenti'!Q3</f>
        <v/>
      </c>
      <c r="Q19" s="155">
        <f>'Mutui e Finaziamenti'!R3</f>
        <v/>
      </c>
      <c r="R19" s="142">
        <f>SUM(C19:Q19)</f>
        <v/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</row>
    <row r="20" ht="21.75" customHeight="1" s="134">
      <c r="A20" s="51" t="inlineStr">
        <is>
          <t>Consulenze</t>
        </is>
      </c>
      <c r="B20" s="52" t="n"/>
      <c r="C20" s="53">
        <f>Consulenze!D3</f>
        <v/>
      </c>
      <c r="D20" s="54">
        <f>Consulenze!E3</f>
        <v/>
      </c>
      <c r="E20" s="54">
        <f>Consulenze!F3</f>
        <v/>
      </c>
      <c r="F20" s="54">
        <f>Consulenze!G3</f>
        <v/>
      </c>
      <c r="G20" s="54">
        <f>Consulenze!H3</f>
        <v/>
      </c>
      <c r="H20" s="54">
        <f>Consulenze!I3</f>
        <v/>
      </c>
      <c r="I20" s="54">
        <f>Consulenze!J3</f>
        <v/>
      </c>
      <c r="J20" s="57">
        <f>Consulenze!K3</f>
        <v/>
      </c>
      <c r="K20" s="57">
        <f>Consulenze!L3</f>
        <v/>
      </c>
      <c r="L20" s="57">
        <f>Consulenze!M3</f>
        <v/>
      </c>
      <c r="M20" s="57">
        <f>Consulenze!N3</f>
        <v/>
      </c>
      <c r="N20" s="57">
        <f>Consulenze!O3</f>
        <v/>
      </c>
      <c r="O20" s="57">
        <f>Consulenze!P3</f>
        <v/>
      </c>
      <c r="P20" s="57">
        <f>Consulenze!Q3</f>
        <v/>
      </c>
      <c r="Q20" s="155">
        <f>Consulenze!R3</f>
        <v/>
      </c>
      <c r="R20" s="142">
        <f>SUM(C20:Q20)</f>
        <v/>
      </c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</row>
    <row r="21" ht="21.75" customHeight="1" s="134">
      <c r="A21" s="51" t="inlineStr">
        <is>
          <t>Godimento Beni di Terzi</t>
        </is>
      </c>
      <c r="B21" s="52" t="n"/>
      <c r="C21" s="53">
        <f>'Godimento Beni di Terzi'!D4</f>
        <v/>
      </c>
      <c r="D21" s="54">
        <f>'Godimento Beni di Terzi'!E4</f>
        <v/>
      </c>
      <c r="E21" s="54">
        <f>'Godimento Beni di Terzi'!F4</f>
        <v/>
      </c>
      <c r="F21" s="54">
        <f>'Godimento Beni di Terzi'!G4</f>
        <v/>
      </c>
      <c r="G21" s="54">
        <f>'Godimento Beni di Terzi'!H4</f>
        <v/>
      </c>
      <c r="H21" s="54">
        <f>'Godimento Beni di Terzi'!I4</f>
        <v/>
      </c>
      <c r="I21" s="54">
        <f>'Godimento Beni di Terzi'!J4</f>
        <v/>
      </c>
      <c r="J21" s="57">
        <f>'Godimento Beni di Terzi'!K4</f>
        <v/>
      </c>
      <c r="K21" s="57">
        <f>'Godimento Beni di Terzi'!L4</f>
        <v/>
      </c>
      <c r="L21" s="57">
        <f>'Godimento Beni di Terzi'!M4</f>
        <v/>
      </c>
      <c r="M21" s="57">
        <f>'Godimento Beni di Terzi'!N4</f>
        <v/>
      </c>
      <c r="N21" s="57">
        <f>'Godimento Beni di Terzi'!O4</f>
        <v/>
      </c>
      <c r="O21" s="57">
        <f>'Godimento Beni di Terzi'!P4</f>
        <v/>
      </c>
      <c r="P21" s="57">
        <f>'Godimento Beni di Terzi'!Q4</f>
        <v/>
      </c>
      <c r="Q21" s="155">
        <f>'Godimento Beni di Terzi'!R4</f>
        <v/>
      </c>
      <c r="R21" s="142">
        <f>SUM(C21:Q21)</f>
        <v/>
      </c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</row>
    <row r="22" ht="21.75" customHeight="1" s="134">
      <c r="A22" s="51" t="inlineStr">
        <is>
          <t>Varie ed Eventuali</t>
        </is>
      </c>
      <c r="B22" s="52" t="n"/>
      <c r="C22" s="53">
        <f>' Varie ed Eventuali'!D3</f>
        <v/>
      </c>
      <c r="D22" s="54">
        <f>' Varie ed Eventuali'!E3</f>
        <v/>
      </c>
      <c r="E22" s="54">
        <f>' Varie ed Eventuali'!F3</f>
        <v/>
      </c>
      <c r="F22" s="54">
        <f>' Varie ed Eventuali'!G3</f>
        <v/>
      </c>
      <c r="G22" s="54">
        <f>' Varie ed Eventuali'!H3</f>
        <v/>
      </c>
      <c r="H22" s="54">
        <f>' Varie ed Eventuali'!I3</f>
        <v/>
      </c>
      <c r="I22" s="54">
        <f>' Varie ed Eventuali'!J3</f>
        <v/>
      </c>
      <c r="J22" s="57">
        <f>' Varie ed Eventuali'!K3</f>
        <v/>
      </c>
      <c r="K22" s="57">
        <f>' Varie ed Eventuali'!L3</f>
        <v/>
      </c>
      <c r="L22" s="57">
        <f>' Varie ed Eventuali'!M3</f>
        <v/>
      </c>
      <c r="M22" s="57">
        <f>' Varie ed Eventuali'!N3</f>
        <v/>
      </c>
      <c r="N22" s="57">
        <f>' Varie ed Eventuali'!O3</f>
        <v/>
      </c>
      <c r="O22" s="57">
        <f>' Varie ed Eventuali'!P3</f>
        <v/>
      </c>
      <c r="P22" s="57">
        <f>' Varie ed Eventuali'!Q3</f>
        <v/>
      </c>
      <c r="Q22" s="155">
        <f>' Varie ed Eventuali'!R3</f>
        <v/>
      </c>
      <c r="R22" s="142">
        <f>SUM(C22:Q22)</f>
        <v/>
      </c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</row>
    <row r="23" ht="21.75" customHeight="1" s="134">
      <c r="A23" s="51" t="inlineStr">
        <is>
          <t>Canoni e servizi</t>
        </is>
      </c>
      <c r="B23" s="52" t="n"/>
      <c r="C23" s="53">
        <f>'Canoni e servizi'!D4</f>
        <v/>
      </c>
      <c r="D23" s="54">
        <f>'Canoni e servizi'!E4</f>
        <v/>
      </c>
      <c r="E23" s="54">
        <f>'Canoni e servizi'!F4</f>
        <v/>
      </c>
      <c r="F23" s="54">
        <f>'Canoni e servizi'!G4</f>
        <v/>
      </c>
      <c r="G23" s="54">
        <f>'Canoni e servizi'!H4</f>
        <v/>
      </c>
      <c r="H23" s="54">
        <f>'Canoni e servizi'!I4</f>
        <v/>
      </c>
      <c r="I23" s="54">
        <f>'Canoni e servizi'!J4</f>
        <v/>
      </c>
      <c r="J23" s="57">
        <f>'Canoni e servizi'!K4</f>
        <v/>
      </c>
      <c r="K23" s="57">
        <f>'Canoni e servizi'!L4</f>
        <v/>
      </c>
      <c r="L23" s="57">
        <f>'Canoni e servizi'!M4</f>
        <v/>
      </c>
      <c r="M23" s="57">
        <f>'Canoni e servizi'!N4</f>
        <v/>
      </c>
      <c r="N23" s="57">
        <f>'Canoni e servizi'!O4</f>
        <v/>
      </c>
      <c r="O23" s="57">
        <f>'Canoni e servizi'!P4</f>
        <v/>
      </c>
      <c r="P23" s="57">
        <f>'Canoni e servizi'!Q4</f>
        <v/>
      </c>
      <c r="Q23" s="155">
        <f>'Canoni e servizi'!R4</f>
        <v/>
      </c>
      <c r="R23" s="142">
        <f>SUM(C23:Q23)</f>
        <v/>
      </c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</row>
    <row r="24" ht="21.75" customHeight="1" s="134">
      <c r="A24" s="51" t="inlineStr">
        <is>
          <t>Deposito Fitto</t>
        </is>
      </c>
      <c r="B24" s="52" t="n"/>
      <c r="C24" s="53" t="n"/>
      <c r="D24" s="54" t="n"/>
      <c r="E24" s="54" t="n"/>
      <c r="F24" s="54" t="n"/>
      <c r="G24" s="54" t="n"/>
      <c r="H24" s="54" t="n"/>
      <c r="I24" s="54" t="n"/>
      <c r="J24" s="57" t="n"/>
      <c r="K24" s="57" t="n"/>
      <c r="L24" s="57" t="n"/>
      <c r="M24" s="57" t="n"/>
      <c r="N24" s="57" t="n"/>
      <c r="O24" s="57" t="n"/>
      <c r="P24" s="57" t="n"/>
      <c r="Q24" s="155" t="n"/>
      <c r="R24" s="142">
        <f>SUM(C24:Q24)</f>
        <v/>
      </c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</row>
    <row r="25" ht="21.75" customHeight="1" s="134">
      <c r="A25" s="51" t="n"/>
      <c r="B25" s="52" t="n"/>
      <c r="C25" s="53" t="n"/>
      <c r="D25" s="54" t="n"/>
      <c r="E25" s="54" t="n"/>
      <c r="F25" s="54" t="n"/>
      <c r="G25" s="54" t="n"/>
      <c r="H25" s="54" t="n"/>
      <c r="I25" s="54" t="n"/>
      <c r="J25" s="57" t="n"/>
      <c r="K25" s="69" t="n"/>
      <c r="L25" s="57" t="n"/>
      <c r="M25" s="57" t="n"/>
      <c r="N25" s="57" t="n"/>
      <c r="O25" s="57" t="n"/>
      <c r="P25" s="57" t="n"/>
      <c r="Q25" s="155" t="n"/>
      <c r="R25" s="142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</row>
    <row r="26" ht="21.75" customHeight="1" s="134">
      <c r="A26" s="70" t="n"/>
      <c r="B26" s="71" t="n"/>
      <c r="C26" s="72" t="n"/>
      <c r="D26" s="73" t="n"/>
      <c r="E26" s="73" t="n"/>
      <c r="F26" s="73" t="n"/>
      <c r="G26" s="73" t="n"/>
      <c r="H26" s="73" t="n"/>
      <c r="I26" s="73" t="n"/>
      <c r="J26" s="74" t="n"/>
      <c r="K26" s="57" t="n"/>
      <c r="L26" s="74" t="n"/>
      <c r="M26" s="74" t="n"/>
      <c r="N26" s="74" t="n"/>
      <c r="O26" s="74" t="n"/>
      <c r="P26" s="74" t="n"/>
      <c r="Q26" s="157" t="n"/>
      <c r="R26" s="146" t="n"/>
      <c r="S26" s="27" t="n"/>
      <c r="T26" s="27" t="n"/>
      <c r="U26" s="27" t="n"/>
      <c r="V26" s="27" t="n"/>
      <c r="W26" s="27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</row>
    <row r="27" ht="21.75" customHeight="1" s="134" thickBot="1">
      <c r="A27" s="75" t="inlineStr">
        <is>
          <t xml:space="preserve">TOTALE USCITE </t>
        </is>
      </c>
      <c r="B27" s="76" t="n"/>
      <c r="C27" s="77">
        <f>SUM(C14:C26)</f>
        <v/>
      </c>
      <c r="D27" s="78">
        <f>SUM(D14:D26)</f>
        <v/>
      </c>
      <c r="E27" s="78">
        <f>SUM(E14:E26)</f>
        <v/>
      </c>
      <c r="F27" s="78">
        <f>SUM(F14:F26)</f>
        <v/>
      </c>
      <c r="G27" s="78">
        <f>SUM(G14:G26)</f>
        <v/>
      </c>
      <c r="H27" s="78">
        <f>SUM(H14:H26)</f>
        <v/>
      </c>
      <c r="I27" s="78">
        <f>SUM(I14:I26)</f>
        <v/>
      </c>
      <c r="J27" s="79">
        <f>SUM(J14:J26)</f>
        <v/>
      </c>
      <c r="K27" s="79">
        <f>SUM(K14:K26)</f>
        <v/>
      </c>
      <c r="L27" s="79">
        <f>SUM(L14:L26)</f>
        <v/>
      </c>
      <c r="M27" s="79">
        <f>SUM(M14:M26)</f>
        <v/>
      </c>
      <c r="N27" s="79">
        <f>SUM(N14:N26)</f>
        <v/>
      </c>
      <c r="O27" s="79">
        <f>SUM(O14:O26)</f>
        <v/>
      </c>
      <c r="P27" s="79">
        <f>SUM(P14:P26)</f>
        <v/>
      </c>
      <c r="Q27" s="158">
        <f>SUM(Q14:Q26)</f>
        <v/>
      </c>
      <c r="R27" s="147">
        <f>SUM(C27:Q27)</f>
        <v/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</row>
    <row r="28" ht="7.5" customHeight="1" s="134" thickTop="1">
      <c r="A28" s="40" t="n"/>
      <c r="B28" s="41" t="n"/>
      <c r="C28" s="67" t="n"/>
      <c r="D28" s="44" t="n"/>
      <c r="E28" s="44" t="n"/>
      <c r="F28" s="44" t="n"/>
      <c r="G28" s="44" t="n"/>
      <c r="H28" s="44" t="n"/>
      <c r="I28" s="44" t="n"/>
      <c r="J28" s="48" t="n"/>
      <c r="K28" s="48" t="n"/>
      <c r="L28" s="48" t="n"/>
      <c r="M28" s="48" t="n"/>
      <c r="N28" s="48" t="n"/>
      <c r="O28" s="48" t="n"/>
      <c r="P28" s="48" t="n"/>
      <c r="Q28" s="154" t="n"/>
      <c r="R28" s="14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</row>
    <row r="29" ht="21.75" customHeight="1" s="134" thickBot="1">
      <c r="A29" s="80" t="inlineStr">
        <is>
          <t>Cash Flow</t>
        </is>
      </c>
      <c r="B29" s="81" t="n"/>
      <c r="C29" s="82">
        <f>C12-C27</f>
        <v/>
      </c>
      <c r="D29" s="83">
        <f>D12-D27</f>
        <v/>
      </c>
      <c r="E29" s="83">
        <f>E12-E27</f>
        <v/>
      </c>
      <c r="F29" s="83">
        <f>F12-F27</f>
        <v/>
      </c>
      <c r="G29" s="83">
        <f>G12-G27</f>
        <v/>
      </c>
      <c r="H29" s="83">
        <f>H12-H27</f>
        <v/>
      </c>
      <c r="I29" s="83">
        <f>I12-I27</f>
        <v/>
      </c>
      <c r="J29" s="84">
        <f>J12-J27</f>
        <v/>
      </c>
      <c r="K29" s="84">
        <f>K12-K27</f>
        <v/>
      </c>
      <c r="L29" s="84">
        <f>L12-L27</f>
        <v/>
      </c>
      <c r="M29" s="84">
        <f>M12-M27</f>
        <v/>
      </c>
      <c r="N29" s="84">
        <f>N12-N27</f>
        <v/>
      </c>
      <c r="O29" s="84">
        <f>O12-O27</f>
        <v/>
      </c>
      <c r="P29" s="84">
        <f>P12-P27</f>
        <v/>
      </c>
      <c r="Q29" s="159">
        <f>Q12-Q27</f>
        <v/>
      </c>
      <c r="R29" s="148">
        <f>R12-R27</f>
        <v/>
      </c>
      <c r="S29" s="27" t="n"/>
      <c r="T29" s="27" t="n"/>
      <c r="U29" s="27" t="n"/>
      <c r="V29" s="27" t="n"/>
      <c r="W29" s="27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</row>
    <row r="30" ht="7.5" customHeight="1" s="134" thickTop="1">
      <c r="A30" s="40" t="n"/>
      <c r="B30" s="41" t="n"/>
      <c r="C30" s="67" t="n"/>
      <c r="D30" s="44" t="n"/>
      <c r="E30" s="44" t="n"/>
      <c r="F30" s="44" t="n"/>
      <c r="G30" s="44" t="n"/>
      <c r="H30" s="44" t="n"/>
      <c r="I30" s="44" t="n"/>
      <c r="J30" s="48" t="n"/>
      <c r="K30" s="48" t="n"/>
      <c r="L30" s="48" t="n"/>
      <c r="M30" s="48" t="n"/>
      <c r="N30" s="48" t="n"/>
      <c r="O30" s="48" t="n"/>
      <c r="P30" s="48" t="n"/>
      <c r="Q30" s="154" t="n"/>
      <c r="R30" s="14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</row>
    <row r="31" ht="21.75" customHeight="1" s="134">
      <c r="A31" s="85" t="inlineStr">
        <is>
          <t>30/04/2026</t>
        </is>
      </c>
      <c r="B31" s="52" t="n"/>
      <c r="C31" s="53" t="inlineStr">
        <is>
          <t>30/04/2026</t>
        </is>
      </c>
      <c r="D31" s="54" t="inlineStr">
        <is>
          <t>31/05/2026</t>
        </is>
      </c>
      <c r="E31" s="54" t="inlineStr">
        <is>
          <t>30/06/2026</t>
        </is>
      </c>
      <c r="F31" s="54" t="n"/>
      <c r="G31" s="54" t="n"/>
      <c r="H31" s="54" t="n"/>
      <c r="I31" s="54" t="n"/>
      <c r="J31" s="57" t="n"/>
      <c r="K31" s="57" t="n"/>
      <c r="L31" s="57" t="n"/>
      <c r="M31" s="57" t="n"/>
      <c r="N31" s="57" t="n"/>
      <c r="O31" s="57" t="n"/>
      <c r="P31" s="57" t="n"/>
      <c r="Q31" s="155" t="n"/>
      <c r="R31" s="142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</row>
    <row r="32" ht="21.75" customHeight="1" s="134">
      <c r="A32" s="86" t="inlineStr">
        <is>
          <t>Saldo MPS</t>
        </is>
      </c>
      <c r="B32" s="87" t="inlineStr">
        <is>
          <t>30/06/2026</t>
        </is>
      </c>
      <c r="C32" s="88" t="inlineStr">
        <is>
          <t>726,946.18 €</t>
        </is>
      </c>
      <c r="D32" s="89" t="n">
        <v>469192.55</v>
      </c>
      <c r="E32" s="54" t="n">
        <v>726946.1800000001</v>
      </c>
      <c r="F32" s="54" t="n"/>
      <c r="G32" s="54" t="n"/>
      <c r="H32" s="54" t="n"/>
      <c r="I32" s="54" t="n"/>
      <c r="J32" s="57" t="n"/>
      <c r="K32" s="57" t="n"/>
      <c r="L32" s="57" t="n"/>
      <c r="M32" s="57" t="n"/>
      <c r="N32" s="57" t="n"/>
      <c r="O32" s="57" t="n"/>
      <c r="P32" s="57" t="n"/>
      <c r="Q32" s="155" t="n"/>
      <c r="R32" s="142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</row>
    <row r="33" ht="21.75" customHeight="1" s="134">
      <c r="A33" s="86" t="inlineStr">
        <is>
          <t>Saldo Intesa</t>
        </is>
      </c>
      <c r="B33" s="90" t="n"/>
      <c r="C33" s="88" t="inlineStr">
        <is>
          <t>136,312.45 €</t>
        </is>
      </c>
      <c r="D33" s="54" t="n">
        <v>111933.31</v>
      </c>
      <c r="E33" s="54" t="n">
        <v>136312.45</v>
      </c>
      <c r="F33" s="54" t="n"/>
      <c r="G33" s="54" t="n"/>
      <c r="H33" s="54" t="n"/>
      <c r="I33" s="54" t="n"/>
      <c r="J33" s="57" t="n"/>
      <c r="K33" s="57" t="n"/>
      <c r="L33" s="57" t="n"/>
      <c r="M33" s="57" t="n"/>
      <c r="N33" s="57" t="n"/>
      <c r="O33" s="57" t="n"/>
      <c r="P33" s="57" t="n"/>
      <c r="Q33" s="155" t="n"/>
      <c r="R33" s="142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</row>
    <row r="34" ht="21.75" customHeight="1" s="134">
      <c r="A34" s="86" t="n"/>
      <c r="B34" s="52" t="n"/>
      <c r="C34" s="53" t="n"/>
      <c r="D34" s="54" t="n"/>
      <c r="E34" s="54" t="n"/>
      <c r="F34" s="54" t="n"/>
      <c r="G34" s="54" t="n"/>
      <c r="H34" s="54" t="n"/>
      <c r="I34" s="54" t="n"/>
      <c r="J34" s="57" t="n"/>
      <c r="K34" s="57" t="n"/>
      <c r="L34" s="57" t="n"/>
      <c r="M34" s="57" t="n"/>
      <c r="N34" s="57" t="n"/>
      <c r="O34" s="57" t="n"/>
      <c r="P34" s="57" t="n"/>
      <c r="Q34" s="155" t="n"/>
      <c r="R34" s="143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</row>
    <row r="35" ht="21.75" customHeight="1" s="134" thickBot="1">
      <c r="A35" s="91" t="inlineStr">
        <is>
          <t xml:space="preserve">TOTALE BANCHE </t>
        </is>
      </c>
      <c r="B35" s="92" t="n"/>
      <c r="C35" s="93">
        <f>SUM(C32:C34)</f>
        <v/>
      </c>
      <c r="D35" s="94" t="n"/>
      <c r="E35" s="94" t="n"/>
      <c r="F35" s="94" t="n"/>
      <c r="G35" s="94" t="n"/>
      <c r="H35" s="94" t="n"/>
      <c r="I35" s="94" t="n"/>
      <c r="J35" s="95" t="n"/>
      <c r="K35" s="95" t="n"/>
      <c r="L35" s="95" t="n"/>
      <c r="M35" s="95" t="n"/>
      <c r="N35" s="95" t="n"/>
      <c r="O35" s="95" t="n"/>
      <c r="P35" s="95" t="n"/>
      <c r="Q35" s="160" t="n"/>
      <c r="R35" s="149" t="n"/>
      <c r="S35" s="27" t="n"/>
      <c r="T35" s="27" t="n"/>
      <c r="U35" s="27" t="n"/>
      <c r="V35" s="27" t="n"/>
      <c r="W35" s="27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</row>
    <row r="36" ht="7.5" customHeight="1" s="134" thickTop="1">
      <c r="A36" s="40" t="n"/>
      <c r="B36" s="41" t="n"/>
      <c r="C36" s="67" t="n"/>
      <c r="D36" s="44" t="n"/>
      <c r="E36" s="44" t="n"/>
      <c r="F36" s="44" t="n"/>
      <c r="G36" s="44" t="n"/>
      <c r="H36" s="44" t="n"/>
      <c r="I36" s="44" t="n"/>
      <c r="J36" s="48" t="n"/>
      <c r="K36" s="48" t="n"/>
      <c r="L36" s="48" t="n"/>
      <c r="M36" s="48" t="n"/>
      <c r="N36" s="48" t="n"/>
      <c r="O36" s="48" t="n"/>
      <c r="P36" s="48" t="n"/>
      <c r="Q36" s="154" t="n"/>
      <c r="R36" s="14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</row>
    <row r="37" ht="25.5" customHeight="1" s="134" thickBot="1">
      <c r="A37" s="96" t="inlineStr">
        <is>
          <t xml:space="preserve">Saldo di Periodo/Proiettato </t>
        </is>
      </c>
      <c r="B37" s="97" t="n"/>
      <c r="C37" s="98">
        <f>C4+C29</f>
        <v/>
      </c>
      <c r="D37" s="99">
        <f>D4+D29</f>
        <v/>
      </c>
      <c r="E37" s="99">
        <f>E4+E29</f>
        <v/>
      </c>
      <c r="F37" s="99">
        <f>F4+F29</f>
        <v/>
      </c>
      <c r="G37" s="99">
        <f>G4+G29</f>
        <v/>
      </c>
      <c r="H37" s="99">
        <f>H4+H29</f>
        <v/>
      </c>
      <c r="I37" s="99">
        <f>I4+I29</f>
        <v/>
      </c>
      <c r="J37" s="100">
        <f>J4+J29</f>
        <v/>
      </c>
      <c r="K37" s="100">
        <f>K4+K29</f>
        <v/>
      </c>
      <c r="L37" s="100">
        <f>L4+L29</f>
        <v/>
      </c>
      <c r="M37" s="100">
        <f>M4+M29</f>
        <v/>
      </c>
      <c r="N37" s="100">
        <f>N4+N29</f>
        <v/>
      </c>
      <c r="O37" s="100">
        <f>O4+O29</f>
        <v/>
      </c>
      <c r="P37" s="100">
        <f>P4+P29</f>
        <v/>
      </c>
      <c r="Q37" s="161">
        <f>Q4+Q29</f>
        <v/>
      </c>
      <c r="R37" s="150">
        <f>Q37</f>
        <v/>
      </c>
      <c r="S37" s="27" t="n"/>
      <c r="T37" s="27" t="n"/>
      <c r="U37" s="27" t="n"/>
      <c r="V37" s="27" t="n"/>
      <c r="W37" s="27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</row>
    <row r="38" ht="7.5" customHeight="1" s="134" thickTop="1">
      <c r="A38" s="101" t="n"/>
      <c r="B38" s="41" t="n"/>
      <c r="C38" s="67" t="n"/>
      <c r="D38" s="44" t="n"/>
      <c r="E38" s="44" t="n"/>
      <c r="F38" s="44" t="n"/>
      <c r="G38" s="44" t="n"/>
      <c r="H38" s="44" t="n"/>
      <c r="I38" s="44" t="n"/>
      <c r="J38" s="48" t="n"/>
      <c r="K38" s="48" t="n"/>
      <c r="L38" s="48" t="n"/>
      <c r="M38" s="48" t="n"/>
      <c r="N38" s="48" t="n"/>
      <c r="O38" s="48" t="n"/>
      <c r="P38" s="48" t="n"/>
      <c r="Q38" s="154" t="n"/>
      <c r="R38" s="14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</row>
    <row r="39" ht="21.75" customHeight="1" s="134">
      <c r="A39" s="86" t="inlineStr">
        <is>
          <t xml:space="preserve">Fin. MPS 60 mesi </t>
        </is>
      </c>
      <c r="B39" s="52" t="n"/>
      <c r="C39" s="53" t="n">
        <v>0</v>
      </c>
      <c r="D39" s="54" t="n">
        <v>0</v>
      </c>
      <c r="E39" s="54" t="n">
        <v>0</v>
      </c>
      <c r="F39" s="54" t="n">
        <v>0</v>
      </c>
      <c r="G39" s="54" t="n">
        <v>0</v>
      </c>
      <c r="H39" s="54" t="n">
        <v>0</v>
      </c>
      <c r="I39" s="54" t="n">
        <v>0</v>
      </c>
      <c r="J39" s="57" t="n">
        <v>0</v>
      </c>
      <c r="K39" s="57" t="n">
        <v>0</v>
      </c>
      <c r="L39" s="57" t="n"/>
      <c r="M39" s="57" t="n"/>
      <c r="N39" s="57" t="n"/>
      <c r="O39" s="57" t="n"/>
      <c r="P39" s="57" t="n"/>
      <c r="Q39" s="155" t="n"/>
      <c r="R39" s="142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</row>
    <row r="40" ht="21.75" customHeight="1" s="134">
      <c r="A40" s="86" t="n"/>
      <c r="B40" s="52" t="n"/>
      <c r="C40" s="53" t="n"/>
      <c r="D40" s="54" t="n"/>
      <c r="E40" s="54" t="n"/>
      <c r="F40" s="54" t="n"/>
      <c r="G40" s="54" t="n"/>
      <c r="H40" s="54" t="n"/>
      <c r="I40" s="54" t="n"/>
      <c r="J40" s="57" t="n"/>
      <c r="K40" s="57" t="n"/>
      <c r="L40" s="57" t="n"/>
      <c r="M40" s="57" t="n"/>
      <c r="N40" s="57" t="n"/>
      <c r="O40" s="57" t="n"/>
      <c r="P40" s="57" t="n"/>
      <c r="Q40" s="155" t="n"/>
      <c r="R40" s="142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</row>
    <row r="41" ht="21.75" customHeight="1" s="134">
      <c r="A41" s="86" t="n"/>
      <c r="B41" s="52" t="n"/>
      <c r="C41" s="53" t="n"/>
      <c r="D41" s="54" t="n"/>
      <c r="E41" s="54" t="n"/>
      <c r="F41" s="54" t="n"/>
      <c r="G41" s="54" t="n"/>
      <c r="H41" s="54" t="n"/>
      <c r="I41" s="54" t="n"/>
      <c r="J41" s="57" t="n"/>
      <c r="K41" s="57" t="n"/>
      <c r="L41" s="57" t="n"/>
      <c r="M41" s="57" t="n"/>
      <c r="N41" s="57" t="n"/>
      <c r="O41" s="57" t="n"/>
      <c r="P41" s="57" t="n"/>
      <c r="Q41" s="155" t="n"/>
      <c r="R41" s="142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</row>
    <row r="42" ht="21.75" customHeight="1" s="134">
      <c r="A42" s="86" t="n"/>
      <c r="B42" s="52" t="n"/>
      <c r="C42" s="53" t="n"/>
      <c r="D42" s="54" t="n"/>
      <c r="E42" s="54" t="n"/>
      <c r="F42" s="54" t="n"/>
      <c r="G42" s="54" t="n"/>
      <c r="H42" s="54" t="n"/>
      <c r="I42" s="54" t="n"/>
      <c r="J42" s="57" t="n"/>
      <c r="K42" s="57" t="n"/>
      <c r="L42" s="57" t="n"/>
      <c r="M42" s="57" t="n"/>
      <c r="N42" s="57" t="n"/>
      <c r="O42" s="57" t="n"/>
      <c r="P42" s="57" t="n"/>
      <c r="Q42" s="155" t="n"/>
      <c r="R42" s="143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</row>
    <row r="43" ht="21.75" customHeight="1" s="134" thickBot="1">
      <c r="A43" s="102" t="inlineStr">
        <is>
          <t xml:space="preserve">TOTALE AFFIDAMENTI  </t>
        </is>
      </c>
      <c r="B43" s="103" t="n"/>
      <c r="C43" s="104">
        <f>SUM(C39:C42)</f>
        <v/>
      </c>
      <c r="D43" s="105">
        <f>SUM(D39:D42)</f>
        <v/>
      </c>
      <c r="E43" s="105">
        <f>SUM(E39:E42)</f>
        <v/>
      </c>
      <c r="F43" s="105">
        <f>SUM(F39:F42)</f>
        <v/>
      </c>
      <c r="G43" s="105">
        <f>SUM(G39:G42)</f>
        <v/>
      </c>
      <c r="H43" s="105">
        <f>SUM(H39:H42)</f>
        <v/>
      </c>
      <c r="I43" s="105">
        <f>SUM(I39:I42)</f>
        <v/>
      </c>
      <c r="J43" s="106">
        <f>SUM(J39:J42)</f>
        <v/>
      </c>
      <c r="K43" s="106">
        <f>SUM(K39:K42)</f>
        <v/>
      </c>
      <c r="L43" s="106">
        <f>SUM(L39:L42)</f>
        <v/>
      </c>
      <c r="M43" s="106">
        <f>SUM(M39:M42)</f>
        <v/>
      </c>
      <c r="N43" s="106">
        <f>SUM(N39:N42)</f>
        <v/>
      </c>
      <c r="O43" s="106">
        <f>SUM(O39:O42)</f>
        <v/>
      </c>
      <c r="P43" s="106">
        <f>SUM(P39:P42)</f>
        <v/>
      </c>
      <c r="Q43" s="162">
        <f>SUM(Q39:Q42)</f>
        <v/>
      </c>
      <c r="R43" s="151">
        <f>SUM(C43:Q43)</f>
        <v/>
      </c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</row>
    <row r="44" ht="7.5" customHeight="1" s="134" thickTop="1">
      <c r="A44" s="40" t="n"/>
      <c r="B44" s="41" t="n"/>
      <c r="C44" s="67" t="n"/>
      <c r="D44" s="44" t="n"/>
      <c r="E44" s="44" t="n"/>
      <c r="F44" s="44" t="n"/>
      <c r="G44" s="44" t="n"/>
      <c r="H44" s="44" t="n"/>
      <c r="I44" s="44" t="n"/>
      <c r="J44" s="48" t="n"/>
      <c r="K44" s="48" t="n"/>
      <c r="L44" s="48" t="n"/>
      <c r="M44" s="48" t="n"/>
      <c r="N44" s="48" t="n"/>
      <c r="O44" s="48" t="n"/>
      <c r="P44" s="48" t="n"/>
      <c r="Q44" s="154" t="n"/>
      <c r="R44" s="14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</row>
    <row r="45" ht="25.5" customHeight="1" s="134" thickBot="1">
      <c r="A45" s="96" t="inlineStr">
        <is>
          <t>CASH FLOW CON AFFID.</t>
        </is>
      </c>
      <c r="B45" s="97" t="n"/>
      <c r="C45" s="107">
        <f>C37+C43</f>
        <v/>
      </c>
      <c r="D45" s="108">
        <f>D37+D43</f>
        <v/>
      </c>
      <c r="E45" s="108">
        <f>E37+E43</f>
        <v/>
      </c>
      <c r="F45" s="108">
        <f>F37+F43</f>
        <v/>
      </c>
      <c r="G45" s="108">
        <f>G37+G43</f>
        <v/>
      </c>
      <c r="H45" s="108">
        <f>H37+H43</f>
        <v/>
      </c>
      <c r="I45" s="108">
        <f>I37+I43</f>
        <v/>
      </c>
      <c r="J45" s="109">
        <f>J37+J43</f>
        <v/>
      </c>
      <c r="K45" s="109">
        <f>K37+K43</f>
        <v/>
      </c>
      <c r="L45" s="109">
        <f>L37+L43</f>
        <v/>
      </c>
      <c r="M45" s="109">
        <f>M37+M43</f>
        <v/>
      </c>
      <c r="N45" s="109">
        <f>N37+N43</f>
        <v/>
      </c>
      <c r="O45" s="109">
        <f>O37+O43</f>
        <v/>
      </c>
      <c r="P45" s="109">
        <f>P37+P43</f>
        <v/>
      </c>
      <c r="Q45" s="163">
        <f>Q37+Q43</f>
        <v/>
      </c>
      <c r="R45" s="150">
        <f>Q45</f>
        <v/>
      </c>
      <c r="S45" s="27" t="n"/>
      <c r="T45" s="27" t="n"/>
      <c r="U45" s="27" t="n"/>
      <c r="V45" s="27" t="n"/>
      <c r="W45" s="27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</row>
    <row r="46" ht="15.75" customHeight="1" s="134" thickTop="1">
      <c r="A46" s="5" t="n"/>
      <c r="B46" s="5" t="n"/>
      <c r="C46" s="110" t="n"/>
      <c r="D46" s="110" t="n"/>
      <c r="E46" s="110" t="n"/>
      <c r="F46" s="110" t="n"/>
      <c r="G46" s="110" t="n"/>
      <c r="H46" s="110" t="n"/>
      <c r="I46" s="110" t="n"/>
      <c r="J46" s="110" t="n"/>
      <c r="K46" s="110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</row>
    <row r="47" ht="15.75" customHeight="1" s="134">
      <c r="A47" s="5" t="n"/>
      <c r="B47" s="5" t="n"/>
      <c r="C47" s="110" t="n"/>
      <c r="D47" s="110" t="n"/>
      <c r="E47" s="110" t="n"/>
      <c r="F47" s="110" t="n"/>
      <c r="G47" s="110" t="n"/>
      <c r="H47" s="110" t="n"/>
      <c r="I47" s="110" t="n"/>
      <c r="J47" s="110" t="n"/>
      <c r="K47" s="110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</row>
    <row r="48" ht="15.75" customHeight="1" s="134">
      <c r="A48" s="5" t="n"/>
      <c r="B48" s="5" t="n"/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</row>
    <row r="49" ht="15.75" customHeight="1" s="134">
      <c r="A49" s="5" t="n"/>
      <c r="B49" s="5" t="n"/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</row>
    <row r="50" ht="15.75" customHeight="1" s="134">
      <c r="A50" s="5" t="n"/>
      <c r="B50" s="5" t="n"/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</row>
    <row r="51" ht="15.75" customHeight="1" s="134">
      <c r="A51" s="5" t="n"/>
      <c r="B51" s="5" t="n"/>
      <c r="C51" s="110" t="n"/>
      <c r="D51" s="110" t="n"/>
      <c r="E51" s="110" t="n"/>
      <c r="F51" s="110" t="n"/>
      <c r="G51" s="110" t="n"/>
      <c r="H51" s="110" t="n"/>
      <c r="I51" s="110" t="n"/>
      <c r="J51" s="110" t="n"/>
      <c r="K51" s="110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</row>
    <row r="52" ht="15.75" customHeight="1" s="134">
      <c r="A52" s="5" t="n"/>
      <c r="B52" s="5" t="n"/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</row>
    <row r="53" ht="15.75" customHeight="1" s="134">
      <c r="A53" s="5" t="n"/>
      <c r="B53" s="5" t="n"/>
      <c r="C53" s="110" t="n"/>
      <c r="D53" s="110" t="n"/>
      <c r="E53" s="110" t="n"/>
      <c r="F53" s="110" t="n"/>
      <c r="G53" s="110" t="n"/>
      <c r="H53" s="110" t="n"/>
      <c r="I53" s="110" t="n"/>
      <c r="J53" s="110" t="n"/>
      <c r="K53" s="110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</row>
    <row r="54" ht="15.75" customHeight="1" s="134">
      <c r="A54" s="5" t="n"/>
      <c r="B54" s="5" t="n"/>
      <c r="C54" s="110" t="n"/>
      <c r="D54" s="110" t="n"/>
      <c r="E54" s="110" t="n"/>
      <c r="F54" s="110" t="n"/>
      <c r="G54" s="110" t="n"/>
      <c r="H54" s="110" t="n"/>
      <c r="I54" s="110" t="n"/>
      <c r="J54" s="110" t="n"/>
      <c r="K54" s="110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</row>
    <row r="55" ht="15.75" customHeight="1" s="134">
      <c r="A55" s="5" t="n"/>
      <c r="B55" s="5" t="n"/>
      <c r="C55" s="110" t="n"/>
      <c r="D55" s="110" t="n"/>
      <c r="E55" s="110" t="n"/>
      <c r="F55" s="110" t="n"/>
      <c r="G55" s="110" t="n"/>
      <c r="H55" s="110" t="n"/>
      <c r="I55" s="110" t="n"/>
      <c r="J55" s="110" t="n"/>
      <c r="K55" s="110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</row>
    <row r="56" ht="15.75" customHeight="1" s="134">
      <c r="A56" s="5" t="n"/>
      <c r="B56" s="5" t="n"/>
      <c r="C56" s="110" t="n"/>
      <c r="D56" s="110" t="n"/>
      <c r="E56" s="110" t="n"/>
      <c r="F56" s="110" t="n"/>
      <c r="G56" s="110" t="n"/>
      <c r="H56" s="110" t="n"/>
      <c r="I56" s="110" t="n"/>
      <c r="J56" s="110" t="n"/>
      <c r="K56" s="110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</row>
    <row r="57" ht="15.75" customHeight="1" s="134">
      <c r="A57" s="5" t="n"/>
      <c r="B57" s="5" t="n"/>
      <c r="C57" s="110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</row>
    <row r="58" ht="15.75" customHeight="1" s="134">
      <c r="A58" s="5" t="n"/>
      <c r="B58" s="5" t="n"/>
      <c r="C58" s="110" t="n"/>
      <c r="D58" s="110" t="n"/>
      <c r="E58" s="110" t="n"/>
      <c r="F58" s="110" t="n"/>
      <c r="G58" s="110" t="n"/>
      <c r="H58" s="110" t="n"/>
      <c r="I58" s="110" t="n"/>
      <c r="J58" s="110" t="n"/>
      <c r="K58" s="110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</row>
    <row r="59" ht="15.75" customHeight="1" s="134">
      <c r="A59" s="5" t="n"/>
      <c r="B59" s="5" t="n"/>
      <c r="C59" s="110" t="n"/>
      <c r="D59" s="110" t="n"/>
      <c r="E59" s="110" t="n"/>
      <c r="F59" s="110" t="n"/>
      <c r="G59" s="110" t="n"/>
      <c r="H59" s="110" t="n"/>
      <c r="I59" s="110" t="n"/>
      <c r="J59" s="110" t="n"/>
      <c r="K59" s="110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</row>
    <row r="60" ht="15.75" customHeight="1" s="134">
      <c r="A60" s="5" t="n"/>
      <c r="B60" s="5" t="n"/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</row>
    <row r="61" ht="15.75" customHeight="1" s="134">
      <c r="A61" s="5" t="n"/>
      <c r="B61" s="5" t="n"/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</row>
    <row r="62" ht="15.75" customHeight="1" s="134">
      <c r="A62" s="5" t="n"/>
      <c r="B62" s="5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</row>
    <row r="63" ht="15.75" customHeight="1" s="134">
      <c r="A63" s="5" t="n"/>
      <c r="B63" s="5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</row>
    <row r="64" ht="15.75" customHeight="1" s="134">
      <c r="A64" s="5" t="n"/>
      <c r="B64" s="5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10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</row>
    <row r="65" ht="15.75" customHeight="1" s="134">
      <c r="A65" s="5" t="n"/>
      <c r="B65" s="5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</row>
    <row r="66" ht="15.75" customHeight="1" s="134">
      <c r="A66" s="5" t="n"/>
      <c r="B66" s="5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</row>
    <row r="67" ht="15.75" customHeight="1" s="134">
      <c r="A67" s="5" t="n"/>
      <c r="B67" s="5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</row>
    <row r="68" ht="15.75" customHeight="1" s="134">
      <c r="A68" s="5" t="n"/>
      <c r="B68" s="5" t="n"/>
      <c r="C68" s="110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</row>
    <row r="69" ht="15.75" customHeight="1" s="134">
      <c r="A69" s="5" t="n"/>
      <c r="B69" s="5" t="n"/>
      <c r="C69" s="110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</row>
    <row r="70" ht="15.75" customHeight="1" s="134">
      <c r="A70" s="5" t="n"/>
      <c r="B70" s="5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</row>
    <row r="71" ht="15.75" customHeight="1" s="134">
      <c r="A71" s="5" t="n"/>
      <c r="B71" s="5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</row>
    <row r="72" ht="15.75" customHeight="1" s="134">
      <c r="A72" s="5" t="n"/>
      <c r="B72" s="5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</row>
    <row r="73" ht="15.75" customHeight="1" s="134">
      <c r="A73" s="5" t="n"/>
      <c r="B73" s="5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</row>
    <row r="74" ht="15.75" customHeight="1" s="134">
      <c r="A74" s="5" t="n"/>
      <c r="B74" s="5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</row>
    <row r="75" ht="15.75" customHeight="1" s="134">
      <c r="A75" s="5" t="n"/>
      <c r="B75" s="5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</row>
    <row r="76" ht="15.75" customHeight="1" s="134">
      <c r="A76" s="5" t="n"/>
      <c r="B76" s="5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</row>
    <row r="77" ht="15.75" customHeight="1" s="134">
      <c r="A77" s="5" t="n"/>
      <c r="B77" s="5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</row>
    <row r="78" ht="15.75" customHeight="1" s="134">
      <c r="A78" s="5" t="n"/>
      <c r="B78" s="5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</row>
    <row r="79" ht="15.75" customHeight="1" s="134">
      <c r="A79" s="5" t="n"/>
      <c r="B79" s="5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</row>
    <row r="80" ht="15.75" customHeight="1" s="134">
      <c r="A80" s="5" t="n"/>
      <c r="B80" s="5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</row>
    <row r="81" ht="15.75" customHeight="1" s="134">
      <c r="A81" s="5" t="n"/>
      <c r="B81" s="5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</row>
    <row r="82" ht="15.75" customHeight="1" s="134">
      <c r="A82" s="5" t="n"/>
      <c r="B82" s="5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</row>
    <row r="83" ht="15.75" customHeight="1" s="134">
      <c r="A83" s="5" t="n"/>
      <c r="B83" s="5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</row>
    <row r="84" ht="15.75" customHeight="1" s="134">
      <c r="A84" s="5" t="n"/>
      <c r="B84" s="5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</row>
    <row r="85" ht="15.75" customHeight="1" s="134">
      <c r="A85" s="5" t="n"/>
      <c r="B85" s="5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</row>
    <row r="86" ht="15.75" customHeight="1" s="134">
      <c r="A86" s="5" t="n"/>
      <c r="B86" s="5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</row>
    <row r="87" ht="15.75" customHeight="1" s="134">
      <c r="A87" s="5" t="n"/>
      <c r="B87" s="5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</row>
    <row r="88" ht="15.75" customHeight="1" s="134">
      <c r="A88" s="5" t="n"/>
      <c r="B88" s="5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</row>
    <row r="89" ht="15.75" customHeight="1" s="134">
      <c r="A89" s="5" t="n"/>
      <c r="B89" s="5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</row>
    <row r="90" ht="15.75" customHeight="1" s="134">
      <c r="A90" s="5" t="n"/>
      <c r="B90" s="5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</row>
    <row r="91" ht="15.75" customHeight="1" s="134">
      <c r="A91" s="5" t="n"/>
      <c r="B91" s="5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</row>
    <row r="92" ht="15.75" customHeight="1" s="134">
      <c r="A92" s="5" t="n"/>
      <c r="B92" s="5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</row>
    <row r="93" ht="15.75" customHeight="1" s="134">
      <c r="A93" s="5" t="n"/>
      <c r="B93" s="5" t="n"/>
      <c r="C93" s="110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</row>
    <row r="94" ht="15.75" customHeight="1" s="134">
      <c r="A94" s="5" t="n"/>
      <c r="B94" s="5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</row>
    <row r="95" ht="15.75" customHeight="1" s="134">
      <c r="A95" s="5" t="n"/>
      <c r="B95" s="5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</row>
    <row r="96" ht="15.75" customHeight="1" s="134">
      <c r="A96" s="5" t="n"/>
      <c r="B96" s="5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</row>
    <row r="97" ht="15.75" customHeight="1" s="134">
      <c r="A97" s="5" t="n"/>
      <c r="B97" s="5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</row>
    <row r="98" ht="15.75" customHeight="1" s="134">
      <c r="A98" s="5" t="n"/>
      <c r="B98" s="5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</row>
    <row r="99" ht="15.75" customHeight="1" s="134">
      <c r="A99" s="5" t="n"/>
      <c r="B99" s="5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</row>
    <row r="100" ht="15.75" customHeight="1" s="134">
      <c r="A100" s="5" t="n"/>
      <c r="B100" s="5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</row>
    <row r="101" ht="15.75" customHeight="1" s="134">
      <c r="A101" s="5" t="n"/>
      <c r="B101" s="5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</row>
    <row r="102" ht="15.75" customHeight="1" s="134">
      <c r="A102" s="5" t="n"/>
      <c r="B102" s="5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</row>
    <row r="103" ht="15.75" customHeight="1" s="134">
      <c r="A103" s="5" t="n"/>
      <c r="B103" s="5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</row>
    <row r="104" ht="15.75" customHeight="1" s="134">
      <c r="A104" s="5" t="n"/>
      <c r="B104" s="5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</row>
    <row r="105" ht="15.75" customHeight="1" s="134">
      <c r="A105" s="5" t="n"/>
      <c r="B105" s="5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</row>
    <row r="106" ht="15.75" customHeight="1" s="134">
      <c r="A106" s="5" t="n"/>
      <c r="B106" s="5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</row>
    <row r="107" ht="15.75" customHeight="1" s="134">
      <c r="A107" s="5" t="n"/>
      <c r="B107" s="5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</row>
    <row r="108" ht="15.75" customHeight="1" s="134">
      <c r="A108" s="5" t="n"/>
      <c r="B108" s="5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</row>
    <row r="109" ht="15.75" customHeight="1" s="134">
      <c r="A109" s="5" t="n"/>
      <c r="B109" s="5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</row>
    <row r="110" ht="15.75" customHeight="1" s="134">
      <c r="A110" s="5" t="n"/>
      <c r="B110" s="5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</row>
    <row r="111" ht="15.75" customHeight="1" s="134">
      <c r="A111" s="5" t="n"/>
      <c r="B111" s="5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</row>
    <row r="112" ht="15.75" customHeight="1" s="134">
      <c r="A112" s="5" t="n"/>
      <c r="B112" s="5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</row>
    <row r="113" ht="15.75" customHeight="1" s="134">
      <c r="A113" s="5" t="n"/>
      <c r="B113" s="5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</row>
    <row r="114" ht="15.75" customHeight="1" s="134">
      <c r="A114" s="5" t="n"/>
      <c r="B114" s="5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</row>
    <row r="115" ht="15.75" customHeight="1" s="134">
      <c r="A115" s="5" t="n"/>
      <c r="B115" s="5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</row>
    <row r="116" ht="15.75" customHeight="1" s="134">
      <c r="A116" s="5" t="n"/>
      <c r="B116" s="5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</row>
    <row r="117" ht="15.75" customHeight="1" s="134">
      <c r="A117" s="5" t="n"/>
      <c r="B117" s="5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</row>
    <row r="118" ht="15.75" customHeight="1" s="134">
      <c r="A118" s="5" t="n"/>
      <c r="B118" s="5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</row>
    <row r="119" ht="15.75" customHeight="1" s="134">
      <c r="A119" s="5" t="n"/>
      <c r="B119" s="5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</row>
    <row r="120" ht="15.75" customHeight="1" s="134">
      <c r="A120" s="5" t="n"/>
      <c r="B120" s="5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</row>
    <row r="121" ht="15.75" customHeight="1" s="134">
      <c r="A121" s="5" t="n"/>
      <c r="B121" s="5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</row>
    <row r="122" ht="15.75" customHeight="1" s="134">
      <c r="A122" s="5" t="n"/>
      <c r="B122" s="5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</row>
    <row r="123" ht="15.75" customHeight="1" s="134">
      <c r="A123" s="5" t="n"/>
      <c r="B123" s="5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</row>
    <row r="124" ht="15.75" customHeight="1" s="134">
      <c r="A124" s="5" t="n"/>
      <c r="B124" s="5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</row>
    <row r="125" ht="15.75" customHeight="1" s="134">
      <c r="A125" s="5" t="n"/>
      <c r="B125" s="5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</row>
    <row r="126" ht="15.75" customHeight="1" s="134">
      <c r="A126" s="5" t="n"/>
      <c r="B126" s="5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</row>
    <row r="127" ht="15.75" customHeight="1" s="134">
      <c r="A127" s="5" t="n"/>
      <c r="B127" s="5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</row>
    <row r="128" ht="15.75" customHeight="1" s="134">
      <c r="A128" s="5" t="n"/>
      <c r="B128" s="5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</row>
    <row r="129" ht="15.75" customHeight="1" s="134">
      <c r="A129" s="5" t="n"/>
      <c r="B129" s="5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</row>
    <row r="130" ht="15.75" customHeight="1" s="134">
      <c r="A130" s="5" t="n"/>
      <c r="B130" s="5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</row>
    <row r="131" ht="15.75" customHeight="1" s="134">
      <c r="A131" s="5" t="n"/>
      <c r="B131" s="5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</row>
    <row r="132" ht="15.75" customHeight="1" s="134">
      <c r="A132" s="5" t="n"/>
      <c r="B132" s="5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</row>
    <row r="133" ht="15.75" customHeight="1" s="134">
      <c r="A133" s="5" t="n"/>
      <c r="B133" s="5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</row>
    <row r="134" ht="15.75" customHeight="1" s="134">
      <c r="A134" s="5" t="n"/>
      <c r="B134" s="5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</row>
    <row r="135" ht="15.75" customHeight="1" s="134">
      <c r="A135" s="5" t="n"/>
      <c r="B135" s="5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</row>
    <row r="136" ht="15.75" customHeight="1" s="134">
      <c r="A136" s="5" t="n"/>
      <c r="B136" s="5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</row>
    <row r="137" ht="15.75" customHeight="1" s="134">
      <c r="A137" s="5" t="n"/>
      <c r="B137" s="5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</row>
    <row r="138" ht="15.75" customHeight="1" s="134">
      <c r="A138" s="5" t="n"/>
      <c r="B138" s="5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</row>
    <row r="139" ht="15.75" customHeight="1" s="134">
      <c r="A139" s="5" t="n"/>
      <c r="B139" s="5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</row>
    <row r="140" ht="15.75" customHeight="1" s="134">
      <c r="A140" s="5" t="n"/>
      <c r="B140" s="5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</row>
    <row r="141" ht="15.75" customHeight="1" s="134">
      <c r="A141" s="5" t="n"/>
      <c r="B141" s="5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</row>
    <row r="142" ht="15.75" customHeight="1" s="134">
      <c r="A142" s="5" t="n"/>
      <c r="B142" s="5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</row>
    <row r="143" ht="15.75" customHeight="1" s="134">
      <c r="A143" s="5" t="n"/>
      <c r="B143" s="5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</row>
    <row r="144" ht="15.75" customHeight="1" s="134">
      <c r="A144" s="5" t="n"/>
      <c r="B144" s="5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</row>
    <row r="145" ht="15.75" customHeight="1" s="134">
      <c r="A145" s="5" t="n"/>
      <c r="B145" s="5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</row>
    <row r="146" ht="15.75" customHeight="1" s="134">
      <c r="A146" s="5" t="n"/>
      <c r="B146" s="5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</row>
    <row r="147" ht="15.75" customHeight="1" s="134">
      <c r="A147" s="5" t="n"/>
      <c r="B147" s="5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</row>
    <row r="148" ht="15.75" customHeight="1" s="134">
      <c r="A148" s="5" t="n"/>
      <c r="B148" s="5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</row>
    <row r="149" ht="15.75" customHeight="1" s="134">
      <c r="A149" s="5" t="n"/>
      <c r="B149" s="5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</row>
    <row r="150" ht="15.75" customHeight="1" s="134">
      <c r="A150" s="5" t="n"/>
      <c r="B150" s="5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</row>
    <row r="151" ht="15.75" customHeight="1" s="134">
      <c r="A151" s="5" t="n"/>
      <c r="B151" s="5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</row>
    <row r="152" ht="15.75" customHeight="1" s="134">
      <c r="A152" s="5" t="n"/>
      <c r="B152" s="5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</row>
    <row r="153" ht="15.75" customHeight="1" s="134">
      <c r="A153" s="5" t="n"/>
      <c r="B153" s="5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</row>
    <row r="154" ht="15.75" customHeight="1" s="134">
      <c r="A154" s="5" t="n"/>
      <c r="B154" s="5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</row>
    <row r="155" ht="15.75" customHeight="1" s="134">
      <c r="A155" s="5" t="n"/>
      <c r="B155" s="5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</row>
    <row r="156" ht="15.75" customHeight="1" s="134">
      <c r="A156" s="5" t="n"/>
      <c r="B156" s="5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</row>
    <row r="157" ht="15.75" customHeight="1" s="134">
      <c r="A157" s="5" t="n"/>
      <c r="B157" s="5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</row>
    <row r="158" ht="15.75" customHeight="1" s="134">
      <c r="A158" s="5" t="n"/>
      <c r="B158" s="5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</row>
    <row r="159" ht="15.75" customHeight="1" s="134">
      <c r="A159" s="5" t="n"/>
      <c r="B159" s="5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</row>
    <row r="160" ht="15.75" customHeight="1" s="134">
      <c r="A160" s="5" t="n"/>
      <c r="B160" s="5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</row>
    <row r="161" ht="15.75" customHeight="1" s="134">
      <c r="A161" s="5" t="n"/>
      <c r="B161" s="5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</row>
    <row r="162" ht="15.75" customHeight="1" s="134">
      <c r="A162" s="5" t="n"/>
      <c r="B162" s="5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</row>
    <row r="163" ht="15.75" customHeight="1" s="134">
      <c r="A163" s="5" t="n"/>
      <c r="B163" s="5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</row>
    <row r="164" ht="15.75" customHeight="1" s="134">
      <c r="A164" s="5" t="n"/>
      <c r="B164" s="5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</row>
    <row r="165" ht="15.75" customHeight="1" s="134">
      <c r="A165" s="5" t="n"/>
      <c r="B165" s="5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</row>
    <row r="166" ht="15.75" customHeight="1" s="134">
      <c r="A166" s="5" t="n"/>
      <c r="B166" s="5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</row>
    <row r="167" ht="15.75" customHeight="1" s="134">
      <c r="A167" s="5" t="n"/>
      <c r="B167" s="5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</row>
    <row r="168" ht="15.75" customHeight="1" s="134">
      <c r="A168" s="5" t="n"/>
      <c r="B168" s="5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</row>
    <row r="169" ht="15.75" customHeight="1" s="134">
      <c r="A169" s="5" t="n"/>
      <c r="B169" s="5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</row>
    <row r="170" ht="15.75" customHeight="1" s="134">
      <c r="A170" s="5" t="n"/>
      <c r="B170" s="5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</row>
    <row r="171" ht="15.75" customHeight="1" s="134">
      <c r="A171" s="5" t="n"/>
      <c r="B171" s="5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</row>
    <row r="172" ht="15.75" customHeight="1" s="134">
      <c r="A172" s="5" t="n"/>
      <c r="B172" s="5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</row>
    <row r="173" ht="15.75" customHeight="1" s="134">
      <c r="A173" s="5" t="n"/>
      <c r="B173" s="5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</row>
    <row r="174" ht="15.75" customHeight="1" s="134">
      <c r="A174" s="5" t="n"/>
      <c r="B174" s="5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</row>
    <row r="175" ht="15.75" customHeight="1" s="134">
      <c r="A175" s="5" t="n"/>
      <c r="B175" s="5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</row>
    <row r="176" ht="15.75" customHeight="1" s="134">
      <c r="A176" s="5" t="n"/>
      <c r="B176" s="5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</row>
    <row r="177" ht="15.75" customHeight="1" s="134">
      <c r="A177" s="5" t="n"/>
      <c r="B177" s="5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</row>
    <row r="178" ht="15.75" customHeight="1" s="134">
      <c r="A178" s="5" t="n"/>
      <c r="B178" s="5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</row>
    <row r="179" ht="15.75" customHeight="1" s="134">
      <c r="A179" s="5" t="n"/>
      <c r="B179" s="5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</row>
    <row r="180" ht="15.75" customHeight="1" s="134">
      <c r="A180" s="5" t="n"/>
      <c r="B180" s="5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</row>
    <row r="181" ht="15.75" customHeight="1" s="134">
      <c r="A181" s="5" t="n"/>
      <c r="B181" s="5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</row>
    <row r="182" ht="15.75" customHeight="1" s="134">
      <c r="A182" s="5" t="n"/>
      <c r="B182" s="5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</row>
    <row r="183" ht="15.75" customHeight="1" s="134">
      <c r="A183" s="5" t="n"/>
      <c r="B183" s="5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</row>
    <row r="184" ht="15.75" customHeight="1" s="134">
      <c r="A184" s="5" t="n"/>
      <c r="B184" s="5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</row>
    <row r="185" ht="15.75" customHeight="1" s="134">
      <c r="A185" s="5" t="n"/>
      <c r="B185" s="5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</row>
    <row r="186" ht="15.75" customHeight="1" s="134">
      <c r="A186" s="5" t="n"/>
      <c r="B186" s="5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</row>
    <row r="187" ht="15.75" customHeight="1" s="134">
      <c r="A187" s="5" t="n"/>
      <c r="B187" s="5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</row>
    <row r="188" ht="15.75" customHeight="1" s="134">
      <c r="A188" s="5" t="n"/>
      <c r="B188" s="5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</row>
    <row r="189" ht="15.75" customHeight="1" s="134">
      <c r="A189" s="5" t="n"/>
      <c r="B189" s="5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</row>
    <row r="190" ht="15.75" customHeight="1" s="134">
      <c r="A190" s="5" t="n"/>
      <c r="B190" s="5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</row>
    <row r="191" ht="15.75" customHeight="1" s="134">
      <c r="A191" s="5" t="n"/>
      <c r="B191" s="5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</row>
    <row r="192" ht="15.75" customHeight="1" s="134">
      <c r="A192" s="5" t="n"/>
      <c r="B192" s="5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</row>
    <row r="193" ht="15.75" customHeight="1" s="134">
      <c r="A193" s="5" t="n"/>
      <c r="B193" s="5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</row>
    <row r="194" ht="15.75" customHeight="1" s="134">
      <c r="A194" s="5" t="n"/>
      <c r="B194" s="5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</row>
    <row r="195" ht="15.75" customHeight="1" s="134">
      <c r="A195" s="5" t="n"/>
      <c r="B195" s="5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</row>
    <row r="196" ht="15.75" customHeight="1" s="134">
      <c r="A196" s="5" t="n"/>
      <c r="B196" s="5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</row>
    <row r="197" ht="15.75" customHeight="1" s="134">
      <c r="A197" s="5" t="n"/>
      <c r="B197" s="5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</row>
    <row r="198" ht="15.75" customHeight="1" s="134">
      <c r="A198" s="5" t="n"/>
      <c r="B198" s="5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</row>
    <row r="199" ht="15.75" customHeight="1" s="134">
      <c r="A199" s="5" t="n"/>
      <c r="B199" s="5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</row>
    <row r="200" ht="15.75" customHeight="1" s="134">
      <c r="A200" s="5" t="n"/>
      <c r="B200" s="5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</row>
    <row r="201" ht="15.75" customHeight="1" s="134">
      <c r="A201" s="5" t="n"/>
      <c r="B201" s="5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</row>
    <row r="202" ht="15.75" customHeight="1" s="134">
      <c r="A202" s="5" t="n"/>
      <c r="B202" s="5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</row>
    <row r="203" ht="15.75" customHeight="1" s="134">
      <c r="A203" s="5" t="n"/>
      <c r="B203" s="5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</row>
    <row r="204" ht="15.75" customHeight="1" s="134">
      <c r="A204" s="5" t="n"/>
      <c r="B204" s="5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</row>
    <row r="205" ht="15.75" customHeight="1" s="134">
      <c r="A205" s="5" t="n"/>
      <c r="B205" s="5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</row>
    <row r="206" ht="15.75" customHeight="1" s="134">
      <c r="A206" s="5" t="n"/>
      <c r="B206" s="5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</row>
    <row r="207" ht="15.75" customHeight="1" s="134">
      <c r="A207" s="5" t="n"/>
      <c r="B207" s="5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</row>
    <row r="208" ht="15.75" customHeight="1" s="134">
      <c r="A208" s="5" t="n"/>
      <c r="B208" s="5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</row>
    <row r="209" ht="15.75" customHeight="1" s="134">
      <c r="A209" s="5" t="n"/>
      <c r="B209" s="5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</row>
    <row r="210" ht="15.75" customHeight="1" s="134">
      <c r="A210" s="5" t="n"/>
      <c r="B210" s="5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</row>
    <row r="211" ht="15.75" customHeight="1" s="134">
      <c r="A211" s="5" t="n"/>
      <c r="B211" s="5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</row>
    <row r="212" ht="15.75" customHeight="1" s="134">
      <c r="A212" s="5" t="n"/>
      <c r="B212" s="5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</row>
    <row r="213" ht="15.75" customHeight="1" s="134">
      <c r="A213" s="5" t="n"/>
      <c r="B213" s="5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</row>
    <row r="214" ht="15.75" customHeight="1" s="134">
      <c r="A214" s="5" t="n"/>
      <c r="B214" s="5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</row>
    <row r="215" ht="15.75" customHeight="1" s="134">
      <c r="A215" s="5" t="n"/>
      <c r="B215" s="5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</row>
    <row r="216" ht="15.75" customHeight="1" s="134">
      <c r="A216" s="5" t="n"/>
      <c r="B216" s="5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</row>
    <row r="217" ht="15.75" customHeight="1" s="134">
      <c r="A217" s="5" t="n"/>
      <c r="B217" s="5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</row>
    <row r="218" ht="15.75" customHeight="1" s="134">
      <c r="A218" s="5" t="n"/>
      <c r="B218" s="5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</row>
    <row r="219" ht="15.75" customHeight="1" s="134">
      <c r="A219" s="5" t="n"/>
      <c r="B219" s="5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</row>
    <row r="220" ht="15.75" customHeight="1" s="134">
      <c r="A220" s="5" t="n"/>
      <c r="B220" s="5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</row>
    <row r="221" ht="15.75" customHeight="1" s="134">
      <c r="A221" s="5" t="n"/>
      <c r="B221" s="5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</row>
    <row r="222" ht="15.75" customHeight="1" s="134">
      <c r="A222" s="5" t="n"/>
      <c r="B222" s="5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</row>
    <row r="223" ht="15.75" customHeight="1" s="134">
      <c r="A223" s="5" t="n"/>
      <c r="B223" s="5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</row>
    <row r="224" ht="15.75" customHeight="1" s="134">
      <c r="A224" s="5" t="n"/>
      <c r="B224" s="5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</row>
    <row r="225" ht="15.75" customHeight="1" s="134">
      <c r="A225" s="5" t="n"/>
      <c r="B225" s="5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</row>
    <row r="226" ht="15.75" customHeight="1" s="134">
      <c r="A226" s="5" t="n"/>
      <c r="B226" s="5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</row>
    <row r="227" ht="15.75" customHeight="1" s="134">
      <c r="A227" s="5" t="n"/>
      <c r="B227" s="5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</row>
    <row r="228" ht="15.75" customHeight="1" s="134">
      <c r="A228" s="5" t="n"/>
      <c r="B228" s="5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</row>
    <row r="229" ht="15.75" customHeight="1" s="134">
      <c r="A229" s="5" t="n"/>
      <c r="B229" s="5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</row>
    <row r="230" ht="15.75" customHeight="1" s="134">
      <c r="A230" s="5" t="n"/>
      <c r="B230" s="5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</row>
    <row r="231" ht="15.75" customHeight="1" s="134">
      <c r="A231" s="5" t="n"/>
      <c r="B231" s="5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</row>
    <row r="232" ht="15.75" customHeight="1" s="134">
      <c r="A232" s="5" t="n"/>
      <c r="B232" s="5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</row>
    <row r="233" ht="15.75" customHeight="1" s="134">
      <c r="A233" s="5" t="n"/>
      <c r="B233" s="5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</row>
    <row r="234" ht="15.75" customHeight="1" s="134">
      <c r="A234" s="5" t="n"/>
      <c r="B234" s="5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</row>
    <row r="235" ht="15.75" customHeight="1" s="134">
      <c r="A235" s="5" t="n"/>
      <c r="B235" s="5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</row>
    <row r="236" ht="15.75" customHeight="1" s="134">
      <c r="A236" s="5" t="n"/>
      <c r="B236" s="5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</row>
    <row r="237" ht="15.75" customHeight="1" s="134">
      <c r="A237" s="5" t="n"/>
      <c r="B237" s="5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</row>
    <row r="238" ht="15.75" customHeight="1" s="134">
      <c r="A238" s="5" t="n"/>
      <c r="B238" s="5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</row>
    <row r="239" ht="15.75" customHeight="1" s="134">
      <c r="A239" s="5" t="n"/>
      <c r="B239" s="5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</row>
    <row r="240" ht="15.75" customHeight="1" s="134">
      <c r="A240" s="5" t="n"/>
      <c r="B240" s="5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</row>
    <row r="241" ht="15.75" customHeight="1" s="134">
      <c r="A241" s="5" t="n"/>
      <c r="B241" s="5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</row>
    <row r="245" ht="15.75" customHeight="1" s="13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</row>
    <row r="246" ht="15.75" customHeight="1" s="134"/>
    <row r="247" ht="15.75" customHeight="1" s="134"/>
    <row r="248" ht="15.75" customHeight="1" s="134"/>
    <row r="249" ht="15.75" customHeight="1" s="134"/>
    <row r="250" ht="15.75" customHeight="1" s="134"/>
    <row r="251" ht="15.75" customHeight="1" s="134"/>
    <row r="252" ht="15.75" customHeight="1" s="134"/>
    <row r="253" ht="15.75" customHeight="1" s="134"/>
    <row r="254" ht="15.75" customHeight="1" s="134"/>
    <row r="255" ht="15.75" customHeight="1" s="134"/>
    <row r="256" ht="15.75" customHeight="1" s="134"/>
    <row r="257" ht="15.75" customHeight="1" s="134"/>
    <row r="258" ht="15.75" customHeight="1" s="134"/>
    <row r="259" ht="15.75" customHeight="1" s="134"/>
    <row r="260" ht="15.75" customHeight="1" s="134"/>
    <row r="261" ht="15.75" customHeight="1" s="134"/>
    <row r="262" ht="15.75" customHeight="1" s="134"/>
    <row r="263" ht="15.75" customHeight="1" s="134"/>
    <row r="264" ht="15.75" customHeight="1" s="134"/>
    <row r="265" ht="15.75" customHeight="1" s="134"/>
    <row r="266" ht="15.75" customHeight="1" s="134"/>
    <row r="267" ht="15.75" customHeight="1" s="134"/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mergeCells count="3">
    <mergeCell ref="L1:T1"/>
    <mergeCell ref="C1:K1"/>
    <mergeCell ref="A2:A3"/>
  </mergeCells>
  <conditionalFormatting sqref="C29:Q29">
    <cfRule type="cellIs" priority="1" operator="greaterThan" dxfId="5">
      <formula>0</formula>
    </cfRule>
    <cfRule type="cellIs" priority="2" operator="lessThan" dxfId="4">
      <formula>0</formula>
    </cfRule>
  </conditionalFormatting>
  <conditionalFormatting sqref="C37:Q37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C45:Q45">
    <cfRule type="cellIs" priority="5" operator="greaterThan" dxfId="1">
      <formula>0</formula>
    </cfRule>
    <cfRule type="cellIs" priority="6" operator="lessThan" dxfId="0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A1" sqref="A1"/>
    </sheetView>
  </sheetViews>
  <sheetFormatPr baseColWidth="10" defaultColWidth="11.1640625" defaultRowHeight="15" customHeight="1"/>
  <cols>
    <col width="8.6640625" customWidth="1" style="134" min="1" max="1"/>
    <col width="16.1640625" customWidth="1" style="134" min="2" max="2"/>
    <col width="12.6640625" customWidth="1" style="134" min="3" max="3"/>
    <col hidden="1" width="7.5" customWidth="1" style="134" min="4" max="4"/>
    <col hidden="1" width="8.6640625" customWidth="1" style="134" min="5" max="6"/>
    <col hidden="1" width="13" customWidth="1" style="134" min="6" max="6"/>
    <col width="12.6640625" customWidth="1" style="134" min="7" max="11"/>
    <col width="11.6640625" customWidth="1" style="134" min="12" max="12"/>
    <col width="8.33203125" customWidth="1" style="134" min="13" max="19"/>
    <col width="11.1640625" customWidth="1" style="134" min="20" max="26"/>
  </cols>
  <sheetData>
    <row r="1" ht="18" customHeight="1" s="134">
      <c r="A1" s="1" t="n"/>
      <c r="B1" s="3" t="n"/>
      <c r="C1" s="1" t="n"/>
      <c r="D1" s="135" t="n">
        <v>2026</v>
      </c>
      <c r="M1" s="164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34">
      <c r="A2" s="10" t="inlineStr">
        <is>
          <t>CODICE</t>
        </is>
      </c>
      <c r="B2" s="3" t="n"/>
      <c r="C2" s="1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34">
      <c r="A3" s="1" t="n"/>
      <c r="B3" s="3" t="n"/>
      <c r="C3" s="1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34" thickBot="1">
      <c r="A4" s="17" t="n"/>
      <c r="B4" s="19" t="inlineStr">
        <is>
          <t>Salari e Stipendi</t>
        </is>
      </c>
      <c r="C4" s="19">
        <f>SUM(D4:L4)</f>
        <v/>
      </c>
      <c r="D4" s="29">
        <f>SUM(D5:D135)</f>
        <v/>
      </c>
      <c r="E4" s="29">
        <f>SUM(E5:E135)</f>
        <v/>
      </c>
      <c r="F4" s="29">
        <f>SUM(F5:F135)</f>
        <v/>
      </c>
      <c r="G4" s="29">
        <f>SUM(G5:G135)</f>
        <v/>
      </c>
      <c r="H4" s="29">
        <f>SUM(H5:H135)</f>
        <v/>
      </c>
      <c r="I4" s="29">
        <f>SUM(I5:I135)</f>
        <v/>
      </c>
      <c r="J4" s="29">
        <f>SUM(J5:J135)</f>
        <v/>
      </c>
      <c r="K4" s="29">
        <f>SUM(K5:K135)</f>
        <v/>
      </c>
      <c r="L4" s="29">
        <f>SUM(L5:L135)</f>
        <v/>
      </c>
      <c r="M4" s="29">
        <f>SUM(M5:M135)</f>
        <v/>
      </c>
      <c r="N4" s="29">
        <f>SUM(N5:N135)</f>
        <v/>
      </c>
      <c r="O4" s="29">
        <f>SUM(O5:O135)</f>
        <v/>
      </c>
      <c r="P4" s="29">
        <f>SUM(P5:P135)</f>
        <v/>
      </c>
      <c r="Q4" s="29">
        <f>SUM(Q5:Q135)</f>
        <v/>
      </c>
      <c r="R4" s="29">
        <f>SUM(R5:R135)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34" thickTop="1">
      <c r="A5" s="37" t="n">
        <v>670101</v>
      </c>
      <c r="B5" s="38" t="inlineStr">
        <is>
          <t xml:space="preserve">SALARI </t>
        </is>
      </c>
      <c r="C5" s="34">
        <f>SUM(D5:L5)</f>
        <v/>
      </c>
      <c r="D5" s="46" t="n"/>
      <c r="E5" s="35" t="n"/>
      <c r="F5" s="35" t="n"/>
      <c r="G5" s="35" t="n">
        <v>94171.34</v>
      </c>
      <c r="H5" s="50" t="n">
        <v>95000</v>
      </c>
      <c r="I5" s="35" t="n">
        <v>90000</v>
      </c>
      <c r="J5" s="35" t="n">
        <v>80000</v>
      </c>
      <c r="K5" s="35" t="n">
        <v>120000</v>
      </c>
      <c r="L5" s="35" t="n">
        <v>40000</v>
      </c>
      <c r="M5" s="35" t="n"/>
      <c r="N5" s="35" t="n"/>
      <c r="O5" s="35" t="n"/>
      <c r="P5" s="35" t="n"/>
      <c r="Q5" s="35" t="n"/>
      <c r="R5" s="3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34">
      <c r="A6" s="37" t="n">
        <v>350301</v>
      </c>
      <c r="B6" s="55" t="inlineStr">
        <is>
          <t xml:space="preserve">F24 </t>
        </is>
      </c>
      <c r="C6" s="45">
        <f>SUM(D6:L6)</f>
        <v/>
      </c>
      <c r="D6" s="56" t="n"/>
      <c r="E6" s="47" t="n"/>
      <c r="F6" s="47" t="n"/>
      <c r="G6" s="47" t="n">
        <v>59500</v>
      </c>
      <c r="H6" s="47" t="n">
        <v>60000</v>
      </c>
      <c r="I6" s="47" t="n">
        <v>50000</v>
      </c>
      <c r="J6" s="47" t="n">
        <v>35000</v>
      </c>
      <c r="K6" s="47" t="n">
        <v>55000</v>
      </c>
      <c r="L6" s="47" t="n">
        <v>18000</v>
      </c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34">
      <c r="A7" s="37" t="n"/>
      <c r="B7" s="58" t="n"/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34">
      <c r="A8" s="37" t="n"/>
      <c r="B8" s="58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34">
      <c r="A9" s="37" t="n"/>
      <c r="B9" s="58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34">
      <c r="A10" s="37" t="n"/>
      <c r="B10" s="58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34">
      <c r="A11" s="37" t="n"/>
      <c r="B11" s="58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34">
      <c r="A12" s="37" t="n"/>
      <c r="B12" s="58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34">
      <c r="A13" s="37" t="n"/>
      <c r="B13" s="58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34">
      <c r="A14" s="37" t="n"/>
      <c r="B14" s="58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34">
      <c r="A15" s="37" t="n"/>
      <c r="B15" s="58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34">
      <c r="A16" s="37" t="n"/>
      <c r="B16" s="58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34">
      <c r="A17" s="37" t="n"/>
      <c r="B17" s="58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34">
      <c r="A18" s="37" t="n"/>
      <c r="B18" s="58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34">
      <c r="A19" s="37" t="n"/>
      <c r="B19" s="58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34">
      <c r="A20" s="37" t="n"/>
      <c r="B20" s="58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37" t="n"/>
      <c r="B21" s="58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37" t="n"/>
      <c r="B22" s="58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37" t="n"/>
      <c r="B23" s="58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37" t="n"/>
      <c r="B24" s="58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37" t="n"/>
      <c r="B25" s="58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37" t="n"/>
      <c r="B26" s="58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37" t="n"/>
      <c r="B27" s="58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37" t="n"/>
      <c r="B28" s="58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37" t="n"/>
      <c r="B29" s="58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37" t="n"/>
      <c r="B30" s="58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37" t="n"/>
      <c r="B31" s="58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37" t="n"/>
      <c r="B32" s="58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37" t="n"/>
      <c r="B33" s="58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37" t="n"/>
      <c r="B34" s="58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37" t="n"/>
      <c r="B35" s="58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37" t="n"/>
      <c r="B36" s="58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37" t="n"/>
      <c r="B37" s="58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37" t="n"/>
      <c r="B38" s="58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37" t="n"/>
      <c r="B39" s="58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37" t="n"/>
      <c r="B40" s="58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37" t="n"/>
      <c r="B41" s="58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37" t="n"/>
      <c r="B42" s="58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37" t="n"/>
      <c r="B43" s="58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37" t="n"/>
      <c r="B44" s="58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37" t="n"/>
      <c r="B45" s="58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37" t="n"/>
      <c r="B46" s="58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37" t="n"/>
      <c r="B47" s="58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37" t="n"/>
      <c r="B48" s="58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37" t="n"/>
      <c r="B49" s="58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37" t="n"/>
      <c r="B50" s="58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37" t="n"/>
      <c r="B51" s="58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37" t="n"/>
      <c r="B52" s="58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37" t="n"/>
      <c r="B53" s="58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37" t="n"/>
      <c r="B54" s="58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37" t="n"/>
      <c r="B55" s="58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37" t="n"/>
      <c r="B56" s="58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37" t="n"/>
      <c r="B57" s="58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37" t="n"/>
      <c r="B58" s="58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37" t="n"/>
      <c r="B59" s="58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37" t="n"/>
      <c r="B60" s="58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37" t="n"/>
      <c r="B61" s="58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37" t="n"/>
      <c r="B62" s="58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37" t="n"/>
      <c r="B63" s="58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37" t="n"/>
      <c r="B64" s="58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37" t="n"/>
      <c r="B65" s="58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37" t="n"/>
      <c r="B66" s="58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37" t="n"/>
      <c r="B67" s="58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37" t="n"/>
      <c r="B68" s="58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37" t="n"/>
      <c r="B69" s="112" t="n"/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5" t="n"/>
      <c r="B70" s="110" t="n"/>
      <c r="C70" s="5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110" t="n"/>
      <c r="C71" s="5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110" t="n"/>
      <c r="C72" s="5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110" t="n"/>
      <c r="C73" s="5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110" t="n"/>
      <c r="C74" s="5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110" t="n"/>
      <c r="C75" s="5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110" t="n"/>
      <c r="C76" s="5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110" t="n"/>
      <c r="C77" s="5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110" t="n"/>
      <c r="C78" s="5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110" t="n"/>
      <c r="C79" s="5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110" t="n"/>
      <c r="C80" s="5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110" t="n"/>
      <c r="C81" s="5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110" t="n"/>
      <c r="C82" s="5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110" t="n"/>
      <c r="C83" s="5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110" t="n"/>
      <c r="C84" s="5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110" t="n"/>
      <c r="C85" s="5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110" t="n"/>
      <c r="C86" s="5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110" t="n"/>
      <c r="C87" s="5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110" t="n"/>
      <c r="C88" s="5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110" t="n"/>
      <c r="C89" s="5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110" t="n"/>
      <c r="C90" s="5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110" t="n"/>
      <c r="C91" s="5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110" t="n"/>
      <c r="C92" s="5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110" t="n"/>
      <c r="C93" s="5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110" t="n"/>
      <c r="C94" s="5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110" t="n"/>
      <c r="C95" s="5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110" t="n"/>
      <c r="C96" s="5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110" t="n"/>
      <c r="C97" s="5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110" t="n"/>
      <c r="C98" s="5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110" t="n"/>
      <c r="C99" s="5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110" t="n"/>
      <c r="C100" s="5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110" t="n"/>
      <c r="C101" s="5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110" t="n"/>
      <c r="C102" s="5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110" t="n"/>
      <c r="C103" s="5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110" t="n"/>
      <c r="C104" s="5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110" t="n"/>
      <c r="C105" s="5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110" t="n"/>
      <c r="C106" s="5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110" t="n"/>
      <c r="C107" s="5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110" t="n"/>
      <c r="C108" s="5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110" t="n"/>
      <c r="C109" s="5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110" t="n"/>
      <c r="C110" s="5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110" t="n"/>
      <c r="C111" s="5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110" t="n"/>
      <c r="C112" s="5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110" t="n"/>
      <c r="C113" s="5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110" t="n"/>
      <c r="C114" s="5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110" t="n"/>
      <c r="C115" s="5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110" t="n"/>
      <c r="C116" s="5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110" t="n"/>
      <c r="C117" s="5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110" t="n"/>
      <c r="C118" s="5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110" t="n"/>
      <c r="C119" s="5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110" t="n"/>
      <c r="C120" s="5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110" t="n"/>
      <c r="C121" s="5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110" t="n"/>
      <c r="C122" s="5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110" t="n"/>
      <c r="C123" s="5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110" t="n"/>
      <c r="C124" s="5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110" t="n"/>
      <c r="C125" s="5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110" t="n"/>
      <c r="C126" s="5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110" t="n"/>
      <c r="C127" s="5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110" t="n"/>
      <c r="C128" s="5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110" t="n"/>
      <c r="C129" s="5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110" t="n"/>
      <c r="C130" s="5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110" t="n"/>
      <c r="C131" s="5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110" t="n"/>
      <c r="C132" s="5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110" t="n"/>
      <c r="C133" s="5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110" t="n"/>
      <c r="C134" s="5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110" t="n"/>
      <c r="C135" s="5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110" t="n"/>
      <c r="C136" s="5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110" t="n"/>
      <c r="C137" s="5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110" t="n"/>
      <c r="C138" s="5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110" t="n"/>
      <c r="C139" s="5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110" t="n"/>
      <c r="C140" s="5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110" t="n"/>
      <c r="C141" s="5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110" t="n"/>
      <c r="C142" s="5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110" t="n"/>
      <c r="C143" s="5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110" t="n"/>
      <c r="C144" s="5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110" t="n"/>
      <c r="C145" s="5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110" t="n"/>
      <c r="C146" s="5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110" t="n"/>
      <c r="C147" s="5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110" t="n"/>
      <c r="C148" s="5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110" t="n"/>
      <c r="C149" s="5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110" t="n"/>
      <c r="C150" s="5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110" t="n"/>
      <c r="C151" s="5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110" t="n"/>
      <c r="C152" s="5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110" t="n"/>
      <c r="C153" s="5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110" t="n"/>
      <c r="C154" s="5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110" t="n"/>
      <c r="C155" s="5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110" t="n"/>
      <c r="C156" s="5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110" t="n"/>
      <c r="C157" s="5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110" t="n"/>
      <c r="C158" s="5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110" t="n"/>
      <c r="C159" s="5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110" t="n"/>
      <c r="C160" s="5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110" t="n"/>
      <c r="C161" s="5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110" t="n"/>
      <c r="C162" s="5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110" t="n"/>
      <c r="C163" s="5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110" t="n"/>
      <c r="C164" s="5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110" t="n"/>
      <c r="C165" s="5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110" t="n"/>
      <c r="C166" s="5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110" t="n"/>
      <c r="C167" s="5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110" t="n"/>
      <c r="C168" s="5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110" t="n"/>
      <c r="C169" s="5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110" t="n"/>
      <c r="C170" s="5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110" t="n"/>
      <c r="C171" s="5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110" t="n"/>
      <c r="C172" s="5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110" t="n"/>
      <c r="C173" s="5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110" t="n"/>
      <c r="C174" s="5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110" t="n"/>
      <c r="C175" s="5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110" t="n"/>
      <c r="C176" s="5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110" t="n"/>
      <c r="C177" s="5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110" t="n"/>
      <c r="C178" s="5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110" t="n"/>
      <c r="C179" s="5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110" t="n"/>
      <c r="C180" s="5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110" t="n"/>
      <c r="C181" s="5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110" t="n"/>
      <c r="C182" s="5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110" t="n"/>
      <c r="C183" s="5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110" t="n"/>
      <c r="C184" s="5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110" t="n"/>
      <c r="C185" s="5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110" t="n"/>
      <c r="C186" s="5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110" t="n"/>
      <c r="C187" s="5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110" t="n"/>
      <c r="C188" s="5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110" t="n"/>
      <c r="C189" s="5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110" t="n"/>
      <c r="C190" s="5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110" t="n"/>
      <c r="C191" s="5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110" t="n"/>
      <c r="C192" s="5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110" t="n"/>
      <c r="C193" s="5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110" t="n"/>
      <c r="C194" s="5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110" t="n"/>
      <c r="C195" s="5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110" t="n"/>
      <c r="C196" s="5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110" t="n"/>
      <c r="C197" s="5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110" t="n"/>
      <c r="C198" s="5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110" t="n"/>
      <c r="C199" s="5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110" t="n"/>
      <c r="C200" s="5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110" t="n"/>
      <c r="C201" s="5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110" t="n"/>
      <c r="C202" s="5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110" t="n"/>
      <c r="C203" s="5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110" t="n"/>
      <c r="C204" s="5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110" t="n"/>
      <c r="C205" s="5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110" t="n"/>
      <c r="C206" s="5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110" t="n"/>
      <c r="C207" s="5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110" t="n"/>
      <c r="C208" s="5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110" t="n"/>
      <c r="C209" s="5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110" t="n"/>
      <c r="C210" s="5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110" t="n"/>
      <c r="C211" s="5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110" t="n"/>
      <c r="C212" s="5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110" t="n"/>
      <c r="C213" s="5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110" t="n"/>
      <c r="C214" s="5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110" t="n"/>
      <c r="C215" s="5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110" t="n"/>
      <c r="C216" s="5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110" t="n"/>
      <c r="C217" s="5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110" t="n"/>
      <c r="C218" s="5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110" t="n"/>
      <c r="C219" s="5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110" t="n"/>
      <c r="C220" s="5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3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3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3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3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3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3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3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3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3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3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3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3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3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3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3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3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3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3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3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3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3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3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3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3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mergeCells count="1">
    <mergeCell ref="D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10" defaultColWidth="11.1640625" defaultRowHeight="15" customHeight="1"/>
  <cols>
    <col width="8.6640625" customWidth="1" style="134" min="1" max="1"/>
    <col width="16.1640625" customWidth="1" style="134" min="2" max="2"/>
    <col width="12.6640625" customWidth="1" style="134" min="3" max="3"/>
    <col hidden="1" width="7.5" customWidth="1" style="134" min="4" max="4"/>
    <col hidden="1" width="8.6640625" customWidth="1" style="134" min="5" max="5"/>
    <col hidden="1" width="11.6640625" customWidth="1" style="134" min="6" max="6"/>
    <col width="11.6640625" customWidth="1" style="134" min="7" max="8"/>
    <col width="12.6640625" customWidth="1" style="134" min="9" max="9"/>
    <col width="11.6640625" customWidth="1" style="134" min="10" max="12"/>
    <col width="8.33203125" customWidth="1" style="134" min="13" max="19"/>
    <col width="11.1640625" customWidth="1" style="134" min="20" max="26"/>
  </cols>
  <sheetData>
    <row r="1" ht="18" customHeight="1" s="134">
      <c r="A1" s="1" t="n"/>
      <c r="B1" s="3" t="n"/>
      <c r="C1" s="1" t="n"/>
      <c r="D1" s="135" t="n">
        <v>2026</v>
      </c>
      <c r="M1" s="164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34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34" thickBot="1">
      <c r="A3" s="17" t="n"/>
      <c r="B3" s="19" t="inlineStr">
        <is>
          <t>Utenze</t>
        </is>
      </c>
      <c r="C3" s="19">
        <f>SUM(D3:L3)</f>
        <v/>
      </c>
      <c r="D3" s="24">
        <f>SUM(D4:D134)</f>
        <v/>
      </c>
      <c r="E3" s="24">
        <f>SUM(E4:E134)</f>
        <v/>
      </c>
      <c r="F3" s="24">
        <f>SUM(F4:F134)</f>
        <v/>
      </c>
      <c r="G3" s="24">
        <f>SUM(G4:G134)</f>
        <v/>
      </c>
      <c r="H3" s="24">
        <f>SUM(H4:H134)</f>
        <v/>
      </c>
      <c r="I3" s="24">
        <f>SUM(I4:I134)</f>
        <v/>
      </c>
      <c r="J3" s="24">
        <f>SUM(J4:J134)</f>
        <v/>
      </c>
      <c r="K3" s="24">
        <f>SUM(K4:K134)</f>
        <v/>
      </c>
      <c r="L3" s="24">
        <f>SUM(L4:L134)</f>
        <v/>
      </c>
      <c r="M3" s="24">
        <f>SUM(M4:M134)</f>
        <v/>
      </c>
      <c r="N3" s="24">
        <f>SUM(N4:N134)</f>
        <v/>
      </c>
      <c r="O3" s="24">
        <f>SUM(O4:O134)</f>
        <v/>
      </c>
      <c r="P3" s="24">
        <f>SUM(P4:P134)</f>
        <v/>
      </c>
      <c r="Q3" s="24">
        <f>SUM(Q4:Q134)</f>
        <v/>
      </c>
      <c r="R3" s="24">
        <f>SUM(R4:R134)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34" thickTop="1">
      <c r="A4" s="32" t="n">
        <v>570913</v>
      </c>
      <c r="B4" s="33" t="inlineStr">
        <is>
          <t>Energia elettrica</t>
        </is>
      </c>
      <c r="C4" s="34">
        <f>SUM(D4:L4)</f>
        <v/>
      </c>
      <c r="D4" s="35" t="n"/>
      <c r="E4" s="35" t="n"/>
      <c r="F4" s="35" t="n"/>
      <c r="G4" s="35" t="n">
        <v>27525.61</v>
      </c>
      <c r="H4" s="35" t="n">
        <v>33530.5</v>
      </c>
      <c r="I4" s="35" t="n">
        <v>19000</v>
      </c>
      <c r="J4" s="35" t="n">
        <v>17000</v>
      </c>
      <c r="K4" s="35" t="n">
        <v>20000</v>
      </c>
      <c r="L4" s="35" t="n">
        <v>27000</v>
      </c>
      <c r="M4" s="35" t="n"/>
      <c r="N4" s="35" t="n"/>
      <c r="O4" s="35" t="n"/>
      <c r="P4" s="35" t="n"/>
      <c r="Q4" s="35" t="n"/>
      <c r="R4" s="3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34">
      <c r="A5" s="32" t="n">
        <v>570919</v>
      </c>
      <c r="B5" s="42" t="inlineStr">
        <is>
          <t>Gas</t>
        </is>
      </c>
      <c r="C5" s="45">
        <f>SUM(D5:L5)</f>
        <v/>
      </c>
      <c r="D5" s="47" t="n"/>
      <c r="E5" s="47" t="n"/>
      <c r="F5" s="47" t="n"/>
      <c r="G5" s="47" t="n">
        <v>6500</v>
      </c>
      <c r="H5" s="47" t="n">
        <v>6500</v>
      </c>
      <c r="I5" s="47" t="n">
        <v>6500</v>
      </c>
      <c r="J5" s="47" t="n">
        <v>6500</v>
      </c>
      <c r="K5" s="47" t="n">
        <v>6500</v>
      </c>
      <c r="L5" s="47" t="n">
        <v>6500</v>
      </c>
      <c r="M5" s="47" t="n"/>
      <c r="N5" s="47" t="n"/>
      <c r="O5" s="47" t="n"/>
      <c r="P5" s="47" t="n"/>
      <c r="Q5" s="47" t="n"/>
      <c r="R5" s="47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34">
      <c r="A6" s="32" t="n">
        <v>18</v>
      </c>
      <c r="B6" s="42" t="inlineStr">
        <is>
          <t>Acqua - Ausino</t>
        </is>
      </c>
      <c r="C6" s="45">
        <f>SUM(D6:L6)</f>
        <v/>
      </c>
      <c r="D6" s="35" t="n"/>
      <c r="E6" s="35" t="n"/>
      <c r="F6" s="35" t="n"/>
      <c r="G6" s="35" t="n"/>
      <c r="H6" s="35" t="n">
        <v>2143.09</v>
      </c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34">
      <c r="A7" s="32" t="n">
        <v>44</v>
      </c>
      <c r="B7" s="42" t="inlineStr">
        <is>
          <t>Vodafone (intur)</t>
        </is>
      </c>
      <c r="C7" s="45">
        <f>SUM(D7:L7)</f>
        <v/>
      </c>
      <c r="D7" s="59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34">
      <c r="A8" s="32" t="n">
        <v>570909</v>
      </c>
      <c r="B8" s="42" t="inlineStr">
        <is>
          <t xml:space="preserve">Connectivia  </t>
        </is>
      </c>
      <c r="C8" s="45">
        <f>SUM(D8:L8)</f>
        <v/>
      </c>
      <c r="D8" s="47" t="n"/>
      <c r="E8" s="47" t="n"/>
      <c r="F8" s="47" t="n"/>
      <c r="G8" s="47" t="n"/>
      <c r="H8" s="47" t="n">
        <v>3500</v>
      </c>
      <c r="I8" s="47" t="n"/>
      <c r="J8" s="47" t="n">
        <v>3500</v>
      </c>
      <c r="K8" s="47" t="n"/>
      <c r="L8" s="47" t="n">
        <v>3500</v>
      </c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34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34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34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34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34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34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34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34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34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34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34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34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32" t="n"/>
      <c r="B68" s="113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5" t="n"/>
      <c r="B69" s="110" t="n"/>
      <c r="C69" s="5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5" t="n"/>
      <c r="B70" s="110" t="n"/>
      <c r="C70" s="5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110" t="n"/>
      <c r="C71" s="5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110" t="n"/>
      <c r="C72" s="5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110" t="n"/>
      <c r="C73" s="5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110" t="n"/>
      <c r="C74" s="5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110" t="n"/>
      <c r="C75" s="5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110" t="n"/>
      <c r="C76" s="5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110" t="n"/>
      <c r="C77" s="5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110" t="n"/>
      <c r="C78" s="5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110" t="n"/>
      <c r="C79" s="5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110" t="n"/>
      <c r="C80" s="5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110" t="n"/>
      <c r="C81" s="5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110" t="n"/>
      <c r="C82" s="5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110" t="n"/>
      <c r="C83" s="5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110" t="n"/>
      <c r="C84" s="5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110" t="n"/>
      <c r="C85" s="5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110" t="n"/>
      <c r="C86" s="5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110" t="n"/>
      <c r="C87" s="5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110" t="n"/>
      <c r="C88" s="5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110" t="n"/>
      <c r="C89" s="5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110" t="n"/>
      <c r="C90" s="5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110" t="n"/>
      <c r="C91" s="5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110" t="n"/>
      <c r="C92" s="5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110" t="n"/>
      <c r="C93" s="5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110" t="n"/>
      <c r="C94" s="5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110" t="n"/>
      <c r="C95" s="5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110" t="n"/>
      <c r="C96" s="5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110" t="n"/>
      <c r="C97" s="5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110" t="n"/>
      <c r="C98" s="5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110" t="n"/>
      <c r="C99" s="5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110" t="n"/>
      <c r="C100" s="5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110" t="n"/>
      <c r="C101" s="5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110" t="n"/>
      <c r="C102" s="5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110" t="n"/>
      <c r="C103" s="5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110" t="n"/>
      <c r="C104" s="5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110" t="n"/>
      <c r="C105" s="5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110" t="n"/>
      <c r="C106" s="5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110" t="n"/>
      <c r="C107" s="5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110" t="n"/>
      <c r="C108" s="5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110" t="n"/>
      <c r="C109" s="5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110" t="n"/>
      <c r="C110" s="5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110" t="n"/>
      <c r="C111" s="5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110" t="n"/>
      <c r="C112" s="5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110" t="n"/>
      <c r="C113" s="5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110" t="n"/>
      <c r="C114" s="5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110" t="n"/>
      <c r="C115" s="5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110" t="n"/>
      <c r="C116" s="5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110" t="n"/>
      <c r="C117" s="5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110" t="n"/>
      <c r="C118" s="5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110" t="n"/>
      <c r="C119" s="5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110" t="n"/>
      <c r="C120" s="5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110" t="n"/>
      <c r="C121" s="5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110" t="n"/>
      <c r="C122" s="5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110" t="n"/>
      <c r="C123" s="5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110" t="n"/>
      <c r="C124" s="5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110" t="n"/>
      <c r="C125" s="5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110" t="n"/>
      <c r="C126" s="5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110" t="n"/>
      <c r="C127" s="5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110" t="n"/>
      <c r="C128" s="5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110" t="n"/>
      <c r="C129" s="5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110" t="n"/>
      <c r="C130" s="5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110" t="n"/>
      <c r="C131" s="5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110" t="n"/>
      <c r="C132" s="5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110" t="n"/>
      <c r="C133" s="5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110" t="n"/>
      <c r="C134" s="5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110" t="n"/>
      <c r="C135" s="5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110" t="n"/>
      <c r="C136" s="5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110" t="n"/>
      <c r="C137" s="5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110" t="n"/>
      <c r="C138" s="5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110" t="n"/>
      <c r="C139" s="5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110" t="n"/>
      <c r="C140" s="5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110" t="n"/>
      <c r="C141" s="5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110" t="n"/>
      <c r="C142" s="5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110" t="n"/>
      <c r="C143" s="5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110" t="n"/>
      <c r="C144" s="5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110" t="n"/>
      <c r="C145" s="5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110" t="n"/>
      <c r="C146" s="5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110" t="n"/>
      <c r="C147" s="5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110" t="n"/>
      <c r="C148" s="5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110" t="n"/>
      <c r="C149" s="5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110" t="n"/>
      <c r="C150" s="5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110" t="n"/>
      <c r="C151" s="5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110" t="n"/>
      <c r="C152" s="5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110" t="n"/>
      <c r="C153" s="5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110" t="n"/>
      <c r="C154" s="5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110" t="n"/>
      <c r="C155" s="5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110" t="n"/>
      <c r="C156" s="5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110" t="n"/>
      <c r="C157" s="5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110" t="n"/>
      <c r="C158" s="5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110" t="n"/>
      <c r="C159" s="5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110" t="n"/>
      <c r="C160" s="5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110" t="n"/>
      <c r="C161" s="5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110" t="n"/>
      <c r="C162" s="5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110" t="n"/>
      <c r="C163" s="5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110" t="n"/>
      <c r="C164" s="5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110" t="n"/>
      <c r="C165" s="5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110" t="n"/>
      <c r="C166" s="5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110" t="n"/>
      <c r="C167" s="5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110" t="n"/>
      <c r="C168" s="5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110" t="n"/>
      <c r="C169" s="5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110" t="n"/>
      <c r="C170" s="5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110" t="n"/>
      <c r="C171" s="5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110" t="n"/>
      <c r="C172" s="5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110" t="n"/>
      <c r="C173" s="5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110" t="n"/>
      <c r="C174" s="5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110" t="n"/>
      <c r="C175" s="5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110" t="n"/>
      <c r="C176" s="5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110" t="n"/>
      <c r="C177" s="5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110" t="n"/>
      <c r="C178" s="5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110" t="n"/>
      <c r="C179" s="5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110" t="n"/>
      <c r="C180" s="5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110" t="n"/>
      <c r="C181" s="5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110" t="n"/>
      <c r="C182" s="5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110" t="n"/>
      <c r="C183" s="5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110" t="n"/>
      <c r="C184" s="5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110" t="n"/>
      <c r="C185" s="5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110" t="n"/>
      <c r="C186" s="5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110" t="n"/>
      <c r="C187" s="5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110" t="n"/>
      <c r="C188" s="5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110" t="n"/>
      <c r="C189" s="5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110" t="n"/>
      <c r="C190" s="5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110" t="n"/>
      <c r="C191" s="5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110" t="n"/>
      <c r="C192" s="5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110" t="n"/>
      <c r="C193" s="5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110" t="n"/>
      <c r="C194" s="5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110" t="n"/>
      <c r="C195" s="5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110" t="n"/>
      <c r="C196" s="5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110" t="n"/>
      <c r="C197" s="5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110" t="n"/>
      <c r="C198" s="5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110" t="n"/>
      <c r="C199" s="5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110" t="n"/>
      <c r="C200" s="5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110" t="n"/>
      <c r="C201" s="5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110" t="n"/>
      <c r="C202" s="5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110" t="n"/>
      <c r="C203" s="5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110" t="n"/>
      <c r="C204" s="5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110" t="n"/>
      <c r="C205" s="5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110" t="n"/>
      <c r="C206" s="5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110" t="n"/>
      <c r="C207" s="5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110" t="n"/>
      <c r="C208" s="5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110" t="n"/>
      <c r="C209" s="5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110" t="n"/>
      <c r="C210" s="5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110" t="n"/>
      <c r="C211" s="5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110" t="n"/>
      <c r="C212" s="5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110" t="n"/>
      <c r="C213" s="5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110" t="n"/>
      <c r="C214" s="5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110" t="n"/>
      <c r="C215" s="5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110" t="n"/>
      <c r="C216" s="5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110" t="n"/>
      <c r="C217" s="5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110" t="n"/>
      <c r="C218" s="5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110" t="n"/>
      <c r="C219" s="5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5" t="n"/>
      <c r="C220" s="5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3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3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3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3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3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3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3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3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3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3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3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3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3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3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3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3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3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3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3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3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3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3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3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mergeCells count="1">
    <mergeCell ref="D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Z32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10" defaultColWidth="11.1640625" defaultRowHeight="15" customHeight="1"/>
  <cols>
    <col width="8.6640625" customWidth="1" style="134" min="1" max="1"/>
    <col width="63.6640625" customWidth="1" style="134" min="2" max="2"/>
    <col width="12.6640625" customWidth="1" style="134" min="3" max="3"/>
    <col hidden="1" width="7.5" customWidth="1" style="134" min="4" max="4"/>
    <col hidden="1" width="8.6640625" customWidth="1" style="134" min="5" max="6"/>
    <col hidden="1" width="13" customWidth="1" style="134" min="6" max="6"/>
    <col width="12.6640625" customWidth="1" style="134" min="7" max="10"/>
    <col width="11.6640625" customWidth="1" style="134" min="11" max="12"/>
    <col width="8.33203125" customWidth="1" style="134" min="13" max="19"/>
    <col width="11.1640625" customWidth="1" style="134" min="20" max="26"/>
  </cols>
  <sheetData>
    <row r="1" ht="18" customHeight="1" s="134">
      <c r="A1" s="1" t="n"/>
      <c r="B1" s="3" t="n"/>
      <c r="C1" s="1" t="n"/>
      <c r="D1" s="135" t="n">
        <v>2026</v>
      </c>
      <c r="M1" s="164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34">
      <c r="A2" s="10" t="inlineStr">
        <is>
          <t>CODICE</t>
        </is>
      </c>
      <c r="B2" s="3" t="n"/>
      <c r="C2" s="1" t="n"/>
      <c r="D2" s="114" t="inlineStr">
        <is>
          <t>APRILE</t>
        </is>
      </c>
      <c r="E2" s="114" t="inlineStr">
        <is>
          <t>MAGGIO</t>
        </is>
      </c>
      <c r="F2" s="114" t="inlineStr">
        <is>
          <t>GIUGNO</t>
        </is>
      </c>
      <c r="G2" s="114" t="inlineStr">
        <is>
          <t>LUGLIO</t>
        </is>
      </c>
      <c r="H2" s="114" t="inlineStr">
        <is>
          <t>AGOSTO</t>
        </is>
      </c>
      <c r="I2" s="114" t="inlineStr">
        <is>
          <t>SETTEMBRE</t>
        </is>
      </c>
      <c r="J2" s="114" t="inlineStr">
        <is>
          <t>OTTOBRE</t>
        </is>
      </c>
      <c r="K2" s="114" t="inlineStr">
        <is>
          <t>NOVEMBRE</t>
        </is>
      </c>
      <c r="L2" s="114" t="inlineStr">
        <is>
          <t>DICEMBRE</t>
        </is>
      </c>
      <c r="M2" s="114" t="inlineStr">
        <is>
          <t>GENNAIO</t>
        </is>
      </c>
      <c r="N2" s="114" t="inlineStr">
        <is>
          <t>FEBBRAIO</t>
        </is>
      </c>
      <c r="O2" s="114" t="inlineStr">
        <is>
          <t>MARZO</t>
        </is>
      </c>
      <c r="P2" s="114" t="inlineStr">
        <is>
          <t>APRILE</t>
        </is>
      </c>
      <c r="Q2" s="114" t="inlineStr">
        <is>
          <t>MAGGIO</t>
        </is>
      </c>
      <c r="R2" s="114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34">
      <c r="A3" s="115" t="n"/>
      <c r="B3" s="116" t="inlineStr">
        <is>
          <t>PREVISIONALE</t>
        </is>
      </c>
      <c r="C3" s="117">
        <f>SUM(D3:L3)</f>
        <v/>
      </c>
      <c r="D3" s="118" t="n"/>
      <c r="E3" s="118" t="n"/>
      <c r="F3" s="118" t="n"/>
      <c r="G3" s="118" t="n">
        <v>120000</v>
      </c>
      <c r="H3" s="118" t="n">
        <v>145000</v>
      </c>
      <c r="I3" s="118" t="n">
        <v>140000</v>
      </c>
      <c r="J3" s="118" t="n">
        <v>135000</v>
      </c>
      <c r="K3" s="118" t="n">
        <v>75000</v>
      </c>
      <c r="L3" s="118" t="n">
        <v>60000</v>
      </c>
      <c r="M3" s="118" t="n"/>
      <c r="N3" s="118" t="n"/>
      <c r="O3" s="118" t="n"/>
      <c r="P3" s="118" t="n"/>
      <c r="Q3" s="118" t="n"/>
      <c r="R3" s="118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34" thickBot="1">
      <c r="A4" s="17" t="n"/>
      <c r="B4" s="19" t="inlineStr">
        <is>
          <t xml:space="preserve">Materie Prime e Consumo </t>
        </is>
      </c>
      <c r="C4" s="19">
        <f>SUM(D4:L4)</f>
        <v/>
      </c>
      <c r="D4" s="29">
        <f>SUM(D5:D184)</f>
        <v/>
      </c>
      <c r="E4" s="29">
        <f>SUM(E5:E184)</f>
        <v/>
      </c>
      <c r="F4" s="29">
        <f>SUM(F5:F184)</f>
        <v/>
      </c>
      <c r="G4" s="29">
        <f>SUM(G5:G184)</f>
        <v/>
      </c>
      <c r="H4" s="29">
        <f>SUM(H5:H184)</f>
        <v/>
      </c>
      <c r="I4" s="29">
        <f>SUM(I5:I184)</f>
        <v/>
      </c>
      <c r="J4" s="29">
        <f>SUM(J5:J184)</f>
        <v/>
      </c>
      <c r="K4" s="29">
        <f>SUM(K5:K184)</f>
        <v/>
      </c>
      <c r="L4" s="29">
        <f>SUM(L5:L184)</f>
        <v/>
      </c>
      <c r="M4" s="29">
        <f>SUM(M5:M184)</f>
        <v/>
      </c>
      <c r="N4" s="29">
        <f>SUM(N5:N184)</f>
        <v/>
      </c>
      <c r="O4" s="29">
        <f>SUM(O5:O184)</f>
        <v/>
      </c>
      <c r="P4" s="29">
        <f>SUM(P5:P184)</f>
        <v/>
      </c>
      <c r="Q4" s="29">
        <f>SUM(Q5:Q184)</f>
        <v/>
      </c>
      <c r="R4" s="29">
        <f>SUM(R5:R184)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34" thickTop="1">
      <c r="A5" s="32" t="n">
        <v>801</v>
      </c>
      <c r="B5" s="113" t="inlineStr">
        <is>
          <t>A. Migliore srl</t>
        </is>
      </c>
      <c r="C5" s="34">
        <f>SUM(D5:L5)</f>
        <v/>
      </c>
      <c r="D5" s="119" t="n"/>
      <c r="E5" s="119" t="n"/>
      <c r="F5" s="119" t="n"/>
      <c r="G5" s="119" t="n"/>
      <c r="H5" s="119" t="n"/>
      <c r="I5" s="119" t="n"/>
      <c r="J5" s="119" t="n"/>
      <c r="K5" s="35" t="n"/>
      <c r="L5" s="35" t="n"/>
      <c r="M5" s="35" t="n"/>
      <c r="N5" s="35" t="n"/>
      <c r="O5" s="35" t="n"/>
      <c r="P5" s="35" t="n"/>
      <c r="Q5" s="35" t="n"/>
      <c r="R5" s="3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34">
      <c r="A6" s="32" t="n">
        <v>281</v>
      </c>
      <c r="B6" s="113" t="inlineStr">
        <is>
          <t>Abiti da lavoro Cavaliere srls</t>
        </is>
      </c>
      <c r="C6" s="45">
        <f>SUM(D6:L6)</f>
        <v/>
      </c>
      <c r="D6" s="119" t="n"/>
      <c r="E6" s="119" t="n"/>
      <c r="F6" s="119" t="n"/>
      <c r="G6" s="119" t="n"/>
      <c r="H6" s="119" t="n"/>
      <c r="I6" s="119" t="n"/>
      <c r="J6" s="119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34">
      <c r="A7" s="32" t="n">
        <v>1183</v>
      </c>
      <c r="B7" s="113" t="inlineStr">
        <is>
          <t>Adra srl</t>
        </is>
      </c>
      <c r="C7" s="45">
        <f>SUM(D7:L7)</f>
        <v/>
      </c>
      <c r="D7" s="119" t="n"/>
      <c r="E7" s="119" t="n"/>
      <c r="F7" s="119" t="n"/>
      <c r="G7" s="119" t="n"/>
      <c r="H7" s="119" t="n">
        <v>839.47</v>
      </c>
      <c r="I7" s="119" t="n">
        <v>990.71</v>
      </c>
      <c r="J7" s="119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34">
      <c r="A8" s="32" t="n">
        <v>412</v>
      </c>
      <c r="B8" s="113" t="inlineStr">
        <is>
          <t>Alberto D'Urso</t>
        </is>
      </c>
      <c r="C8" s="45">
        <f>SUM(D8:L8)</f>
        <v/>
      </c>
      <c r="D8" s="119" t="n"/>
      <c r="E8" s="119" t="n"/>
      <c r="F8" s="119" t="n"/>
      <c r="G8" s="119" t="n">
        <v>761.92</v>
      </c>
      <c r="H8" s="119" t="n"/>
      <c r="I8" s="119" t="n"/>
      <c r="J8" s="119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34">
      <c r="A9" s="32" t="n">
        <v>1589</v>
      </c>
      <c r="B9" s="113" t="inlineStr">
        <is>
          <t>Alnumar di Garofalo Massimiliano</t>
        </is>
      </c>
      <c r="C9" s="45">
        <f>SUM(D9:L9)</f>
        <v/>
      </c>
      <c r="D9" s="119" t="n"/>
      <c r="E9" s="119" t="n"/>
      <c r="F9" s="119" t="n"/>
      <c r="G9" s="119" t="n">
        <v>1920.41</v>
      </c>
      <c r="H9" s="119" t="n">
        <v>1895.84</v>
      </c>
      <c r="I9" s="119" t="n"/>
      <c r="J9" s="119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34">
      <c r="A10" s="32" t="n">
        <v>92</v>
      </c>
      <c r="B10" s="113" t="inlineStr">
        <is>
          <t>Amalfi sei esse</t>
        </is>
      </c>
      <c r="C10" s="45">
        <f>SUM(D10:L10)</f>
        <v/>
      </c>
      <c r="D10" s="119" t="n"/>
      <c r="E10" s="119" t="n"/>
      <c r="F10" s="119" t="n"/>
      <c r="G10" s="119" t="n">
        <v>6384.75</v>
      </c>
      <c r="H10" s="119" t="n">
        <v>6825.63</v>
      </c>
      <c r="I10" s="119" t="n">
        <v>9528.629999999999</v>
      </c>
      <c r="J10" s="119" t="n">
        <v>11654.67</v>
      </c>
      <c r="K10" s="47" t="n">
        <v>89.77</v>
      </c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34">
      <c r="A11" s="32" t="n">
        <v>1720</v>
      </c>
      <c r="B11" s="113" t="inlineStr">
        <is>
          <t>Amalfi ghiaccio</t>
        </is>
      </c>
      <c r="C11" s="45">
        <f>SUM(D11:L11)</f>
        <v/>
      </c>
      <c r="D11" s="119" t="n"/>
      <c r="E11" s="119" t="n"/>
      <c r="F11" s="119" t="n"/>
      <c r="G11" s="119" t="n"/>
      <c r="H11" s="119" t="n"/>
      <c r="I11" s="119" t="n"/>
      <c r="J11" s="119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34">
      <c r="A12" s="32" t="n">
        <v>131</v>
      </c>
      <c r="B12" s="113" t="inlineStr">
        <is>
          <t>Amalfi Web</t>
        </is>
      </c>
      <c r="C12" s="45">
        <f>SUM(D12:L12)</f>
        <v/>
      </c>
      <c r="D12" s="119" t="n"/>
      <c r="E12" s="119" t="n"/>
      <c r="F12" s="119" t="n"/>
      <c r="G12" s="119" t="n"/>
      <c r="H12" s="119" t="n"/>
      <c r="I12" s="119" t="n"/>
      <c r="J12" s="119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34">
      <c r="A13" s="32" t="n">
        <v>147</v>
      </c>
      <c r="B13" s="113" t="inlineStr">
        <is>
          <t>Amato Filippo</t>
        </is>
      </c>
      <c r="C13" s="45">
        <f>SUM(D13:L13)</f>
        <v/>
      </c>
      <c r="D13" s="119" t="n"/>
      <c r="E13" s="119" t="n"/>
      <c r="F13" s="119" t="n"/>
      <c r="G13" s="119" t="n"/>
      <c r="H13" s="119" t="n"/>
      <c r="I13" s="119" t="n"/>
      <c r="J13" s="119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34">
      <c r="A14" s="32" t="n">
        <v>325</v>
      </c>
      <c r="B14" s="113" t="inlineStr">
        <is>
          <t>Alfera srl</t>
        </is>
      </c>
      <c r="C14" s="45">
        <f>SUM(D14:L14)</f>
        <v/>
      </c>
      <c r="D14" s="119" t="n"/>
      <c r="E14" s="119" t="n"/>
      <c r="F14" s="119" t="n"/>
      <c r="G14" s="119" t="n"/>
      <c r="H14" s="119" t="n">
        <v>2260</v>
      </c>
      <c r="I14" s="119" t="n">
        <v>2976.01</v>
      </c>
      <c r="J14" s="119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34">
      <c r="A15" s="32" t="n">
        <v>916</v>
      </c>
      <c r="B15" s="113" t="inlineStr">
        <is>
          <t>Allestimenti Di Palo</t>
        </is>
      </c>
      <c r="C15" s="45">
        <f>SUM(D15:L15)</f>
        <v/>
      </c>
      <c r="D15" s="119" t="n"/>
      <c r="E15" s="119" t="n"/>
      <c r="F15" s="119" t="n"/>
      <c r="G15" s="119" t="n"/>
      <c r="H15" s="119" t="n"/>
      <c r="I15" s="119" t="n"/>
      <c r="J15" s="119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34">
      <c r="A16" s="32" t="n">
        <v>790</v>
      </c>
      <c r="B16" s="113" t="inlineStr">
        <is>
          <t>Amato Prisco pane</t>
        </is>
      </c>
      <c r="C16" s="45">
        <f>SUM(D16:L16)</f>
        <v/>
      </c>
      <c r="D16" s="47" t="n"/>
      <c r="E16" s="47" t="n"/>
      <c r="F16" s="47" t="n"/>
      <c r="G16" s="47" t="n">
        <v>474.24</v>
      </c>
      <c r="H16" s="47" t="n">
        <v>836.16</v>
      </c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34">
      <c r="A17" s="32" t="n">
        <v>1260</v>
      </c>
      <c r="B17" s="113" t="inlineStr">
        <is>
          <t>Aniello Bisogno &amp; Figli</t>
        </is>
      </c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34">
      <c r="A18" s="32" t="n">
        <v>667</v>
      </c>
      <c r="B18" s="113" t="inlineStr">
        <is>
          <t>Attianese Frutta e Verdura</t>
        </is>
      </c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34">
      <c r="A19" s="32" t="n">
        <v>1298</v>
      </c>
      <c r="B19" s="113" t="inlineStr">
        <is>
          <t>Apicella Lorenzo</t>
        </is>
      </c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34">
      <c r="A20" s="32" t="n">
        <v>758</v>
      </c>
      <c r="B20" s="113" t="inlineStr">
        <is>
          <t>B&amp;G Di Palo Commercio</t>
        </is>
      </c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32" t="n">
        <v>74</v>
      </c>
      <c r="B21" s="113" t="inlineStr">
        <is>
          <t>Bellagaia</t>
        </is>
      </c>
      <c r="C21" s="45">
        <f>SUM(D21:L21)</f>
        <v/>
      </c>
      <c r="D21" s="47" t="n"/>
      <c r="E21" s="47" t="n"/>
      <c r="F21" s="47" t="n"/>
      <c r="G21" s="47" t="n">
        <v>8248.92</v>
      </c>
      <c r="H21" s="47" t="n">
        <v>6061.72</v>
      </c>
      <c r="I21" s="47" t="n">
        <v>1666.67</v>
      </c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32" t="n">
        <v>399</v>
      </c>
      <c r="B22" s="113" t="inlineStr">
        <is>
          <t>Campitiello Fabio</t>
        </is>
      </c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32" t="n">
        <v>864</v>
      </c>
      <c r="B23" s="113" t="inlineStr">
        <is>
          <t>Capuano Raffaele</t>
        </is>
      </c>
      <c r="C23" s="45">
        <f>SUM(D23:L23)</f>
        <v/>
      </c>
      <c r="D23" s="47" t="n"/>
      <c r="E23" s="47" t="n"/>
      <c r="F23" s="47" t="n"/>
      <c r="G23" s="47" t="n">
        <v>80</v>
      </c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32" t="n">
        <v>208</v>
      </c>
      <c r="B24" s="113" t="inlineStr">
        <is>
          <t>Casa Vinicola Sammarco</t>
        </is>
      </c>
      <c r="C24" s="45">
        <f>SUM(D24:L24)</f>
        <v/>
      </c>
      <c r="D24" s="47" t="n"/>
      <c r="E24" s="47" t="n"/>
      <c r="F24" s="47" t="n"/>
      <c r="G24" s="47" t="n">
        <v>666.12</v>
      </c>
      <c r="H24" s="47" t="n">
        <v>1141.92</v>
      </c>
      <c r="I24" s="47" t="n">
        <v>937.3099999999999</v>
      </c>
      <c r="J24" s="47" t="n">
        <v>146.03</v>
      </c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32" t="n">
        <v>1137</v>
      </c>
      <c r="B25" s="113" t="inlineStr">
        <is>
          <t>Coccorullo Falegnamenria</t>
        </is>
      </c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32" t="n">
        <v>125</v>
      </c>
      <c r="B26" s="113" t="inlineStr">
        <is>
          <t>Centro Distribuzione Maglio</t>
        </is>
      </c>
      <c r="C26" s="45">
        <f>SUM(D26:L26)</f>
        <v/>
      </c>
      <c r="D26" s="47" t="n"/>
      <c r="E26" s="47" t="n"/>
      <c r="F26" s="47" t="n"/>
      <c r="G26" s="47" t="n">
        <v>1588.4</v>
      </c>
      <c r="H26" s="47" t="n">
        <v>1504.8</v>
      </c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32" t="n">
        <v>315</v>
      </c>
      <c r="B27" s="113" t="inlineStr">
        <is>
          <t>Centro service Snc</t>
        </is>
      </c>
      <c r="C27" s="45">
        <f>SUM(D27:L27)</f>
        <v/>
      </c>
      <c r="D27" s="47" t="n"/>
      <c r="E27" s="47" t="n"/>
      <c r="F27" s="47" t="n"/>
      <c r="G27" s="47" t="n"/>
      <c r="H27" s="47" t="n">
        <v>513.62</v>
      </c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32" t="n">
        <v>423</v>
      </c>
      <c r="B28" s="113" t="inlineStr">
        <is>
          <t>Cica</t>
        </is>
      </c>
      <c r="C28" s="45">
        <f>SUM(D28:L28)</f>
        <v/>
      </c>
      <c r="D28" s="47" t="n"/>
      <c r="E28" s="47" t="n"/>
      <c r="F28" s="47" t="n"/>
      <c r="G28" s="47" t="n">
        <v>2062.02</v>
      </c>
      <c r="H28" s="47" t="n">
        <v>2834.35</v>
      </c>
      <c r="I28" s="47" t="n">
        <v>221.32</v>
      </c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32" t="n">
        <v>417</v>
      </c>
      <c r="B29" s="113" t="inlineStr">
        <is>
          <t>Cimmini Filomena</t>
        </is>
      </c>
      <c r="C29" s="45">
        <f>SUM(D29:L29)</f>
        <v/>
      </c>
      <c r="D29" s="47" t="n"/>
      <c r="E29" s="47" t="n"/>
      <c r="F29" s="47" t="n"/>
      <c r="G29" s="47" t="n">
        <v>51.48</v>
      </c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32" t="n">
        <v>369</v>
      </c>
      <c r="B30" s="113" t="inlineStr">
        <is>
          <t>Creative Idea</t>
        </is>
      </c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32" t="n">
        <v>1003</v>
      </c>
      <c r="B31" s="113" t="inlineStr">
        <is>
          <t>Ditta Pansa</t>
        </is>
      </c>
      <c r="C31" s="45">
        <f>SUM(D31:L31)</f>
        <v/>
      </c>
      <c r="D31" s="47" t="n"/>
      <c r="E31" s="47" t="n"/>
      <c r="F31" s="47" t="n"/>
      <c r="G31" s="47" t="n"/>
      <c r="H31" s="47" t="n">
        <v>90</v>
      </c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32" t="n">
        <v>226</v>
      </c>
      <c r="B32" s="113" t="inlineStr">
        <is>
          <t>De Luca</t>
        </is>
      </c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32" t="n">
        <v>7</v>
      </c>
      <c r="B33" s="113" t="inlineStr">
        <is>
          <t>DG Network</t>
        </is>
      </c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32" t="n">
        <v>161</v>
      </c>
      <c r="B34" s="113" t="inlineStr">
        <is>
          <t>Di Sarno Coffee</t>
        </is>
      </c>
      <c r="C34" s="45">
        <f>SUM(D34:L34)</f>
        <v/>
      </c>
      <c r="D34" s="47" t="n"/>
      <c r="E34" s="47" t="n"/>
      <c r="F34" s="47" t="n"/>
      <c r="G34" s="47" t="n">
        <v>8248.040000000001</v>
      </c>
      <c r="H34" s="47" t="n">
        <v>6307.94</v>
      </c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32" t="n">
        <v>32</v>
      </c>
      <c r="B35" s="113" t="inlineStr">
        <is>
          <t>Ditta Apicella</t>
        </is>
      </c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32" t="n">
        <v>1003</v>
      </c>
      <c r="B36" s="113" t="inlineStr">
        <is>
          <t>Ditta Pansa</t>
        </is>
      </c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32" t="n">
        <v>133</v>
      </c>
      <c r="B37" s="113" t="inlineStr">
        <is>
          <t>Fabbrocino Michele</t>
        </is>
      </c>
      <c r="C37" s="45">
        <f>SUM(D37:L37)</f>
        <v/>
      </c>
      <c r="D37" s="47" t="n"/>
      <c r="E37" s="47" t="n"/>
      <c r="F37" s="47" t="n"/>
      <c r="G37" s="47" t="n">
        <v>3183.82</v>
      </c>
      <c r="H37" s="47" t="n">
        <v>9238</v>
      </c>
      <c r="I37" s="47" t="n">
        <v>10345.23</v>
      </c>
      <c r="J37" s="47" t="n">
        <v>1786.56</v>
      </c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32" t="n">
        <v>672</v>
      </c>
      <c r="B38" s="113" t="inlineStr">
        <is>
          <t>Barela Farmacia</t>
        </is>
      </c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32" t="n">
        <v>127</v>
      </c>
      <c r="B39" s="113" t="inlineStr">
        <is>
          <t>Feio Srl</t>
        </is>
      </c>
      <c r="C39" s="45">
        <f>SUM(D39:L39)</f>
        <v/>
      </c>
      <c r="D39" s="47" t="n"/>
      <c r="E39" s="47" t="n"/>
      <c r="F39" s="47" t="n"/>
      <c r="G39" s="47" t="n">
        <v>1697.14</v>
      </c>
      <c r="H39" s="47" t="n">
        <v>1380.55</v>
      </c>
      <c r="I39" s="47" t="n">
        <v>253.27</v>
      </c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32" t="n">
        <v>179</v>
      </c>
      <c r="B40" s="113" t="inlineStr">
        <is>
          <t>Ferrigno Maria</t>
        </is>
      </c>
      <c r="C40" s="45">
        <f>SUM(D40:L40)</f>
        <v/>
      </c>
      <c r="D40" s="47" t="n"/>
      <c r="E40" s="47" t="n"/>
      <c r="F40" s="47" t="n"/>
      <c r="G40" s="47" t="n"/>
      <c r="H40" s="47" t="n">
        <v>33</v>
      </c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32" t="n">
        <v>158</v>
      </c>
      <c r="B41" s="113" t="inlineStr">
        <is>
          <t>Gallo Giovanni</t>
        </is>
      </c>
      <c r="C41" s="45">
        <f>SUM(D41:L41)</f>
        <v/>
      </c>
      <c r="D41" s="47" t="n"/>
      <c r="E41" s="47" t="n"/>
      <c r="F41" s="47" t="n"/>
      <c r="G41" s="47" t="n">
        <v>85</v>
      </c>
      <c r="H41" s="47" t="n">
        <v>118.91</v>
      </c>
      <c r="I41" s="47" t="n"/>
      <c r="J41" s="47" t="n">
        <v>155.5</v>
      </c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32" t="n">
        <v>4</v>
      </c>
      <c r="B42" s="113" t="inlineStr">
        <is>
          <t>Giacinto Di Palma</t>
        </is>
      </c>
      <c r="C42" s="45">
        <f>SUM(D42:L42)</f>
        <v/>
      </c>
      <c r="D42" s="47" t="n"/>
      <c r="E42" s="47" t="n"/>
      <c r="F42" s="47" t="n"/>
      <c r="G42" s="47" t="n">
        <v>285.33</v>
      </c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32" t="n">
        <v>353</v>
      </c>
      <c r="B43" s="113" t="inlineStr">
        <is>
          <t>Granato Vincenzo</t>
        </is>
      </c>
      <c r="C43" s="45">
        <f>SUM(D43:L43)</f>
        <v/>
      </c>
      <c r="D43" s="59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32" t="n">
        <v>732</v>
      </c>
      <c r="B44" s="113" t="inlineStr">
        <is>
          <t>Granato Nino</t>
        </is>
      </c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32" t="n">
        <v>1091</v>
      </c>
      <c r="B45" s="113" t="inlineStr">
        <is>
          <t>Hospitality Project</t>
        </is>
      </c>
      <c r="C45" s="45" t="n"/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32" t="n">
        <v>145</v>
      </c>
      <c r="B46" s="113" t="inlineStr">
        <is>
          <t>Hotel Service</t>
        </is>
      </c>
      <c r="C46" s="45">
        <f>SUM(D46:L46)</f>
        <v/>
      </c>
      <c r="D46" s="47" t="n"/>
      <c r="E46" s="47" t="n"/>
      <c r="F46" s="47" t="n"/>
      <c r="G46" s="47" t="n">
        <v>13798.47</v>
      </c>
      <c r="H46" s="47" t="n">
        <v>17614.03</v>
      </c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32" t="n">
        <v>1104</v>
      </c>
      <c r="B47" s="113" t="inlineStr">
        <is>
          <t>I.C.P srl</t>
        </is>
      </c>
      <c r="C47" s="45">
        <f>SUM(D47:L47)</f>
        <v/>
      </c>
      <c r="D47" s="47" t="n"/>
      <c r="E47" s="47" t="n"/>
      <c r="F47" s="47" t="n"/>
      <c r="G47" s="47" t="n">
        <v>1570.21</v>
      </c>
      <c r="H47" s="47" t="n">
        <v>1685.49</v>
      </c>
      <c r="I47" s="47" t="n">
        <v>2194.68</v>
      </c>
      <c r="J47" s="47" t="n">
        <v>1288.62</v>
      </c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32" t="n">
        <v>921</v>
      </c>
      <c r="B48" s="113" t="inlineStr">
        <is>
          <t>Il centro CSC</t>
        </is>
      </c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32" t="n">
        <v>815</v>
      </c>
      <c r="B49" s="113" t="inlineStr">
        <is>
          <t>Il piacere della tavola</t>
        </is>
      </c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32" t="n">
        <v>1706</v>
      </c>
      <c r="B50" s="113" t="inlineStr">
        <is>
          <t>Ingrosso frutta di Michele e Vincenzo</t>
        </is>
      </c>
      <c r="C50" s="45">
        <f>SUM(D50:L50)</f>
        <v/>
      </c>
      <c r="D50" s="47" t="n"/>
      <c r="E50" s="47" t="n"/>
      <c r="F50" s="47" t="n"/>
      <c r="G50" s="47" t="n">
        <v>1952</v>
      </c>
      <c r="H50" s="47" t="n">
        <v>1576.2</v>
      </c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32" t="n">
        <v>929</v>
      </c>
      <c r="B51" s="113" t="inlineStr">
        <is>
          <t>IPEI SRL</t>
        </is>
      </c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32" t="n">
        <v>1153</v>
      </c>
      <c r="B52" s="113" t="inlineStr">
        <is>
          <t>La Contadina Srl</t>
        </is>
      </c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32" t="n">
        <v>718</v>
      </c>
      <c r="B53" s="113" t="inlineStr">
        <is>
          <t>La Floreale</t>
        </is>
      </c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32" t="n">
        <v>1303</v>
      </c>
      <c r="B54" s="113" t="inlineStr">
        <is>
          <t xml:space="preserve">La Nuova Autocarrozzaria </t>
        </is>
      </c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32" t="n">
        <v>1</v>
      </c>
      <c r="B55" s="113" t="inlineStr">
        <is>
          <t>Le Croissant srl</t>
        </is>
      </c>
      <c r="C55" s="45">
        <f>SUM(D55:L55)</f>
        <v/>
      </c>
      <c r="D55" s="47" t="n"/>
      <c r="E55" s="47" t="n"/>
      <c r="F55" s="47" t="n"/>
      <c r="G55" s="47" t="n">
        <v>10010.25</v>
      </c>
      <c r="H55" s="47" t="n">
        <v>6549.5</v>
      </c>
      <c r="I55" s="47" t="n">
        <v>6648.54</v>
      </c>
      <c r="J55" s="47" t="n">
        <v>2169.25</v>
      </c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32" t="n">
        <v>497</v>
      </c>
      <c r="B56" s="113" t="inlineStr">
        <is>
          <t>Lovali d'autore</t>
        </is>
      </c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32" t="n">
        <v>186</v>
      </c>
      <c r="B57" s="113" t="inlineStr">
        <is>
          <t>L'Europea</t>
        </is>
      </c>
      <c r="C57" s="45">
        <f>SUM(D57:L57)</f>
        <v/>
      </c>
      <c r="D57" s="47" t="n"/>
      <c r="E57" s="47" t="n"/>
      <c r="F57" s="47" t="n"/>
      <c r="G57" s="47" t="n">
        <v>610</v>
      </c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32" t="n">
        <v>791</v>
      </c>
      <c r="B58" s="113" t="inlineStr">
        <is>
          <t>Napolamp</t>
        </is>
      </c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32" t="n">
        <v>146</v>
      </c>
      <c r="B59" s="113" t="inlineStr">
        <is>
          <t>Ninni</t>
        </is>
      </c>
      <c r="C59" s="45">
        <f>SUM(D59:L59)</f>
        <v/>
      </c>
      <c r="D59" s="47" t="n"/>
      <c r="E59" s="47" t="n"/>
      <c r="F59" s="47" t="n"/>
      <c r="G59" s="47" t="n">
        <v>1189.5</v>
      </c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32" t="n">
        <v>554</v>
      </c>
      <c r="B60" s="113" t="inlineStr">
        <is>
          <t>Oceano Distribuzione</t>
        </is>
      </c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32" t="n">
        <v>104</v>
      </c>
      <c r="B61" s="113" t="inlineStr">
        <is>
          <t>Paolillo Aldo</t>
        </is>
      </c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32" t="n">
        <v>64</v>
      </c>
      <c r="B62" s="113" t="inlineStr">
        <is>
          <t>Paravia Srl</t>
        </is>
      </c>
      <c r="C62" s="45">
        <f>SUM(D62:L62)</f>
        <v/>
      </c>
      <c r="D62" s="47" t="n"/>
      <c r="E62" s="47" t="n"/>
      <c r="F62" s="47" t="n"/>
      <c r="G62" s="47" t="n"/>
      <c r="H62" s="47" t="n">
        <v>689.3200000000001</v>
      </c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32" t="n">
        <v>137</v>
      </c>
      <c r="B63" s="113" t="inlineStr">
        <is>
          <t>Primavera Servizi</t>
        </is>
      </c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32" t="n">
        <v>80</v>
      </c>
      <c r="B64" s="113" t="inlineStr">
        <is>
          <t>Pisacane Raffaele</t>
        </is>
      </c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32" t="n">
        <v>123</v>
      </c>
      <c r="B65" s="113" t="inlineStr">
        <is>
          <t>Pregis</t>
        </is>
      </c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32" t="n">
        <v>1714</v>
      </c>
      <c r="B66" s="113" t="inlineStr">
        <is>
          <t>Prodotti tipici di CarloTagliafierro</t>
        </is>
      </c>
      <c r="C66" s="45" t="n"/>
      <c r="D66" s="59" t="n"/>
      <c r="E66" s="47" t="n"/>
      <c r="F66" s="47" t="n"/>
      <c r="G66" s="47" t="n">
        <v>198.6</v>
      </c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32" t="n">
        <v>1565</v>
      </c>
      <c r="B67" s="113" t="inlineStr">
        <is>
          <t>Pepe Mastro dolciario</t>
        </is>
      </c>
      <c r="C67" s="45">
        <f>SUM(D67:L67)</f>
        <v/>
      </c>
      <c r="D67" s="59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32" t="n">
        <v>1156</v>
      </c>
      <c r="B68" s="113" t="inlineStr">
        <is>
          <t>Prisa</t>
        </is>
      </c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32" t="n">
        <v>1543</v>
      </c>
      <c r="B69" s="113" t="inlineStr">
        <is>
          <t>Reidos srl</t>
        </is>
      </c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32" t="n">
        <v>1230</v>
      </c>
      <c r="B70" s="113" t="inlineStr">
        <is>
          <t>Salzano Tiziano</t>
        </is>
      </c>
      <c r="C70" s="45">
        <f>SUM(D70:L70)</f>
        <v/>
      </c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32" t="n">
        <v>83</v>
      </c>
      <c r="B71" s="113" t="inlineStr">
        <is>
          <t>Santelia Antonio</t>
        </is>
      </c>
      <c r="C71" s="45">
        <f>SUM(D71:L71)</f>
        <v/>
      </c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  <c r="Q71" s="47" t="n"/>
      <c r="R71" s="47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32" t="n">
        <v>275</v>
      </c>
      <c r="B72" s="113" t="inlineStr">
        <is>
          <t>Serverplan srl</t>
        </is>
      </c>
      <c r="C72" s="45">
        <f>SUM(D72:L72)</f>
        <v/>
      </c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  <c r="Q72" s="47" t="n"/>
      <c r="R72" s="47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32" t="n">
        <v>132</v>
      </c>
      <c r="B73" s="113" t="inlineStr">
        <is>
          <t>Studio quattro</t>
        </is>
      </c>
      <c r="C73" s="45">
        <f>SUM(D73:L73)</f>
        <v/>
      </c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  <c r="Q73" s="47" t="n"/>
      <c r="R73" s="47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32" t="n">
        <v>126</v>
      </c>
      <c r="B74" s="123" t="inlineStr">
        <is>
          <t>Tur.Com</t>
        </is>
      </c>
      <c r="C74" s="45">
        <f>SUM(D74:L74)</f>
        <v/>
      </c>
      <c r="D74" s="47" t="n"/>
      <c r="E74" s="47" t="n"/>
      <c r="F74" s="47" t="n"/>
      <c r="G74" s="47" t="n">
        <v>633.86</v>
      </c>
      <c r="H74" s="47" t="n">
        <v>408.36</v>
      </c>
      <c r="I74" s="47" t="n">
        <v>139.83</v>
      </c>
      <c r="J74" s="47" t="n"/>
      <c r="K74" s="47" t="n"/>
      <c r="L74" s="47" t="n"/>
      <c r="M74" s="47" t="n"/>
      <c r="N74" s="47" t="n"/>
      <c r="O74" s="47" t="n"/>
      <c r="P74" s="47" t="n"/>
      <c r="Q74" s="47" t="n"/>
      <c r="R74" s="47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32" t="n">
        <v>1145</v>
      </c>
      <c r="B75" s="60" t="inlineStr">
        <is>
          <t>Valgarda Srl</t>
        </is>
      </c>
      <c r="C75" s="45">
        <f>SUM(D75:L75)</f>
        <v/>
      </c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  <c r="Q75" s="47" t="n"/>
      <c r="R75" s="47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32" t="n">
        <v>71</v>
      </c>
      <c r="B76" s="60" t="inlineStr">
        <is>
          <t>Vicart</t>
        </is>
      </c>
      <c r="C76" s="45">
        <f>SUM(D76:L76)</f>
        <v/>
      </c>
      <c r="D76" s="47" t="n"/>
      <c r="E76" s="47" t="n"/>
      <c r="F76" s="47" t="n"/>
      <c r="G76" s="47" t="n">
        <v>1686.68</v>
      </c>
      <c r="H76" s="47" t="n">
        <v>3173.94</v>
      </c>
      <c r="I76" s="47" t="n">
        <v>3681.86</v>
      </c>
      <c r="J76" s="47" t="n">
        <v>6160.4</v>
      </c>
      <c r="K76" s="47" t="n"/>
      <c r="L76" s="47" t="n"/>
      <c r="M76" s="47" t="n"/>
      <c r="N76" s="47" t="n"/>
      <c r="O76" s="47" t="n"/>
      <c r="P76" s="47" t="n"/>
      <c r="Q76" s="47" t="n"/>
      <c r="R76" s="47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32" t="n">
        <v>1306</v>
      </c>
      <c r="B77" s="60" t="inlineStr">
        <is>
          <t>Vitagliano</t>
        </is>
      </c>
      <c r="C77" s="45">
        <f>SUM(D77:L77)</f>
        <v/>
      </c>
      <c r="D77" s="47" t="n"/>
      <c r="E77" s="47" t="n"/>
      <c r="F77" s="47" t="n"/>
      <c r="G77" s="47" t="n">
        <v>1218.1</v>
      </c>
      <c r="H77" s="47" t="n">
        <v>1458.6</v>
      </c>
      <c r="I77" s="47" t="n"/>
      <c r="J77" s="47" t="n"/>
      <c r="K77" s="47" t="n"/>
      <c r="L77" s="47" t="n"/>
      <c r="M77" s="47" t="n"/>
      <c r="N77" s="47" t="n"/>
      <c r="O77" s="47" t="n"/>
      <c r="P77" s="47" t="n"/>
      <c r="Q77" s="47" t="n"/>
      <c r="R77" s="47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32" t="n">
        <v>1222</v>
      </c>
      <c r="B78" s="60" t="inlineStr">
        <is>
          <t>Pietra di luna</t>
        </is>
      </c>
      <c r="C78" s="45">
        <f>SUM(D78:L78)</f>
        <v/>
      </c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  <c r="Q78" s="47" t="n"/>
      <c r="R78" s="47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32" t="n">
        <v>6</v>
      </c>
      <c r="B79" s="60" t="inlineStr">
        <is>
          <t>Bianco Bufala</t>
        </is>
      </c>
      <c r="C79" s="45">
        <f>SUM(D79:L79)</f>
        <v/>
      </c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  <c r="Q79" s="47" t="n"/>
      <c r="R79" s="47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32" t="n">
        <v>612</v>
      </c>
      <c r="B80" s="60" t="inlineStr">
        <is>
          <t>Croce Rossa Italiana (trasporto sujith)</t>
        </is>
      </c>
      <c r="C80" s="45">
        <f>SUM(D80:L80)</f>
        <v/>
      </c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  <c r="Q80" s="47" t="n"/>
      <c r="R80" s="47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32" t="n">
        <v>1190</v>
      </c>
      <c r="B81" s="60" t="inlineStr">
        <is>
          <t>Costieraagrumi</t>
        </is>
      </c>
      <c r="C81" s="45">
        <f>SUM(D81:L81)</f>
        <v/>
      </c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  <c r="Q81" s="47" t="n"/>
      <c r="R81" s="47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32" t="n">
        <v>68</v>
      </c>
      <c r="B82" s="60" t="inlineStr">
        <is>
          <t>Finsal</t>
        </is>
      </c>
      <c r="C82" s="45">
        <f>SUM(D82:L82)</f>
        <v/>
      </c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  <c r="Q82" s="47" t="n"/>
      <c r="R82" s="47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32" t="n">
        <v>1144</v>
      </c>
      <c r="B83" s="60" t="inlineStr">
        <is>
          <t>Gambardella</t>
        </is>
      </c>
      <c r="C83" s="45">
        <f>SUM(D83:L83)</f>
        <v/>
      </c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  <c r="Q83" s="47" t="n"/>
      <c r="R83" s="47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32" t="n">
        <v>1515</v>
      </c>
      <c r="B84" s="60" t="inlineStr">
        <is>
          <t>Mammato Anna</t>
        </is>
      </c>
      <c r="C84" s="45">
        <f>SUM(D84:L84)</f>
        <v/>
      </c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  <c r="Q84" s="47" t="n"/>
      <c r="R84" s="47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32" t="n">
        <v>121</v>
      </c>
      <c r="B85" s="60" t="inlineStr">
        <is>
          <t>Fioraio Santelia</t>
        </is>
      </c>
      <c r="C85" s="45">
        <f>SUM(D85:L85)</f>
        <v/>
      </c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  <c r="Q85" s="47" t="n"/>
      <c r="R85" s="47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32" t="n">
        <v>1269</v>
      </c>
      <c r="B86" s="60" t="inlineStr">
        <is>
          <t>Arch. Marigliano Savio</t>
        </is>
      </c>
      <c r="C86" s="45">
        <f>SUM(D86:L86)</f>
        <v/>
      </c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  <c r="Q86" s="47" t="n"/>
      <c r="R86" s="47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32" t="n">
        <v>1279</v>
      </c>
      <c r="B87" s="60" t="inlineStr">
        <is>
          <t>Mint Architettura</t>
        </is>
      </c>
      <c r="C87" s="45">
        <f>SUM(D87:L87)</f>
        <v/>
      </c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  <c r="Q87" s="47" t="n"/>
      <c r="R87" s="47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32" t="n">
        <v>1058</v>
      </c>
      <c r="B88" s="60" t="inlineStr">
        <is>
          <t>Musica totale</t>
        </is>
      </c>
      <c r="C88" s="45">
        <f>SUM(D88:L88)</f>
        <v/>
      </c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  <c r="Q88" s="47" t="n"/>
      <c r="R88" s="47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32" t="n">
        <v>1438</v>
      </c>
      <c r="B89" s="60" t="inlineStr">
        <is>
          <t>Romano Ciro</t>
        </is>
      </c>
      <c r="C89" s="45">
        <f>SUM(D89:L89)</f>
        <v/>
      </c>
      <c r="D89" s="47" t="n"/>
      <c r="E89" s="47" t="n"/>
      <c r="F89" s="47" t="n"/>
      <c r="G89" s="47" t="n">
        <v>122</v>
      </c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  <c r="Q89" s="47" t="n"/>
      <c r="R89" s="47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32" t="n">
        <v>138</v>
      </c>
      <c r="B90" s="60" t="inlineStr">
        <is>
          <t>Sal de Riso</t>
        </is>
      </c>
      <c r="C90" s="45">
        <f>SUM(D90:L90)</f>
        <v/>
      </c>
      <c r="D90" s="47" t="n"/>
      <c r="E90" s="47" t="n"/>
      <c r="F90" s="47" t="n"/>
      <c r="G90" s="47" t="n">
        <v>138.58</v>
      </c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  <c r="Q90" s="47" t="n"/>
      <c r="R90" s="47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32" t="n">
        <v>82</v>
      </c>
      <c r="B91" s="60" t="inlineStr">
        <is>
          <t>Samar</t>
        </is>
      </c>
      <c r="C91" s="45">
        <f>SUM(D91:L91)</f>
        <v/>
      </c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  <c r="Q91" s="47" t="n"/>
      <c r="R91" s="47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32" t="n">
        <v>10</v>
      </c>
      <c r="B92" s="60" t="inlineStr">
        <is>
          <t>Sistemi ESolver</t>
        </is>
      </c>
      <c r="C92" s="45">
        <f>SUM(D92:L92)</f>
        <v/>
      </c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  <c r="Q92" s="47" t="n"/>
      <c r="R92" s="47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32" t="n">
        <v>1050</v>
      </c>
      <c r="B93" s="60" t="inlineStr">
        <is>
          <t>Tappezzeria Cent'anni</t>
        </is>
      </c>
      <c r="C93" s="45">
        <f>SUM(D93:L93)</f>
        <v/>
      </c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  <c r="Q93" s="47" t="n"/>
      <c r="R93" s="47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32" t="n">
        <v>745</v>
      </c>
      <c r="B94" s="60" t="inlineStr">
        <is>
          <t>AFFINITO SRL</t>
        </is>
      </c>
      <c r="C94" s="45">
        <f>SUM(D94:L94)</f>
        <v/>
      </c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  <c r="Q94" s="47" t="n"/>
      <c r="R94" s="47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32" t="n">
        <v>985</v>
      </c>
      <c r="B95" s="60" t="inlineStr">
        <is>
          <t>ALBERGO SANTA CHIARA</t>
        </is>
      </c>
      <c r="C95" s="45">
        <f>SUM(D95:L95)</f>
        <v/>
      </c>
      <c r="D95" s="47" t="n"/>
      <c r="E95" s="47" t="n"/>
      <c r="F95" s="47" t="n"/>
      <c r="G95" s="47" t="n">
        <v>214.5</v>
      </c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  <c r="Q95" s="47" t="n"/>
      <c r="R95" s="47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32" t="n">
        <v>19</v>
      </c>
      <c r="B96" s="60" t="inlineStr">
        <is>
          <t>AMAZON EU S.A R.L.</t>
        </is>
      </c>
      <c r="C96" s="45">
        <f>SUM(D96:L96)</f>
        <v/>
      </c>
      <c r="D96" s="47" t="n"/>
      <c r="E96" s="47" t="n"/>
      <c r="F96" s="47" t="n"/>
      <c r="G96" s="47" t="n">
        <v>659.71</v>
      </c>
      <c r="H96" s="47" t="n">
        <v>29</v>
      </c>
      <c r="I96" s="47" t="n"/>
      <c r="J96" s="47" t="n"/>
      <c r="K96" s="47" t="n"/>
      <c r="L96" s="47" t="n"/>
      <c r="M96" s="47" t="n"/>
      <c r="N96" s="47" t="n"/>
      <c r="O96" s="47" t="n"/>
      <c r="P96" s="47" t="n"/>
      <c r="Q96" s="47" t="n"/>
      <c r="R96" s="47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32" t="n">
        <v>498</v>
      </c>
      <c r="B97" s="113" t="inlineStr">
        <is>
          <t>AP COMMERCIALE S.R.L.</t>
        </is>
      </c>
      <c r="C97" s="45">
        <f>SUM(D97:L97)</f>
        <v/>
      </c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  <c r="Q97" s="47" t="n"/>
      <c r="R97" s="47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32" t="n">
        <v>14</v>
      </c>
      <c r="B98" s="113" t="inlineStr">
        <is>
          <t>C&amp;C S.p.A.</t>
        </is>
      </c>
      <c r="C98" s="45">
        <f>SUM(D98:L98)</f>
        <v/>
      </c>
      <c r="D98" s="47" t="n"/>
      <c r="E98" s="47" t="n"/>
      <c r="F98" s="47" t="n"/>
      <c r="G98" s="47" t="n">
        <v>99</v>
      </c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  <c r="Q98" s="47" t="n"/>
      <c r="R98" s="47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32" t="n">
        <v>1595</v>
      </c>
      <c r="B99" s="113" t="inlineStr">
        <is>
          <t>Dr. Vranjes Firenze S.p.A.</t>
        </is>
      </c>
      <c r="C99" s="45">
        <f>SUM(D99:L99)</f>
        <v/>
      </c>
      <c r="D99" s="47" t="n"/>
      <c r="E99" s="47" t="n"/>
      <c r="F99" s="47" t="n"/>
      <c r="G99" s="47" t="n">
        <v>45.99</v>
      </c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  <c r="Q99" s="47" t="n"/>
      <c r="R99" s="47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32" t="n">
        <v>1597</v>
      </c>
      <c r="B100" s="113" t="inlineStr">
        <is>
          <t>EXORH DI CHIESA PAOLA</t>
        </is>
      </c>
      <c r="C100" s="45">
        <f>SUM(D100:L100)</f>
        <v/>
      </c>
      <c r="D100" s="47" t="n"/>
      <c r="E100" s="47" t="n"/>
      <c r="F100" s="47" t="n"/>
      <c r="G100" s="47" t="n">
        <v>148</v>
      </c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  <c r="Q100" s="47" t="n"/>
      <c r="R100" s="47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32" t="n">
        <v>1168</v>
      </c>
      <c r="B101" s="113" t="inlineStr">
        <is>
          <t>Gest. D.M.F. Srl</t>
        </is>
      </c>
      <c r="C101" s="45">
        <f>SUM(D101:L101)</f>
        <v/>
      </c>
      <c r="D101" s="47" t="n"/>
      <c r="E101" s="47" t="n"/>
      <c r="F101" s="47" t="n"/>
      <c r="G101" s="47" t="n"/>
      <c r="H101" s="47" t="n"/>
      <c r="I101" s="47" t="n"/>
      <c r="J101" s="47" t="n"/>
      <c r="K101" s="47" t="n"/>
      <c r="L101" s="47" t="n"/>
      <c r="M101" s="47" t="n"/>
      <c r="N101" s="47" t="n"/>
      <c r="O101" s="47" t="n"/>
      <c r="P101" s="47" t="n"/>
      <c r="Q101" s="47" t="n"/>
      <c r="R101" s="47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32" t="n">
        <v>1557</v>
      </c>
      <c r="B102" s="113" t="inlineStr">
        <is>
          <t>HAPPY CASA STORE S.R.L.</t>
        </is>
      </c>
      <c r="C102" s="45">
        <f>SUM(D102:L102)</f>
        <v/>
      </c>
      <c r="D102" s="47" t="n"/>
      <c r="E102" s="47" t="n"/>
      <c r="F102" s="47" t="n"/>
      <c r="G102" s="47" t="n">
        <v>60.06</v>
      </c>
      <c r="H102" s="47" t="n"/>
      <c r="I102" s="47" t="n"/>
      <c r="J102" s="47" t="n"/>
      <c r="K102" s="47" t="n"/>
      <c r="L102" s="47" t="n"/>
      <c r="M102" s="47" t="n"/>
      <c r="N102" s="47" t="n"/>
      <c r="O102" s="47" t="n"/>
      <c r="P102" s="47" t="n"/>
      <c r="Q102" s="47" t="n"/>
      <c r="R102" s="47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32" t="n">
        <v>1035</v>
      </c>
      <c r="B103" s="113" t="inlineStr">
        <is>
          <t>IDRO-TOP S.R.L.</t>
        </is>
      </c>
      <c r="C103" s="45">
        <f>SUM(D103:L103)</f>
        <v/>
      </c>
      <c r="D103" s="47" t="n"/>
      <c r="E103" s="47" t="n"/>
      <c r="F103" s="47" t="n"/>
      <c r="G103" s="47" t="n">
        <v>71.64</v>
      </c>
      <c r="H103" s="47" t="n"/>
      <c r="I103" s="47" t="n"/>
      <c r="J103" s="47" t="n"/>
      <c r="K103" s="47" t="n"/>
      <c r="L103" s="47" t="n"/>
      <c r="M103" s="47" t="n"/>
      <c r="N103" s="47" t="n"/>
      <c r="O103" s="47" t="n"/>
      <c r="P103" s="47" t="n"/>
      <c r="Q103" s="47" t="n"/>
      <c r="R103" s="47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32" t="n">
        <v>1598</v>
      </c>
      <c r="B104" s="113" t="inlineStr">
        <is>
          <t>KING CATERING S.R.L.</t>
        </is>
      </c>
      <c r="C104" s="45">
        <f>SUM(D104:L104)</f>
        <v/>
      </c>
      <c r="D104" s="47" t="n"/>
      <c r="E104" s="47" t="n"/>
      <c r="F104" s="47" t="n"/>
      <c r="G104" s="47" t="n">
        <v>165.5</v>
      </c>
      <c r="H104" s="47" t="n"/>
      <c r="I104" s="47" t="n"/>
      <c r="J104" s="47" t="n"/>
      <c r="K104" s="47" t="n"/>
      <c r="L104" s="47" t="n"/>
      <c r="M104" s="47" t="n"/>
      <c r="N104" s="47" t="n"/>
      <c r="O104" s="47" t="n"/>
      <c r="P104" s="47" t="n"/>
      <c r="Q104" s="47" t="n"/>
      <c r="R104" s="47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32" t="n">
        <v>1233</v>
      </c>
      <c r="B105" s="113" t="inlineStr">
        <is>
          <t>LE SETTE SORELLE SOCIETA' A</t>
        </is>
      </c>
      <c r="C105" s="45">
        <f>SUM(D105:L105)</f>
        <v/>
      </c>
      <c r="D105" s="47" t="n"/>
      <c r="E105" s="47" t="n"/>
      <c r="F105" s="47" t="n"/>
      <c r="G105" s="47" t="n"/>
      <c r="H105" s="47" t="n"/>
      <c r="I105" s="47" t="n"/>
      <c r="J105" s="47" t="n"/>
      <c r="K105" s="47" t="n"/>
      <c r="L105" s="47" t="n"/>
      <c r="M105" s="47" t="n"/>
      <c r="N105" s="47" t="n"/>
      <c r="O105" s="47" t="n"/>
      <c r="P105" s="47" t="n"/>
      <c r="Q105" s="47" t="n"/>
      <c r="R105" s="47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" customHeight="1" s="134">
      <c r="A106" s="32" t="n">
        <v>1008</v>
      </c>
      <c r="B106" s="113" t="inlineStr">
        <is>
          <t>MIELE GIUSEPPE E FIGLI SPA</t>
        </is>
      </c>
      <c r="C106" s="45">
        <f>SUM(D106:L106)</f>
        <v/>
      </c>
      <c r="D106" s="47" t="n"/>
      <c r="E106" s="47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47" t="n"/>
      <c r="P106" s="47" t="n"/>
      <c r="Q106" s="47" t="n"/>
      <c r="R106" s="47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32" t="n">
        <v>1627</v>
      </c>
      <c r="B107" s="113" t="inlineStr">
        <is>
          <t>PEPPINO RISTORAZIONE S.R.L.</t>
        </is>
      </c>
      <c r="C107" s="45">
        <f>SUM(D107:L107)</f>
        <v/>
      </c>
      <c r="D107" s="47" t="n"/>
      <c r="E107" s="47" t="n"/>
      <c r="F107" s="47" t="n"/>
      <c r="G107" s="47" t="n">
        <v>72</v>
      </c>
      <c r="H107" s="47" t="n"/>
      <c r="I107" s="47" t="n"/>
      <c r="J107" s="47" t="n"/>
      <c r="K107" s="47" t="n"/>
      <c r="L107" s="47" t="n"/>
      <c r="M107" s="47" t="n"/>
      <c r="N107" s="47" t="n"/>
      <c r="O107" s="47" t="n"/>
      <c r="P107" s="47" t="n"/>
      <c r="Q107" s="47" t="n"/>
      <c r="R107" s="47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32" t="n">
        <v>1603</v>
      </c>
      <c r="B108" s="113" t="inlineStr">
        <is>
          <t>RISALITI SRL</t>
        </is>
      </c>
      <c r="C108" s="45">
        <f>SUM(D108:L108)</f>
        <v/>
      </c>
      <c r="D108" s="47" t="n"/>
      <c r="E108" s="47" t="n"/>
      <c r="F108" s="47" t="n"/>
      <c r="G108" s="47" t="n">
        <v>23.09</v>
      </c>
      <c r="H108" s="47" t="n"/>
      <c r="I108" s="47" t="n"/>
      <c r="J108" s="47" t="n"/>
      <c r="K108" s="47" t="n"/>
      <c r="L108" s="47" t="n"/>
      <c r="M108" s="47" t="n"/>
      <c r="N108" s="47" t="n"/>
      <c r="O108" s="47" t="n"/>
      <c r="P108" s="47" t="n"/>
      <c r="Q108" s="47" t="n"/>
      <c r="R108" s="47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32" t="n">
        <v>1602</v>
      </c>
      <c r="B109" s="113" t="inlineStr">
        <is>
          <t>SOCIETA' INGROSSO TELEVISORI ELETTRODOMESTICI AFFINI S.R.L.</t>
        </is>
      </c>
      <c r="C109" s="45">
        <f>SUM(D109:L109)</f>
        <v/>
      </c>
      <c r="D109" s="47" t="n"/>
      <c r="E109" s="47" t="n"/>
      <c r="F109" s="47" t="n"/>
      <c r="G109" s="47" t="n"/>
      <c r="H109" s="47" t="n"/>
      <c r="I109" s="47" t="n"/>
      <c r="J109" s="47" t="n"/>
      <c r="K109" s="47" t="n"/>
      <c r="L109" s="47" t="n"/>
      <c r="M109" s="47" t="n"/>
      <c r="N109" s="47" t="n"/>
      <c r="O109" s="47" t="n"/>
      <c r="P109" s="47" t="n"/>
      <c r="Q109" s="47" t="n"/>
      <c r="R109" s="47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32" t="n">
        <v>1699</v>
      </c>
      <c r="B110" s="113" t="inlineStr">
        <is>
          <t>ACQUAVERDE SRL</t>
        </is>
      </c>
      <c r="C110" s="45">
        <f>SUM(D110:L110)</f>
        <v/>
      </c>
      <c r="D110" s="47" t="n"/>
      <c r="E110" s="47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47" t="n"/>
      <c r="P110" s="47" t="n"/>
      <c r="Q110" s="47" t="n"/>
      <c r="R110" s="47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32" t="n">
        <v>142</v>
      </c>
      <c r="B111" s="113" t="inlineStr">
        <is>
          <t>GENERAL BEVERAGE S.R.L.</t>
        </is>
      </c>
      <c r="C111" s="45">
        <f>SUM(D111:L111)</f>
        <v/>
      </c>
      <c r="D111" s="47" t="n"/>
      <c r="E111" s="47" t="n"/>
      <c r="F111" s="47" t="n"/>
      <c r="G111" s="47" t="n"/>
      <c r="H111" s="47" t="n">
        <v>165</v>
      </c>
      <c r="I111" s="47" t="n">
        <v>161.37</v>
      </c>
      <c r="J111" s="47" t="n"/>
      <c r="K111" s="47" t="n"/>
      <c r="L111" s="47" t="n"/>
      <c r="M111" s="47" t="n"/>
      <c r="N111" s="47" t="n"/>
      <c r="O111" s="47" t="n"/>
      <c r="P111" s="47" t="n"/>
      <c r="Q111" s="47" t="n"/>
      <c r="R111" s="47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32" t="n">
        <v>1697</v>
      </c>
      <c r="B112" s="113" t="inlineStr">
        <is>
          <t>MARR SPA</t>
        </is>
      </c>
      <c r="C112" s="45">
        <f>SUM(D112:L112)</f>
        <v/>
      </c>
      <c r="D112" s="47" t="n"/>
      <c r="E112" s="47" t="n"/>
      <c r="F112" s="47" t="n"/>
      <c r="G112" s="47" t="n">
        <v>3194.05</v>
      </c>
      <c r="H112" s="47" t="n">
        <v>3814.95</v>
      </c>
      <c r="I112" s="47" t="n">
        <v>1160.74</v>
      </c>
      <c r="J112" s="47" t="n"/>
      <c r="K112" s="47" t="n"/>
      <c r="L112" s="47" t="n"/>
      <c r="M112" s="47" t="n"/>
      <c r="N112" s="47" t="n"/>
      <c r="O112" s="47" t="n"/>
      <c r="P112" s="47" t="n"/>
      <c r="Q112" s="47" t="n"/>
      <c r="R112" s="47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32" t="n">
        <v>212</v>
      </c>
      <c r="B113" s="113" t="inlineStr">
        <is>
          <t>Casalinghi Sicignano</t>
        </is>
      </c>
      <c r="C113" s="45">
        <f>SUM(D113:L113)</f>
        <v/>
      </c>
      <c r="D113" s="47" t="n"/>
      <c r="E113" s="47" t="n"/>
      <c r="F113" s="47" t="n"/>
      <c r="G113" s="47" t="n"/>
      <c r="H113" s="47" t="n"/>
      <c r="I113" s="47" t="n"/>
      <c r="J113" s="47" t="n"/>
      <c r="K113" s="47" t="n"/>
      <c r="L113" s="47" t="n"/>
      <c r="M113" s="47" t="n"/>
      <c r="N113" s="47" t="n"/>
      <c r="O113" s="47" t="n"/>
      <c r="P113" s="47" t="n"/>
      <c r="Q113" s="47" t="n"/>
      <c r="R113" s="47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32" t="n">
        <v>499</v>
      </c>
      <c r="B114" s="113" t="inlineStr">
        <is>
          <t>Foraggio Srl</t>
        </is>
      </c>
      <c r="C114" s="45">
        <f>SUM(D114:L114)</f>
        <v/>
      </c>
      <c r="D114" s="47" t="n"/>
      <c r="E114" s="47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47" t="n"/>
      <c r="P114" s="47" t="n"/>
      <c r="Q114" s="47" t="n"/>
      <c r="R114" s="47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32" t="n">
        <v>1147</v>
      </c>
      <c r="B115" s="113" t="inlineStr">
        <is>
          <t>Minieri Mariano</t>
        </is>
      </c>
      <c r="C115" s="45">
        <f>SUM(D115:L115)</f>
        <v/>
      </c>
      <c r="D115" s="47" t="n"/>
      <c r="E115" s="47" t="n"/>
      <c r="F115" s="47" t="n"/>
      <c r="G115" s="47" t="n">
        <v>90.16</v>
      </c>
      <c r="H115" s="47" t="n"/>
      <c r="I115" s="47" t="n"/>
      <c r="J115" s="47" t="n"/>
      <c r="K115" s="47" t="n"/>
      <c r="L115" s="47" t="n"/>
      <c r="M115" s="47" t="n"/>
      <c r="N115" s="47" t="n"/>
      <c r="O115" s="47" t="n"/>
      <c r="P115" s="47" t="n"/>
      <c r="Q115" s="47" t="n"/>
      <c r="R115" s="47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32" t="n">
        <v>1764</v>
      </c>
      <c r="B116" s="113" t="inlineStr">
        <is>
          <t>Oip Srl</t>
        </is>
      </c>
      <c r="C116" s="45">
        <f>SUM(D116:L116)</f>
        <v/>
      </c>
      <c r="D116" s="47" t="n"/>
      <c r="E116" s="47" t="n"/>
      <c r="F116" s="47" t="n"/>
      <c r="G116" s="47" t="n">
        <v>44.94</v>
      </c>
      <c r="H116" s="47" t="n"/>
      <c r="I116" s="47" t="n"/>
      <c r="J116" s="47" t="n"/>
      <c r="K116" s="47" t="n"/>
      <c r="L116" s="47" t="n"/>
      <c r="M116" s="47" t="n"/>
      <c r="N116" s="47" t="n"/>
      <c r="O116" s="47" t="n"/>
      <c r="P116" s="47" t="n"/>
      <c r="Q116" s="47" t="n"/>
      <c r="R116" s="47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32" t="n">
        <v>1759</v>
      </c>
      <c r="B117" s="113" t="inlineStr">
        <is>
          <t>Pirotecnica Platinum S.R.L.S</t>
        </is>
      </c>
      <c r="C117" s="45">
        <f>SUM(D117:L117)</f>
        <v/>
      </c>
      <c r="D117" s="47" t="n"/>
      <c r="E117" s="47" t="n"/>
      <c r="F117" s="47" t="n"/>
      <c r="G117" s="47" t="n"/>
      <c r="H117" s="47" t="n"/>
      <c r="I117" s="47" t="n"/>
      <c r="J117" s="47" t="n"/>
      <c r="K117" s="47" t="n"/>
      <c r="L117" s="47" t="n"/>
      <c r="M117" s="47" t="n"/>
      <c r="N117" s="47" t="n"/>
      <c r="O117" s="47" t="n"/>
      <c r="P117" s="47" t="n"/>
      <c r="Q117" s="47" t="n"/>
      <c r="R117" s="47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32" t="n">
        <v>1762</v>
      </c>
      <c r="B118" s="113" t="inlineStr">
        <is>
          <t>Sorrentino Giovanni S.N.C. Di Sorrentino Pasquale &amp; C.</t>
        </is>
      </c>
      <c r="C118" s="45">
        <f>SUM(D118:L118)</f>
        <v/>
      </c>
      <c r="D118" s="47" t="n"/>
      <c r="E118" s="47" t="n"/>
      <c r="F118" s="47" t="n"/>
      <c r="G118" s="47" t="n">
        <v>40.9</v>
      </c>
      <c r="H118" s="47" t="n"/>
      <c r="I118" s="47" t="n"/>
      <c r="J118" s="47" t="n"/>
      <c r="K118" s="47" t="n"/>
      <c r="L118" s="47" t="n"/>
      <c r="M118" s="47" t="n"/>
      <c r="N118" s="47" t="n"/>
      <c r="O118" s="47" t="n"/>
      <c r="P118" s="47" t="n"/>
      <c r="Q118" s="47" t="n"/>
      <c r="R118" s="47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32" t="n">
        <v>715</v>
      </c>
      <c r="B119" s="110" t="inlineStr">
        <is>
          <t>Zurli Maurizio</t>
        </is>
      </c>
      <c r="C119" s="45">
        <f>SUM(D119:L119)</f>
        <v/>
      </c>
      <c r="D119" s="110" t="n"/>
      <c r="E119" s="110" t="n"/>
      <c r="F119" s="110" t="n"/>
      <c r="G119" s="110" t="n">
        <v>493.2</v>
      </c>
      <c r="H119" s="110" t="n"/>
      <c r="I119" s="110" t="n"/>
      <c r="J119" s="110" t="n"/>
      <c r="K119" s="110" t="n"/>
      <c r="L119" s="110" t="n"/>
      <c r="M119" s="110" t="n"/>
      <c r="N119" s="110" t="n"/>
      <c r="O119" s="110" t="n"/>
      <c r="P119" s="110" t="n"/>
      <c r="Q119" s="110" t="n"/>
      <c r="R119" s="110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32" t="n">
        <v>1222</v>
      </c>
      <c r="B120" s="110" t="inlineStr">
        <is>
          <t>Pietra Di Luna</t>
        </is>
      </c>
      <c r="C120" s="45">
        <f>SUM(D120:L120)</f>
        <v/>
      </c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O120" s="110" t="n"/>
      <c r="P120" s="110" t="n"/>
      <c r="Q120" s="110" t="n"/>
      <c r="R120" s="110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>
        <v>128</v>
      </c>
      <c r="B121" s="110" t="inlineStr">
        <is>
          <t>Tecno Piscine</t>
        </is>
      </c>
      <c r="C121" s="45">
        <f>SUM(D121:L121)</f>
        <v/>
      </c>
      <c r="D121" s="110" t="n"/>
      <c r="E121" s="110" t="n"/>
      <c r="F121" s="110" t="n"/>
      <c r="G121" s="110" t="n">
        <v>669.78</v>
      </c>
      <c r="H121" s="110" t="n"/>
      <c r="I121" s="110" t="n"/>
      <c r="J121" s="110" t="n"/>
      <c r="K121" s="110" t="n"/>
      <c r="L121" s="110" t="n"/>
      <c r="M121" s="110" t="n"/>
      <c r="N121" s="110" t="n"/>
      <c r="O121" s="110" t="n"/>
      <c r="P121" s="110" t="n"/>
      <c r="Q121" s="110" t="n"/>
      <c r="R121" s="110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110" t="n"/>
      <c r="C122" s="45">
        <f>SUM(D122:L122)</f>
        <v/>
      </c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O122" s="110" t="n"/>
      <c r="P122" s="110" t="n"/>
      <c r="Q122" s="110" t="n"/>
      <c r="R122" s="110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110" t="n"/>
      <c r="C123" s="45">
        <f>SUM(D123:L123)</f>
        <v/>
      </c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O123" s="110" t="n"/>
      <c r="P123" s="110" t="n"/>
      <c r="Q123" s="110" t="n"/>
      <c r="R123" s="110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110" t="n"/>
      <c r="C124" s="5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110" t="n"/>
      <c r="C125" s="5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110" t="n"/>
      <c r="C126" s="5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110" t="n"/>
      <c r="C127" s="5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110" t="n"/>
      <c r="C128" s="5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110" t="n"/>
      <c r="C129" s="5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110" t="n"/>
      <c r="C130" s="5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110" t="n"/>
      <c r="C131" s="5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110" t="n"/>
      <c r="C132" s="5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110" t="n"/>
      <c r="C133" s="5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110" t="n"/>
      <c r="C134" s="5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110" t="n"/>
      <c r="C135" s="5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110" t="n"/>
      <c r="C136" s="5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110" t="n"/>
      <c r="C137" s="5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110" t="n"/>
      <c r="C138" s="5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110" t="n"/>
      <c r="C139" s="5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110" t="n"/>
      <c r="C140" s="5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110" t="n"/>
      <c r="C141" s="5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110" t="n"/>
      <c r="C142" s="5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110" t="n"/>
      <c r="C143" s="5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110" t="n"/>
      <c r="C144" s="5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110" t="n"/>
      <c r="C145" s="5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110" t="n"/>
      <c r="C146" s="5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110" t="n"/>
      <c r="C147" s="5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110" t="n"/>
      <c r="C148" s="5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110" t="n"/>
      <c r="C149" s="5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110" t="n"/>
      <c r="C150" s="5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110" t="n"/>
      <c r="C151" s="5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110" t="n"/>
      <c r="C152" s="5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110" t="n"/>
      <c r="C153" s="5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110" t="n"/>
      <c r="C154" s="5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110" t="n"/>
      <c r="C155" s="5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110" t="n"/>
      <c r="C156" s="5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110" t="n"/>
      <c r="C157" s="5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110" t="n"/>
      <c r="C158" s="5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110" t="n"/>
      <c r="C159" s="5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110" t="n"/>
      <c r="C160" s="5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110" t="n"/>
      <c r="C161" s="5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110" t="n"/>
      <c r="C162" s="5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110" t="n"/>
      <c r="C163" s="5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110" t="n"/>
      <c r="C164" s="5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110" t="n"/>
      <c r="C165" s="5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110" t="n"/>
      <c r="C166" s="5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110" t="n"/>
      <c r="C167" s="5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110" t="n"/>
      <c r="C168" s="5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110" t="n"/>
      <c r="C169" s="5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110" t="n"/>
      <c r="C170" s="5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110" t="n"/>
      <c r="C171" s="5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110" t="n"/>
      <c r="C172" s="5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110" t="n"/>
      <c r="C173" s="5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110" t="n"/>
      <c r="C174" s="5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110" t="n"/>
      <c r="C175" s="5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110" t="n"/>
      <c r="C176" s="5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110" t="n"/>
      <c r="C177" s="5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110" t="n"/>
      <c r="C178" s="5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110" t="n"/>
      <c r="C179" s="5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110" t="n"/>
      <c r="C180" s="5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110" t="n"/>
      <c r="C181" s="5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110" t="n"/>
      <c r="C182" s="5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110" t="n"/>
      <c r="C183" s="5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110" t="n"/>
      <c r="C184" s="5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110" t="n"/>
      <c r="C185" s="5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110" t="n"/>
      <c r="C186" s="5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110" t="n"/>
      <c r="C187" s="5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110" t="n"/>
      <c r="C188" s="5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110" t="n"/>
      <c r="C189" s="5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110" t="n"/>
      <c r="C190" s="5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110" t="n"/>
      <c r="C191" s="5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110" t="n"/>
      <c r="C192" s="5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110" t="n"/>
      <c r="C193" s="5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110" t="n"/>
      <c r="C194" s="5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110" t="n"/>
      <c r="C195" s="5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110" t="n"/>
      <c r="C196" s="5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110" t="n"/>
      <c r="C197" s="5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110" t="n"/>
      <c r="C198" s="5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110" t="n"/>
      <c r="C199" s="5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110" t="n"/>
      <c r="C200" s="5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110" t="n"/>
      <c r="C201" s="5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110" t="n"/>
      <c r="C202" s="5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110" t="n"/>
      <c r="C203" s="5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110" t="n"/>
      <c r="C204" s="5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110" t="n"/>
      <c r="C205" s="5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110" t="n"/>
      <c r="C206" s="5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110" t="n"/>
      <c r="C207" s="5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110" t="n"/>
      <c r="C208" s="5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110" t="n"/>
      <c r="C209" s="5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110" t="n"/>
      <c r="C210" s="5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110" t="n"/>
      <c r="C211" s="5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110" t="n"/>
      <c r="C212" s="5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110" t="n"/>
      <c r="C213" s="5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110" t="n"/>
      <c r="C214" s="5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110" t="n"/>
      <c r="C215" s="5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110" t="n"/>
      <c r="C216" s="5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110" t="n"/>
      <c r="C217" s="5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110" t="n"/>
      <c r="C218" s="5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110" t="n"/>
      <c r="C219" s="5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110" t="n"/>
      <c r="C220" s="5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110" t="n"/>
      <c r="C221" s="5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110" t="n"/>
      <c r="C222" s="5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110" t="n"/>
      <c r="C223" s="5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110" t="n"/>
      <c r="C224" s="5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110" t="n"/>
      <c r="C225" s="5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110" t="n"/>
      <c r="C226" s="5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110" t="n"/>
      <c r="C227" s="5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110" t="n"/>
      <c r="C228" s="5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>
      <c r="A245" s="5" t="n"/>
      <c r="B245" s="5" t="n"/>
      <c r="C245" s="5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34">
      <c r="A246" s="5" t="n"/>
      <c r="B246" s="5" t="n"/>
      <c r="C246" s="5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34">
      <c r="A247" s="5" t="n"/>
      <c r="B247" s="5" t="n"/>
      <c r="C247" s="5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34">
      <c r="A248" s="5" t="n"/>
      <c r="B248" s="5" t="n"/>
      <c r="C248" s="5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34">
      <c r="A249" s="5" t="n"/>
      <c r="B249" s="5" t="n"/>
      <c r="C249" s="5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34">
      <c r="A250" s="5" t="n"/>
      <c r="B250" s="5" t="n"/>
      <c r="C250" s="5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34">
      <c r="A251" s="5" t="n"/>
      <c r="B251" s="5" t="n"/>
      <c r="C251" s="5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34">
      <c r="A252" s="5" t="n"/>
      <c r="B252" s="5" t="n"/>
      <c r="C252" s="5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34">
      <c r="A253" s="5" t="n"/>
      <c r="B253" s="5" t="n"/>
      <c r="C253" s="5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34">
      <c r="A254" s="5" t="n"/>
      <c r="B254" s="5" t="n"/>
      <c r="C254" s="5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34">
      <c r="A255" s="5" t="n"/>
      <c r="B255" s="5" t="n"/>
      <c r="C255" s="5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34">
      <c r="A256" s="5" t="n"/>
      <c r="B256" s="5" t="n"/>
      <c r="C256" s="5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34">
      <c r="A257" s="5" t="n"/>
      <c r="B257" s="5" t="n"/>
      <c r="C257" s="5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34">
      <c r="A258" s="5" t="n"/>
      <c r="B258" s="5" t="n"/>
      <c r="C258" s="5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34">
      <c r="A259" s="5" t="n"/>
      <c r="B259" s="5" t="n"/>
      <c r="C259" s="5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34">
      <c r="A260" s="5" t="n"/>
      <c r="B260" s="5" t="n"/>
      <c r="C260" s="5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34">
      <c r="A261" s="5" t="n"/>
      <c r="B261" s="5" t="n"/>
      <c r="C261" s="5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34">
      <c r="A262" s="5" t="n"/>
      <c r="B262" s="5" t="n"/>
      <c r="C262" s="5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34">
      <c r="A263" s="5" t="n"/>
      <c r="B263" s="5" t="n"/>
      <c r="C263" s="5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34">
      <c r="A264" s="5" t="n"/>
      <c r="B264" s="5" t="n"/>
      <c r="C264" s="5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L264" s="110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34">
      <c r="A265" s="5" t="n"/>
      <c r="B265" s="5" t="n"/>
      <c r="C265" s="5" t="n"/>
      <c r="D265" s="110" t="n"/>
      <c r="E265" s="110" t="n"/>
      <c r="F265" s="110" t="n"/>
      <c r="G265" s="110" t="n"/>
      <c r="H265" s="110" t="n"/>
      <c r="I265" s="110" t="n"/>
      <c r="J265" s="110" t="n"/>
      <c r="K265" s="110" t="n"/>
      <c r="L265" s="110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34">
      <c r="A266" s="5" t="n"/>
      <c r="B266" s="5" t="n"/>
      <c r="C266" s="5" t="n"/>
      <c r="D266" s="110" t="n"/>
      <c r="E266" s="110" t="n"/>
      <c r="F266" s="110" t="n"/>
      <c r="G266" s="110" t="n"/>
      <c r="H266" s="110" t="n"/>
      <c r="I266" s="110" t="n"/>
      <c r="J266" s="110" t="n"/>
      <c r="K266" s="110" t="n"/>
      <c r="L266" s="110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34">
      <c r="A267" s="5" t="n"/>
      <c r="B267" s="5" t="n"/>
      <c r="C267" s="5" t="n"/>
      <c r="D267" s="110" t="n"/>
      <c r="E267" s="110" t="n"/>
      <c r="F267" s="110" t="n"/>
      <c r="G267" s="110" t="n"/>
      <c r="H267" s="110" t="n"/>
      <c r="I267" s="110" t="n"/>
      <c r="J267" s="110" t="n"/>
      <c r="K267" s="110" t="n"/>
      <c r="L267" s="110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34">
      <c r="A268" s="5" t="n"/>
      <c r="B268" s="5" t="n"/>
      <c r="C268" s="5" t="n"/>
      <c r="D268" s="110" t="n"/>
      <c r="E268" s="110" t="n"/>
      <c r="F268" s="110" t="n"/>
      <c r="G268" s="110" t="n"/>
      <c r="H268" s="110" t="n"/>
      <c r="I268" s="110" t="n"/>
      <c r="J268" s="110" t="n"/>
      <c r="K268" s="110" t="n"/>
      <c r="L268" s="110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34">
      <c r="A269" s="5" t="n"/>
      <c r="B269" s="5" t="n"/>
      <c r="C269" s="5" t="n"/>
      <c r="D269" s="110" t="n"/>
      <c r="E269" s="110" t="n"/>
      <c r="F269" s="110" t="n"/>
      <c r="G269" s="110" t="n"/>
      <c r="H269" s="110" t="n"/>
      <c r="I269" s="110" t="n"/>
      <c r="J269" s="110" t="n"/>
      <c r="K269" s="110" t="n"/>
      <c r="L269" s="110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34">
      <c r="A270" s="5" t="n"/>
      <c r="B270" s="5" t="n"/>
      <c r="C270" s="5" t="n"/>
      <c r="D270" s="110" t="n"/>
      <c r="E270" s="110" t="n"/>
      <c r="F270" s="110" t="n"/>
      <c r="G270" s="110" t="n"/>
      <c r="H270" s="110" t="n"/>
      <c r="I270" s="110" t="n"/>
      <c r="J270" s="110" t="n"/>
      <c r="K270" s="110" t="n"/>
      <c r="L270" s="110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134">
      <c r="A271" s="5" t="n"/>
      <c r="B271" s="5" t="n"/>
      <c r="C271" s="5" t="n"/>
      <c r="D271" s="110" t="n"/>
      <c r="E271" s="110" t="n"/>
      <c r="F271" s="110" t="n"/>
      <c r="G271" s="110" t="n"/>
      <c r="H271" s="110" t="n"/>
      <c r="I271" s="110" t="n"/>
      <c r="J271" s="110" t="n"/>
      <c r="K271" s="110" t="n"/>
      <c r="L271" s="110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13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13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13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13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13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13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13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13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13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13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13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13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13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13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13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13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13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13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13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13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13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13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13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13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13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13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13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13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13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13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13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13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13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13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13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13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13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13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13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13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13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13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13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13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13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13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13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13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13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13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13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13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mergeCells count="1">
    <mergeCell ref="D1:L1"/>
  </mergeCells>
  <hyperlinks>
    <hyperlink xmlns:r="http://schemas.openxmlformats.org/officeDocument/2006/relationships" ref="B74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Z27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ColWidth="11.1640625" defaultRowHeight="15" customHeight="1"/>
  <cols>
    <col width="8.6640625" customWidth="1" style="134" min="1" max="1"/>
    <col width="34" customWidth="1" style="134" min="2" max="2"/>
    <col width="12.6640625" customWidth="1" style="134" min="3" max="3"/>
    <col hidden="1" width="7.5" customWidth="1" style="134" min="4" max="4"/>
    <col hidden="1" width="8.6640625" customWidth="1" style="134" min="5" max="5"/>
    <col hidden="1" width="12.6640625" customWidth="1" style="134" min="6" max="6"/>
    <col width="11.6640625" customWidth="1" style="134" min="7" max="8"/>
    <col width="12.6640625" customWidth="1" style="134" min="9" max="9"/>
    <col width="11.6640625" customWidth="1" style="134" min="10" max="11"/>
    <col width="11" customWidth="1" style="134" min="12" max="12"/>
    <col width="10.1640625" customWidth="1" style="134" min="13" max="19"/>
    <col width="11.1640625" customWidth="1" style="134" min="20" max="26"/>
  </cols>
  <sheetData>
    <row r="1" ht="18" customHeight="1" s="134">
      <c r="A1" s="1" t="n"/>
      <c r="B1" s="3" t="n"/>
      <c r="C1" s="1" t="n"/>
      <c r="D1" s="135" t="n">
        <v>2026</v>
      </c>
      <c r="M1" s="164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34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34" thickBot="1">
      <c r="A3" s="17" t="n"/>
      <c r="B3" s="19" t="inlineStr">
        <is>
          <t>Tasse e Imposte</t>
        </is>
      </c>
      <c r="C3" s="19">
        <f>SUM(D3:L3)</f>
        <v/>
      </c>
      <c r="D3" s="24">
        <f>SUM(D4:D136)</f>
        <v/>
      </c>
      <c r="E3" s="24">
        <f>SUM(E4:E136)</f>
        <v/>
      </c>
      <c r="F3" s="24">
        <f>SUM(F4:F136)</f>
        <v/>
      </c>
      <c r="G3" s="24">
        <f>SUM(G4:G136)</f>
        <v/>
      </c>
      <c r="H3" s="24">
        <f>SUM(H4:H136)</f>
        <v/>
      </c>
      <c r="I3" s="24">
        <f>SUM(I4:I136)</f>
        <v/>
      </c>
      <c r="J3" s="24">
        <f>SUM(J4:J136)</f>
        <v/>
      </c>
      <c r="K3" s="24">
        <f>SUM(K4:K136)</f>
        <v/>
      </c>
      <c r="L3" s="24">
        <f>SUM(L4:L136)</f>
        <v/>
      </c>
      <c r="M3" s="24">
        <f>SUM(M4:M136)</f>
        <v/>
      </c>
      <c r="N3" s="24">
        <f>SUM(N4:N136)</f>
        <v/>
      </c>
      <c r="O3" s="24">
        <f>SUM(O4:O136)</f>
        <v/>
      </c>
      <c r="P3" s="24">
        <f>SUM(P4:P136)</f>
        <v/>
      </c>
      <c r="Q3" s="24">
        <f>SUM(Q4:Q136)</f>
        <v/>
      </c>
      <c r="R3" s="24">
        <f>SUM(R4:R136)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34" thickTop="1">
      <c r="A4" s="32" t="n">
        <v>710104</v>
      </c>
      <c r="B4" s="33" t="inlineStr">
        <is>
          <t>IMU</t>
        </is>
      </c>
      <c r="C4" s="34">
        <f>SUM(D4:L4)</f>
        <v/>
      </c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34">
      <c r="A5" s="32" t="n">
        <v>630511</v>
      </c>
      <c r="B5" s="42" t="inlineStr">
        <is>
          <t>IMPOSTE</t>
        </is>
      </c>
      <c r="C5" s="45">
        <f>SUM(D5:L5)</f>
        <v/>
      </c>
      <c r="D5" s="47" t="n"/>
      <c r="E5" s="47" t="n"/>
      <c r="F5" s="47" t="n"/>
      <c r="G5" s="47" t="n">
        <v>24151.2</v>
      </c>
      <c r="H5" s="47" t="n">
        <v>24221.24</v>
      </c>
      <c r="I5" s="47" t="n">
        <v>24300.94</v>
      </c>
      <c r="J5" s="47" t="n">
        <v>24380.64</v>
      </c>
      <c r="K5" s="47">
        <f>24460.34+46000</f>
        <v/>
      </c>
      <c r="L5" s="47" t="n"/>
      <c r="M5" s="47" t="inlineStr">
        <is>
          <t>NOVEMBRE I ACCONTO E II ACCONTO TOTALI</t>
        </is>
      </c>
      <c r="N5" s="47" t="n"/>
      <c r="O5" s="47" t="n"/>
      <c r="P5" s="47" t="n"/>
      <c r="Q5" s="47" t="n"/>
      <c r="R5" s="47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34">
      <c r="A6" s="32" t="n">
        <v>630519</v>
      </c>
      <c r="B6" s="42" t="inlineStr">
        <is>
          <t xml:space="preserve">TARI HOTEL </t>
        </is>
      </c>
      <c r="C6" s="45">
        <f>SUM(D6:L6)</f>
        <v/>
      </c>
      <c r="D6" s="47" t="n"/>
      <c r="E6" s="47" t="n"/>
      <c r="F6" s="47" t="n"/>
      <c r="G6" s="47" t="n">
        <v>0</v>
      </c>
      <c r="H6" s="47" t="n"/>
      <c r="I6" s="47" t="n">
        <v>85000</v>
      </c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34">
      <c r="A7" s="32" t="n">
        <v>350101</v>
      </c>
      <c r="B7" s="42" t="inlineStr">
        <is>
          <t>IVA</t>
        </is>
      </c>
      <c r="C7" s="45">
        <f>SUM(D7:L7)</f>
        <v/>
      </c>
      <c r="D7" s="47" t="n"/>
      <c r="E7" s="47" t="n"/>
      <c r="F7" s="47" t="n"/>
      <c r="G7" s="47" t="n">
        <v>50000</v>
      </c>
      <c r="H7" s="47" t="n"/>
      <c r="I7" s="47" t="n"/>
      <c r="J7" s="47" t="n">
        <v>10000</v>
      </c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34">
      <c r="A8" s="32" t="n">
        <v>350305</v>
      </c>
      <c r="B8" s="42" t="inlineStr">
        <is>
          <t>RITENUTE PROFESSIONISTI (1040)</t>
        </is>
      </c>
      <c r="C8" s="45" t="n"/>
      <c r="D8" s="120" t="n"/>
      <c r="E8" s="120" t="n"/>
      <c r="F8" s="120" t="n"/>
      <c r="G8" s="120" t="n"/>
      <c r="H8" s="120" t="n"/>
      <c r="I8" s="120" t="n"/>
      <c r="J8" s="120" t="n"/>
      <c r="K8" s="120" t="n"/>
      <c r="L8" s="120" t="n"/>
      <c r="M8" s="120" t="n"/>
      <c r="N8" s="120" t="n"/>
      <c r="O8" s="120" t="n"/>
      <c r="P8" s="120" t="n"/>
      <c r="Q8" s="120" t="n"/>
      <c r="R8" s="120" t="n"/>
      <c r="S8" s="121" t="n"/>
      <c r="T8" s="5" t="n"/>
      <c r="U8" s="5" t="n"/>
      <c r="V8" s="5" t="n"/>
      <c r="W8" s="5" t="n"/>
      <c r="X8" s="5" t="n"/>
      <c r="Y8" s="5" t="n"/>
      <c r="Z8" s="5" t="n"/>
    </row>
    <row r="9" ht="15.75" customHeight="1" s="134">
      <c r="A9" s="32" t="n">
        <v>390590</v>
      </c>
      <c r="B9" s="42" t="inlineStr">
        <is>
          <t>IMPOSTA DI SOGGIORNO HP</t>
        </is>
      </c>
      <c r="C9" s="45">
        <f>SUM(D9:L9)</f>
        <v/>
      </c>
      <c r="D9" s="47" t="n"/>
      <c r="E9" s="47" t="n"/>
      <c r="F9" s="47" t="n"/>
      <c r="G9" s="47" t="n">
        <v>18296</v>
      </c>
      <c r="H9" s="47" t="n">
        <v>20000</v>
      </c>
      <c r="I9" s="47" t="n">
        <v>19000</v>
      </c>
      <c r="J9" s="47" t="n">
        <v>17500</v>
      </c>
      <c r="K9" s="47" t="n">
        <v>10000</v>
      </c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34">
      <c r="A10" s="32" t="n"/>
      <c r="B10" s="42" t="inlineStr">
        <is>
          <t>IMPOSTA DI SOGGIORNO AR</t>
        </is>
      </c>
      <c r="C10" s="45">
        <f>SUM(D10:L10)</f>
        <v/>
      </c>
      <c r="D10" s="47" t="n"/>
      <c r="E10" s="47" t="n"/>
      <c r="F10" s="47" t="n"/>
      <c r="G10" s="47" t="n">
        <v>1834</v>
      </c>
      <c r="H10" s="47" t="n">
        <v>2900</v>
      </c>
      <c r="I10" s="47" t="n">
        <v>2700</v>
      </c>
      <c r="J10" s="47" t="n">
        <v>2030</v>
      </c>
      <c r="K10" s="47" t="n">
        <v>1380</v>
      </c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34">
      <c r="A11" s="32" t="n">
        <v>390593</v>
      </c>
      <c r="B11" s="42" t="inlineStr">
        <is>
          <t>IMPOSTA DI SOGGIORNO CVM</t>
        </is>
      </c>
      <c r="C11" s="45">
        <f>SUM(D11:L11)</f>
        <v/>
      </c>
      <c r="D11" s="47" t="n"/>
      <c r="E11" s="47" t="n"/>
      <c r="F11" s="47" t="n"/>
      <c r="G11" s="47" t="n">
        <v>934</v>
      </c>
      <c r="H11" s="47" t="n">
        <v>1100</v>
      </c>
      <c r="I11" s="47" t="n">
        <v>1800</v>
      </c>
      <c r="J11" s="47" t="n">
        <v>1200</v>
      </c>
      <c r="K11" s="47" t="n">
        <v>750</v>
      </c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34">
      <c r="A12" s="32" t="n"/>
      <c r="B12" s="42" t="inlineStr">
        <is>
          <t>IMPOSTA DI SOGGIORNO APT</t>
        </is>
      </c>
      <c r="C12" s="45">
        <f>SUM(D12:L12)</f>
        <v/>
      </c>
      <c r="D12" s="47" t="n"/>
      <c r="E12" s="47" t="n"/>
      <c r="F12" s="47" t="n"/>
      <c r="G12" s="47" t="n">
        <v>222</v>
      </c>
      <c r="H12" s="47" t="n">
        <v>350</v>
      </c>
      <c r="I12" s="47" t="n">
        <v>200</v>
      </c>
      <c r="J12" s="47" t="n">
        <v>150</v>
      </c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34">
      <c r="A13" s="136" t="n">
        <v>630519</v>
      </c>
      <c r="B13" s="60" t="inlineStr">
        <is>
          <t>TARI RESIDENCE</t>
        </is>
      </c>
      <c r="C13" s="45">
        <f>SUM(D13:L13)</f>
        <v/>
      </c>
      <c r="D13" s="120" t="n"/>
      <c r="E13" s="120" t="n"/>
      <c r="F13" s="120" t="n"/>
      <c r="G13" s="120" t="n"/>
      <c r="H13" s="120" t="n"/>
      <c r="I13" s="120" t="n"/>
      <c r="J13" s="120" t="n"/>
      <c r="K13" s="120" t="n"/>
      <c r="L13" s="120" t="n"/>
      <c r="M13" s="120" t="n"/>
      <c r="N13" s="120" t="n"/>
      <c r="O13" s="120" t="n"/>
      <c r="P13" s="120" t="n"/>
      <c r="Q13" s="120" t="n"/>
      <c r="R13" s="120" t="n"/>
      <c r="S13" s="121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34">
      <c r="B14" s="60" t="inlineStr">
        <is>
          <t>TARI CVM</t>
        </is>
      </c>
      <c r="C14" s="45">
        <f>SUM(D14:L14)</f>
        <v/>
      </c>
      <c r="D14" s="120" t="n"/>
      <c r="E14" s="120" t="n"/>
      <c r="F14" s="120" t="n"/>
      <c r="G14" s="120" t="n"/>
      <c r="H14" s="120" t="n"/>
      <c r="I14" s="120" t="n"/>
      <c r="J14" s="120" t="n"/>
      <c r="K14" s="120" t="n"/>
      <c r="L14" s="120" t="n"/>
      <c r="M14" s="120" t="n"/>
      <c r="N14" s="120" t="n"/>
      <c r="O14" s="120" t="n"/>
      <c r="P14" s="120" t="n"/>
      <c r="Q14" s="120" t="n"/>
      <c r="R14" s="120" t="n"/>
      <c r="S14" s="121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34">
      <c r="B15" s="60" t="inlineStr">
        <is>
          <t>IRES/IRAP</t>
        </is>
      </c>
      <c r="C15" s="45">
        <f>SUM(D15:L15)</f>
        <v/>
      </c>
      <c r="D15" s="120" t="n"/>
      <c r="E15" s="120" t="n"/>
      <c r="F15" s="120" t="n"/>
      <c r="G15" s="120" t="n"/>
      <c r="H15" s="120" t="n"/>
      <c r="I15" s="120" t="n"/>
      <c r="J15" s="120" t="n"/>
      <c r="K15" s="120" t="n"/>
      <c r="L15" s="120" t="n"/>
      <c r="M15" s="120" t="n"/>
      <c r="N15" s="120" t="n"/>
      <c r="O15" s="120" t="n"/>
      <c r="P15" s="120" t="n"/>
      <c r="Q15" s="120" t="n"/>
      <c r="R15" s="120" t="n"/>
      <c r="S15" s="121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34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34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34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34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34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32" t="n"/>
      <c r="B68" s="60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32" t="n"/>
      <c r="B69" s="60" t="n"/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32" t="n"/>
      <c r="B70" s="113" t="n"/>
      <c r="C70" s="45">
        <f>SUM(D70:L70)</f>
        <v/>
      </c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  <c r="Q70" s="47" t="n"/>
      <c r="R70" s="47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110" t="n"/>
      <c r="C71" s="5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110" t="n"/>
      <c r="C72" s="5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110" t="n"/>
      <c r="C73" s="5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110" t="n"/>
      <c r="C74" s="5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110" t="n"/>
      <c r="C75" s="5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110" t="n"/>
      <c r="C76" s="5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110" t="n"/>
      <c r="C77" s="5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110" t="n"/>
      <c r="C78" s="5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110" t="n"/>
      <c r="C79" s="5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110" t="n"/>
      <c r="C80" s="5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110" t="n"/>
      <c r="C81" s="5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110" t="n"/>
      <c r="C82" s="5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110" t="n"/>
      <c r="C83" s="5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110" t="n"/>
      <c r="C84" s="5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110" t="n"/>
      <c r="C85" s="5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110" t="n"/>
      <c r="C86" s="5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110" t="n"/>
      <c r="C87" s="5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110" t="n"/>
      <c r="C88" s="5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110" t="n"/>
      <c r="C89" s="5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110" t="n"/>
      <c r="C90" s="5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110" t="n"/>
      <c r="C91" s="5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110" t="n"/>
      <c r="C92" s="5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110" t="n"/>
      <c r="C93" s="5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110" t="n"/>
      <c r="C94" s="5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110" t="n"/>
      <c r="C95" s="5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110" t="n"/>
      <c r="C96" s="5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110" t="n"/>
      <c r="C97" s="5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110" t="n"/>
      <c r="C98" s="5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110" t="n"/>
      <c r="C99" s="5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110" t="n"/>
      <c r="C100" s="5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110" t="n"/>
      <c r="C101" s="5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110" t="n"/>
      <c r="C102" s="5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110" t="n"/>
      <c r="C103" s="5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110" t="n"/>
      <c r="C104" s="5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110" t="n"/>
      <c r="C105" s="5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110" t="n"/>
      <c r="C106" s="5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110" t="n"/>
      <c r="C107" s="5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110" t="n"/>
      <c r="C108" s="5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110" t="n"/>
      <c r="C109" s="5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110" t="n"/>
      <c r="C110" s="5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110" t="n"/>
      <c r="C111" s="5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110" t="n"/>
      <c r="C112" s="5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110" t="n"/>
      <c r="C113" s="5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110" t="n"/>
      <c r="C114" s="5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110" t="n"/>
      <c r="C115" s="5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110" t="n"/>
      <c r="C116" s="5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110" t="n"/>
      <c r="C117" s="5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110" t="n"/>
      <c r="C118" s="5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110" t="n"/>
      <c r="C119" s="5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110" t="n"/>
      <c r="C120" s="5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110" t="n"/>
      <c r="C121" s="5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110" t="n"/>
      <c r="C122" s="5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110" t="n"/>
      <c r="C123" s="5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110" t="n"/>
      <c r="C124" s="5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110" t="n"/>
      <c r="C125" s="5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110" t="n"/>
      <c r="C126" s="5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110" t="n"/>
      <c r="C127" s="5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110" t="n"/>
      <c r="C128" s="5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110" t="n"/>
      <c r="C129" s="5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110" t="n"/>
      <c r="C130" s="5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110" t="n"/>
      <c r="C131" s="5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110" t="n"/>
      <c r="C132" s="5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110" t="n"/>
      <c r="C133" s="5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110" t="n"/>
      <c r="C134" s="5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110" t="n"/>
      <c r="C135" s="5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110" t="n"/>
      <c r="C136" s="5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110" t="n"/>
      <c r="C137" s="5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110" t="n"/>
      <c r="C138" s="5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110" t="n"/>
      <c r="C139" s="5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110" t="n"/>
      <c r="C140" s="5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110" t="n"/>
      <c r="C141" s="5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110" t="n"/>
      <c r="C142" s="5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110" t="n"/>
      <c r="C143" s="5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110" t="n"/>
      <c r="C144" s="5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110" t="n"/>
      <c r="C145" s="5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110" t="n"/>
      <c r="C146" s="5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110" t="n"/>
      <c r="C147" s="5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110" t="n"/>
      <c r="C148" s="5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110" t="n"/>
      <c r="C149" s="5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110" t="n"/>
      <c r="C150" s="5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110" t="n"/>
      <c r="C151" s="5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110" t="n"/>
      <c r="C152" s="5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110" t="n"/>
      <c r="C153" s="5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110" t="n"/>
      <c r="C154" s="5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110" t="n"/>
      <c r="C155" s="5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110" t="n"/>
      <c r="C156" s="5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110" t="n"/>
      <c r="C157" s="5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110" t="n"/>
      <c r="C158" s="5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110" t="n"/>
      <c r="C159" s="5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110" t="n"/>
      <c r="C160" s="5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110" t="n"/>
      <c r="C161" s="5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110" t="n"/>
      <c r="C162" s="5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110" t="n"/>
      <c r="C163" s="5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110" t="n"/>
      <c r="C164" s="5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110" t="n"/>
      <c r="C165" s="5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110" t="n"/>
      <c r="C166" s="5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110" t="n"/>
      <c r="C167" s="5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110" t="n"/>
      <c r="C168" s="5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110" t="n"/>
      <c r="C169" s="5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110" t="n"/>
      <c r="C170" s="5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110" t="n"/>
      <c r="C171" s="5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110" t="n"/>
      <c r="C172" s="5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110" t="n"/>
      <c r="C173" s="5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110" t="n"/>
      <c r="C174" s="5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110" t="n"/>
      <c r="C175" s="5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110" t="n"/>
      <c r="C176" s="5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110" t="n"/>
      <c r="C177" s="5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110" t="n"/>
      <c r="C178" s="5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110" t="n"/>
      <c r="C179" s="5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110" t="n"/>
      <c r="C180" s="5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110" t="n"/>
      <c r="C181" s="5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110" t="n"/>
      <c r="C182" s="5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110" t="n"/>
      <c r="C183" s="5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110" t="n"/>
      <c r="C184" s="5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110" t="n"/>
      <c r="C185" s="5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110" t="n"/>
      <c r="C186" s="5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110" t="n"/>
      <c r="C187" s="5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110" t="n"/>
      <c r="C188" s="5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110" t="n"/>
      <c r="C189" s="5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110" t="n"/>
      <c r="C190" s="5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110" t="n"/>
      <c r="C191" s="5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110" t="n"/>
      <c r="C192" s="5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110" t="n"/>
      <c r="C193" s="5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110" t="n"/>
      <c r="C194" s="5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110" t="n"/>
      <c r="C195" s="5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110" t="n"/>
      <c r="C196" s="5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110" t="n"/>
      <c r="C197" s="5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110" t="n"/>
      <c r="C198" s="5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110" t="n"/>
      <c r="C199" s="5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110" t="n"/>
      <c r="C200" s="5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110" t="n"/>
      <c r="C201" s="5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110" t="n"/>
      <c r="C202" s="5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110" t="n"/>
      <c r="C203" s="5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110" t="n"/>
      <c r="C204" s="5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110" t="n"/>
      <c r="C205" s="5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110" t="n"/>
      <c r="C206" s="5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110" t="n"/>
      <c r="C207" s="5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110" t="n"/>
      <c r="C208" s="5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110" t="n"/>
      <c r="C209" s="5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110" t="n"/>
      <c r="C210" s="5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110" t="n"/>
      <c r="C211" s="5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110" t="n"/>
      <c r="C212" s="5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110" t="n"/>
      <c r="C213" s="5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110" t="n"/>
      <c r="C214" s="5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110" t="n"/>
      <c r="C215" s="5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110" t="n"/>
      <c r="C216" s="5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110" t="n"/>
      <c r="C217" s="5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110" t="n"/>
      <c r="C218" s="5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110" t="n"/>
      <c r="C219" s="5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110" t="n"/>
      <c r="C220" s="5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110" t="n"/>
      <c r="C221" s="5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3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3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3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3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3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3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3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3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3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3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3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3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3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3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3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3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3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3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3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3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3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3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3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3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3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mergeCells count="2">
    <mergeCell ref="D1:L1"/>
    <mergeCell ref="A13:A15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Z264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134" min="1" max="1"/>
    <col width="22.6640625" customWidth="1" style="134" min="2" max="2"/>
    <col width="12.6640625" customWidth="1" style="134" min="3" max="3"/>
    <col hidden="1" width="7.5" customWidth="1" style="134" min="4" max="4"/>
    <col hidden="1" width="8.6640625" customWidth="1" style="134" min="5" max="5"/>
    <col hidden="1" width="8.6640625" customWidth="1" style="134" min="6" max="6"/>
    <col width="11.6640625" customWidth="1" style="134" min="7" max="8"/>
    <col width="12.6640625" customWidth="1" style="134" min="9" max="9"/>
    <col width="11.6640625" customWidth="1" style="134" min="10" max="11"/>
    <col width="11" customWidth="1" style="134" min="12" max="12"/>
    <col width="8.33203125" customWidth="1" style="134" min="13" max="19"/>
    <col width="11.1640625" customWidth="1" style="134" min="20" max="26"/>
  </cols>
  <sheetData>
    <row r="1" ht="18" customHeight="1" s="134">
      <c r="A1" s="1" t="n"/>
      <c r="B1" s="3" t="n"/>
      <c r="C1" s="1" t="n"/>
      <c r="D1" s="135" t="n">
        <v>2026</v>
      </c>
      <c r="M1" s="164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34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34" thickBot="1">
      <c r="A3" s="17" t="n"/>
      <c r="B3" s="19" t="inlineStr">
        <is>
          <t>Commisisoni Portali</t>
        </is>
      </c>
      <c r="C3" s="19">
        <f>SUM(D3:L3)</f>
        <v/>
      </c>
      <c r="D3" s="24">
        <f>SUM(D4:D130)</f>
        <v/>
      </c>
      <c r="E3" s="24">
        <f>SUM(E4:E130)</f>
        <v/>
      </c>
      <c r="F3" s="24">
        <f>SUM(F4:F130)</f>
        <v/>
      </c>
      <c r="G3" s="24">
        <f>SUM(G4:G130)</f>
        <v/>
      </c>
      <c r="H3" s="24">
        <f>SUM(H4:H130)</f>
        <v/>
      </c>
      <c r="I3" s="24">
        <f>SUM(I4:I130)</f>
        <v/>
      </c>
      <c r="J3" s="24">
        <f>SUM(J4:J130)</f>
        <v/>
      </c>
      <c r="K3" s="24">
        <f>SUM(K4:K130)</f>
        <v/>
      </c>
      <c r="L3" s="24">
        <f>SUM(L4:L130)</f>
        <v/>
      </c>
      <c r="M3" s="24">
        <f>SUM(M4:M130)</f>
        <v/>
      </c>
      <c r="N3" s="24">
        <f>SUM(N4:N130)</f>
        <v/>
      </c>
      <c r="O3" s="24">
        <f>SUM(O4:O130)</f>
        <v/>
      </c>
      <c r="P3" s="24">
        <f>SUM(P4:P130)</f>
        <v/>
      </c>
      <c r="Q3" s="24">
        <f>SUM(Q4:Q130)</f>
        <v/>
      </c>
      <c r="R3" s="24">
        <f>SUM(R4:R130)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34" thickTop="1">
      <c r="A4" s="32" t="n">
        <v>57010192</v>
      </c>
      <c r="B4" s="33" t="inlineStr">
        <is>
          <t xml:space="preserve">Commissioni Booking </t>
        </is>
      </c>
      <c r="C4" s="34">
        <f>SUM(D4:L4)</f>
        <v/>
      </c>
      <c r="D4" s="35" t="n"/>
      <c r="E4" s="47" t="n"/>
      <c r="F4" s="35" t="n"/>
      <c r="G4" s="35" t="n">
        <v>37280</v>
      </c>
      <c r="H4" s="35" t="n">
        <v>38000</v>
      </c>
      <c r="I4" s="35" t="n">
        <v>5000</v>
      </c>
      <c r="J4" s="35" t="n">
        <v>28000</v>
      </c>
      <c r="K4" s="122" t="n">
        <v>14000</v>
      </c>
      <c r="L4" s="35" t="n">
        <v>700</v>
      </c>
      <c r="M4" s="35" t="n"/>
      <c r="N4" s="35" t="n"/>
      <c r="O4" s="35" t="n"/>
      <c r="P4" s="35" t="n"/>
      <c r="Q4" s="35" t="n"/>
      <c r="R4" s="3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34">
      <c r="A5" s="32" t="n">
        <v>57010192</v>
      </c>
      <c r="B5" s="42" t="inlineStr">
        <is>
          <t xml:space="preserve">Commissioni Expedia </t>
        </is>
      </c>
      <c r="C5" s="45">
        <f>SUM(D5:L5)</f>
        <v/>
      </c>
      <c r="D5" s="47" t="n"/>
      <c r="E5" s="47" t="n"/>
      <c r="F5" s="47" t="n"/>
      <c r="G5" s="47" t="n">
        <v>6617</v>
      </c>
      <c r="H5" s="47" t="n">
        <v>6300</v>
      </c>
      <c r="I5" s="47" t="n">
        <v>5500</v>
      </c>
      <c r="J5" s="47" t="n"/>
      <c r="K5" s="47" t="n">
        <v>0</v>
      </c>
      <c r="L5" s="47" t="n">
        <v>7500</v>
      </c>
      <c r="M5" s="47" t="n"/>
      <c r="N5" s="47" t="n"/>
      <c r="O5" s="47" t="n"/>
      <c r="P5" s="47" t="n"/>
      <c r="Q5" s="47" t="n"/>
      <c r="R5" s="47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34">
      <c r="A6" s="32" t="n">
        <v>414</v>
      </c>
      <c r="B6" s="42" t="inlineStr">
        <is>
          <t>NEXI PAYMENTS S.p.A.</t>
        </is>
      </c>
      <c r="C6" s="45">
        <f>SUM(D6:L6)</f>
        <v/>
      </c>
      <c r="D6" s="120" t="n"/>
      <c r="E6" s="47" t="n"/>
      <c r="F6" s="47" t="n"/>
      <c r="G6" s="47" t="n">
        <v>70.51000000000001</v>
      </c>
      <c r="H6" s="47" t="n"/>
      <c r="I6" s="47" t="n"/>
      <c r="J6" s="120" t="n"/>
      <c r="K6" s="120" t="n"/>
      <c r="L6" s="120" t="n"/>
      <c r="M6" s="120" t="n"/>
      <c r="N6" s="120" t="n"/>
      <c r="O6" s="120" t="n"/>
      <c r="P6" s="120" t="n"/>
      <c r="Q6" s="120" t="n"/>
      <c r="R6" s="120" t="n"/>
      <c r="S6" s="121" t="n"/>
      <c r="T6" s="5" t="n"/>
      <c r="U6" s="5" t="n"/>
      <c r="V6" s="5" t="n"/>
      <c r="W6" s="5" t="n"/>
      <c r="X6" s="5" t="n"/>
      <c r="Y6" s="5" t="n"/>
      <c r="Z6" s="5" t="n"/>
    </row>
    <row r="7" ht="15.75" customHeight="1" s="134">
      <c r="A7" s="32" t="n"/>
      <c r="B7" s="42" t="n"/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34">
      <c r="A8" s="32" t="n"/>
      <c r="B8" s="42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34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34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34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34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34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34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34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34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34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34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34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34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32" t="n"/>
      <c r="B64" s="113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5" t="n"/>
      <c r="B65" s="110" t="n"/>
      <c r="C65" s="5" t="n"/>
      <c r="D65" s="110" t="n"/>
      <c r="E65" s="110" t="n"/>
      <c r="F65" s="110" t="n"/>
      <c r="G65" s="110" t="n"/>
      <c r="H65" s="110" t="n"/>
      <c r="I65" s="110" t="n"/>
      <c r="J65" s="110" t="n"/>
      <c r="K65" s="110" t="n"/>
      <c r="L65" s="110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5" t="n"/>
      <c r="B66" s="110" t="n"/>
      <c r="C66" s="5" t="n"/>
      <c r="D66" s="110" t="n"/>
      <c r="E66" s="110" t="n"/>
      <c r="F66" s="110" t="n"/>
      <c r="G66" s="110" t="n"/>
      <c r="H66" s="110" t="n"/>
      <c r="I66" s="110" t="n"/>
      <c r="J66" s="110" t="n"/>
      <c r="K66" s="110" t="n"/>
      <c r="L66" s="110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5" t="n"/>
      <c r="B67" s="110" t="n"/>
      <c r="C67" s="5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5" t="n"/>
      <c r="B68" s="110" t="n"/>
      <c r="C68" s="5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5" t="n"/>
      <c r="B69" s="110" t="n"/>
      <c r="C69" s="5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5" t="n"/>
      <c r="B70" s="110" t="n"/>
      <c r="C70" s="5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110" t="n"/>
      <c r="C71" s="5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110" t="n"/>
      <c r="C72" s="5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110" t="n"/>
      <c r="C73" s="5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110" t="n"/>
      <c r="C74" s="5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110" t="n"/>
      <c r="C75" s="5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110" t="n"/>
      <c r="C76" s="5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110" t="n"/>
      <c r="C77" s="5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110" t="n"/>
      <c r="C78" s="5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110" t="n"/>
      <c r="C79" s="5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110" t="n"/>
      <c r="C80" s="5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110" t="n"/>
      <c r="C81" s="5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110" t="n"/>
      <c r="C82" s="5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110" t="n"/>
      <c r="C83" s="5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110" t="n"/>
      <c r="C84" s="5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110" t="n"/>
      <c r="C85" s="5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110" t="n"/>
      <c r="C86" s="5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110" t="n"/>
      <c r="C87" s="5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110" t="n"/>
      <c r="C88" s="5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110" t="n"/>
      <c r="C89" s="5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110" t="n"/>
      <c r="C90" s="5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110" t="n"/>
      <c r="C91" s="5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110" t="n"/>
      <c r="C92" s="5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110" t="n"/>
      <c r="C93" s="5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110" t="n"/>
      <c r="C94" s="5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110" t="n"/>
      <c r="C95" s="5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110" t="n"/>
      <c r="C96" s="5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110" t="n"/>
      <c r="C97" s="5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110" t="n"/>
      <c r="C98" s="5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110" t="n"/>
      <c r="C99" s="5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110" t="n"/>
      <c r="C100" s="5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110" t="n"/>
      <c r="C101" s="5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110" t="n"/>
      <c r="C102" s="5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110" t="n"/>
      <c r="C103" s="5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110" t="n"/>
      <c r="C104" s="5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110" t="n"/>
      <c r="C105" s="5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110" t="n"/>
      <c r="C106" s="5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110" t="n"/>
      <c r="C107" s="5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110" t="n"/>
      <c r="C108" s="5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110" t="n"/>
      <c r="C109" s="5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110" t="n"/>
      <c r="C110" s="5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110" t="n"/>
      <c r="C111" s="5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110" t="n"/>
      <c r="C112" s="5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110" t="n"/>
      <c r="C113" s="5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110" t="n"/>
      <c r="C114" s="5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110" t="n"/>
      <c r="C115" s="5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110" t="n"/>
      <c r="C116" s="5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110" t="n"/>
      <c r="C117" s="5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110" t="n"/>
      <c r="C118" s="5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110" t="n"/>
      <c r="C119" s="5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110" t="n"/>
      <c r="C120" s="5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110" t="n"/>
      <c r="C121" s="5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110" t="n"/>
      <c r="C122" s="5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110" t="n"/>
      <c r="C123" s="5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110" t="n"/>
      <c r="C124" s="5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110" t="n"/>
      <c r="C125" s="5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110" t="n"/>
      <c r="C126" s="5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110" t="n"/>
      <c r="C127" s="5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110" t="n"/>
      <c r="C128" s="5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110" t="n"/>
      <c r="C129" s="5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110" t="n"/>
      <c r="C130" s="5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110" t="n"/>
      <c r="C131" s="5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110" t="n"/>
      <c r="C132" s="5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110" t="n"/>
      <c r="C133" s="5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110" t="n"/>
      <c r="C134" s="5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110" t="n"/>
      <c r="C135" s="5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110" t="n"/>
      <c r="C136" s="5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110" t="n"/>
      <c r="C137" s="5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110" t="n"/>
      <c r="C138" s="5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110" t="n"/>
      <c r="C139" s="5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110" t="n"/>
      <c r="C140" s="5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110" t="n"/>
      <c r="C141" s="5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110" t="n"/>
      <c r="C142" s="5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110" t="n"/>
      <c r="C143" s="5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110" t="n"/>
      <c r="C144" s="5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110" t="n"/>
      <c r="C145" s="5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110" t="n"/>
      <c r="C146" s="5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110" t="n"/>
      <c r="C147" s="5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110" t="n"/>
      <c r="C148" s="5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110" t="n"/>
      <c r="C149" s="5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110" t="n"/>
      <c r="C150" s="5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110" t="n"/>
      <c r="C151" s="5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110" t="n"/>
      <c r="C152" s="5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110" t="n"/>
      <c r="C153" s="5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110" t="n"/>
      <c r="C154" s="5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110" t="n"/>
      <c r="C155" s="5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110" t="n"/>
      <c r="C156" s="5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110" t="n"/>
      <c r="C157" s="5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110" t="n"/>
      <c r="C158" s="5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110" t="n"/>
      <c r="C159" s="5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110" t="n"/>
      <c r="C160" s="5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110" t="n"/>
      <c r="C161" s="5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110" t="n"/>
      <c r="C162" s="5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110" t="n"/>
      <c r="C163" s="5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110" t="n"/>
      <c r="C164" s="5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110" t="n"/>
      <c r="C165" s="5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110" t="n"/>
      <c r="C166" s="5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110" t="n"/>
      <c r="C167" s="5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110" t="n"/>
      <c r="C168" s="5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110" t="n"/>
      <c r="C169" s="5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110" t="n"/>
      <c r="C170" s="5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110" t="n"/>
      <c r="C171" s="5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110" t="n"/>
      <c r="C172" s="5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110" t="n"/>
      <c r="C173" s="5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110" t="n"/>
      <c r="C174" s="5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110" t="n"/>
      <c r="C175" s="5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110" t="n"/>
      <c r="C176" s="5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110" t="n"/>
      <c r="C177" s="5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110" t="n"/>
      <c r="C178" s="5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110" t="n"/>
      <c r="C179" s="5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110" t="n"/>
      <c r="C180" s="5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110" t="n"/>
      <c r="C181" s="5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110" t="n"/>
      <c r="C182" s="5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110" t="n"/>
      <c r="C183" s="5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110" t="n"/>
      <c r="C184" s="5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110" t="n"/>
      <c r="C185" s="5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110" t="n"/>
      <c r="C186" s="5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110" t="n"/>
      <c r="C187" s="5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110" t="n"/>
      <c r="C188" s="5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110" t="n"/>
      <c r="C189" s="5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110" t="n"/>
      <c r="C190" s="5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110" t="n"/>
      <c r="C191" s="5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110" t="n"/>
      <c r="C192" s="5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110" t="n"/>
      <c r="C193" s="5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110" t="n"/>
      <c r="C194" s="5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110" t="n"/>
      <c r="C195" s="5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110" t="n"/>
      <c r="C196" s="5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110" t="n"/>
      <c r="C197" s="5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110" t="n"/>
      <c r="C198" s="5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110" t="n"/>
      <c r="C199" s="5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110" t="n"/>
      <c r="C200" s="5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110" t="n"/>
      <c r="C201" s="5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110" t="n"/>
      <c r="C202" s="5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110" t="n"/>
      <c r="C203" s="5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110" t="n"/>
      <c r="C204" s="5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110" t="n"/>
      <c r="C205" s="5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110" t="n"/>
      <c r="C206" s="5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110" t="n"/>
      <c r="C207" s="5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110" t="n"/>
      <c r="C208" s="5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110" t="n"/>
      <c r="C209" s="5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110" t="n"/>
      <c r="C210" s="5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110" t="n"/>
      <c r="C211" s="5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110" t="n"/>
      <c r="C212" s="5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110" t="n"/>
      <c r="C213" s="5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110" t="n"/>
      <c r="C214" s="5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110" t="n"/>
      <c r="C215" s="5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5" t="n"/>
      <c r="C216" s="5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3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3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3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3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3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3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3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3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3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3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3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3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3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3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3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3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3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3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3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34"/>
    <row r="266" ht="15.75" customHeight="1" s="134"/>
    <row r="267" ht="15.75" customHeight="1" s="134"/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mergeCells count="1">
    <mergeCell ref="D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10" defaultColWidth="11.1640625" defaultRowHeight="15" customHeight="1"/>
  <cols>
    <col width="8.6640625" customWidth="1" style="134" min="1" max="1"/>
    <col width="22.83203125" customWidth="1" style="134" min="2" max="2"/>
    <col width="13" customWidth="1" style="134" min="3" max="3"/>
    <col hidden="1" width="7.5" customWidth="1" style="134" min="4" max="4"/>
    <col hidden="1" width="8.6640625" customWidth="1" style="134" min="5" max="5"/>
    <col hidden="1" width="8.6640625" customWidth="1" style="134" min="6" max="6"/>
    <col width="11.6640625" customWidth="1" style="134" min="7" max="8"/>
    <col width="12.6640625" customWidth="1" style="134" min="9" max="9"/>
    <col width="11.6640625" customWidth="1" style="134" min="10" max="11"/>
    <col width="12.6640625" customWidth="1" style="134" min="12" max="12"/>
    <col width="8.33203125" customWidth="1" style="134" min="13" max="15"/>
    <col width="11.1640625" customWidth="1" style="134" min="16" max="26"/>
  </cols>
  <sheetData>
    <row r="1" ht="18" customHeight="1" s="134">
      <c r="A1" s="1" t="n"/>
      <c r="B1" s="3" t="n"/>
      <c r="C1" s="1" t="n"/>
      <c r="D1" s="135" t="n">
        <v>2026</v>
      </c>
      <c r="M1" s="164" t="n">
        <v>2027</v>
      </c>
      <c r="N1" s="8" t="n"/>
      <c r="O1" s="8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134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5" t="n"/>
      <c r="T2" s="5" t="n"/>
      <c r="U2" s="5" t="n"/>
      <c r="V2" s="5" t="n"/>
      <c r="W2" s="5" t="n"/>
      <c r="X2" s="5" t="n"/>
      <c r="Y2" s="5" t="n"/>
      <c r="Z2" s="5" t="n"/>
    </row>
    <row r="3" ht="16.5" customHeight="1" s="134" thickBot="1">
      <c r="A3" s="17" t="n"/>
      <c r="B3" s="19" t="inlineStr">
        <is>
          <t>Mutui e Finanaziamenti</t>
        </is>
      </c>
      <c r="C3" s="19">
        <f>SUM(D3:L3)</f>
        <v/>
      </c>
      <c r="D3" s="24">
        <f>SUM(D4:D134)</f>
        <v/>
      </c>
      <c r="E3" s="24">
        <f>SUM(E4:E134)</f>
        <v/>
      </c>
      <c r="F3" s="24">
        <f>SUM(F4:F134)</f>
        <v/>
      </c>
      <c r="G3" s="24">
        <f>SUM(G4:G134)</f>
        <v/>
      </c>
      <c r="H3" s="24">
        <f>SUM(H4:H134)</f>
        <v/>
      </c>
      <c r="I3" s="24">
        <f>SUM(I4:I134)</f>
        <v/>
      </c>
      <c r="J3" s="24">
        <f>SUM(J4:J134)</f>
        <v/>
      </c>
      <c r="K3" s="24">
        <f>SUM(K4:K134)</f>
        <v/>
      </c>
      <c r="L3" s="24">
        <f>SUM(L4:L134)</f>
        <v/>
      </c>
      <c r="M3" s="24">
        <f>SUM(M4:M134)</f>
        <v/>
      </c>
      <c r="N3" s="24">
        <f>SUM(N4:N134)</f>
        <v/>
      </c>
      <c r="O3" s="24">
        <f>SUM(O4:O134)</f>
        <v/>
      </c>
      <c r="P3" s="24">
        <f>SUM(P4:P134)</f>
        <v/>
      </c>
      <c r="Q3" s="24">
        <f>SUM(Q4:Q134)</f>
        <v/>
      </c>
      <c r="R3" s="24">
        <f>SUM(R4:R134)</f>
        <v/>
      </c>
      <c r="S3" s="5" t="n"/>
      <c r="T3" s="5" t="n"/>
      <c r="U3" s="5" t="n"/>
      <c r="V3" s="5" t="n"/>
      <c r="W3" s="5" t="n"/>
      <c r="X3" s="5" t="n"/>
      <c r="Y3" s="5" t="n"/>
      <c r="Z3" s="5" t="n"/>
    </row>
    <row r="4" ht="16.5" customHeight="1" s="134" thickTop="1">
      <c r="A4" s="32" t="n">
        <v>310394</v>
      </c>
      <c r="B4" s="33" t="inlineStr">
        <is>
          <t xml:space="preserve">Mutuo MPS </t>
        </is>
      </c>
      <c r="C4" s="34">
        <f>SUM(D4:L4)</f>
        <v/>
      </c>
      <c r="D4" s="35" t="n"/>
      <c r="E4" s="35" t="n"/>
      <c r="F4" s="35" t="n"/>
      <c r="G4" s="35" t="n"/>
      <c r="H4" s="35" t="n"/>
      <c r="I4" s="35" t="n"/>
      <c r="J4" s="35" t="n"/>
      <c r="K4" s="35" t="n"/>
      <c r="L4" s="35" t="n">
        <v>166176</v>
      </c>
      <c r="M4" s="35" t="n"/>
      <c r="N4" s="35" t="n"/>
      <c r="O4" s="35" t="n"/>
      <c r="P4" s="35" t="n"/>
      <c r="Q4" s="35" t="n"/>
      <c r="R4" s="3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34">
      <c r="A5" s="32" t="n">
        <v>310392</v>
      </c>
      <c r="B5" s="42" t="inlineStr">
        <is>
          <t>EX Muto Intesa (mps)</t>
        </is>
      </c>
      <c r="C5" s="45">
        <f>SUM(D5:L5)</f>
        <v/>
      </c>
      <c r="D5" s="47" t="n"/>
      <c r="E5" s="47" t="n"/>
      <c r="F5" s="47" t="n"/>
      <c r="G5" s="47" t="n">
        <v>12265.38</v>
      </c>
      <c r="H5" s="47" t="n">
        <v>12264.67</v>
      </c>
      <c r="I5" s="47" t="n">
        <v>12233.4</v>
      </c>
      <c r="J5" s="47" t="n">
        <v>12263.24</v>
      </c>
      <c r="K5" s="47" t="n">
        <v>12234.42</v>
      </c>
      <c r="L5" s="47" t="n">
        <v>12261.8</v>
      </c>
      <c r="M5" s="47" t="n"/>
      <c r="N5" s="47" t="n"/>
      <c r="O5" s="47" t="n"/>
      <c r="P5" s="47" t="n"/>
      <c r="Q5" s="47" t="n"/>
      <c r="R5" s="47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34">
      <c r="A6" s="32" t="n">
        <v>310305</v>
      </c>
      <c r="B6" s="42" t="inlineStr">
        <is>
          <t>Finanziamento MPS 75k</t>
        </is>
      </c>
      <c r="C6" s="45">
        <f>SUM(D6:L6)</f>
        <v/>
      </c>
      <c r="D6" s="47" t="n"/>
      <c r="E6" s="47" t="n"/>
      <c r="F6" s="47" t="n"/>
      <c r="G6" s="47" t="n">
        <v>1393.92</v>
      </c>
      <c r="H6" s="47" t="n">
        <v>1393.92</v>
      </c>
      <c r="I6" s="47" t="n">
        <v>1393.92</v>
      </c>
      <c r="J6" s="47" t="n">
        <v>1393.92</v>
      </c>
      <c r="K6" s="47" t="n">
        <v>1393.92</v>
      </c>
      <c r="L6" s="47" t="n">
        <v>1393.92</v>
      </c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34">
      <c r="A7" s="32" t="n"/>
      <c r="B7" s="60" t="n"/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34">
      <c r="A8" s="32" t="n"/>
      <c r="B8" s="60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34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34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34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34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34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34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34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34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34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34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34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34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32" t="n"/>
      <c r="B68" s="113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5" t="n"/>
      <c r="B69" s="110" t="n"/>
      <c r="C69" s="5" t="n"/>
      <c r="D69" s="110" t="n"/>
      <c r="E69" s="110" t="n"/>
      <c r="F69" s="110" t="n"/>
      <c r="G69" s="110" t="n"/>
      <c r="H69" s="110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5" t="n"/>
      <c r="B70" s="110" t="n"/>
      <c r="C70" s="5" t="n"/>
      <c r="D70" s="110" t="n"/>
      <c r="E70" s="110" t="n"/>
      <c r="F70" s="110" t="n"/>
      <c r="G70" s="110" t="n"/>
      <c r="H70" s="110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110" t="n"/>
      <c r="C71" s="5" t="n"/>
      <c r="D71" s="110" t="n"/>
      <c r="E71" s="110" t="n"/>
      <c r="F71" s="110" t="n"/>
      <c r="G71" s="110" t="n"/>
      <c r="H71" s="110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110" t="n"/>
      <c r="C72" s="5" t="n"/>
      <c r="D72" s="110" t="n"/>
      <c r="E72" s="110" t="n"/>
      <c r="F72" s="110" t="n"/>
      <c r="G72" s="110" t="n"/>
      <c r="H72" s="110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110" t="n"/>
      <c r="C73" s="5" t="n"/>
      <c r="D73" s="110" t="n"/>
      <c r="E73" s="110" t="n"/>
      <c r="F73" s="110" t="n"/>
      <c r="G73" s="110" t="n"/>
      <c r="H73" s="110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110" t="n"/>
      <c r="C74" s="5" t="n"/>
      <c r="D74" s="110" t="n"/>
      <c r="E74" s="110" t="n"/>
      <c r="F74" s="110" t="n"/>
      <c r="G74" s="110" t="n"/>
      <c r="H74" s="110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110" t="n"/>
      <c r="C75" s="5" t="n"/>
      <c r="D75" s="110" t="n"/>
      <c r="E75" s="110" t="n"/>
      <c r="F75" s="110" t="n"/>
      <c r="G75" s="110" t="n"/>
      <c r="H75" s="110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110" t="n"/>
      <c r="C76" s="5" t="n"/>
      <c r="D76" s="110" t="n"/>
      <c r="E76" s="110" t="n"/>
      <c r="F76" s="110" t="n"/>
      <c r="G76" s="110" t="n"/>
      <c r="H76" s="110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110" t="n"/>
      <c r="C77" s="5" t="n"/>
      <c r="D77" s="110" t="n"/>
      <c r="E77" s="110" t="n"/>
      <c r="F77" s="110" t="n"/>
      <c r="G77" s="110" t="n"/>
      <c r="H77" s="110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110" t="n"/>
      <c r="C78" s="5" t="n"/>
      <c r="D78" s="110" t="n"/>
      <c r="E78" s="110" t="n"/>
      <c r="F78" s="110" t="n"/>
      <c r="G78" s="110" t="n"/>
      <c r="H78" s="110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110" t="n"/>
      <c r="C79" s="5" t="n"/>
      <c r="D79" s="110" t="n"/>
      <c r="E79" s="110" t="n"/>
      <c r="F79" s="110" t="n"/>
      <c r="G79" s="110" t="n"/>
      <c r="H79" s="110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110" t="n"/>
      <c r="C80" s="5" t="n"/>
      <c r="D80" s="110" t="n"/>
      <c r="E80" s="110" t="n"/>
      <c r="F80" s="110" t="n"/>
      <c r="G80" s="110" t="n"/>
      <c r="H80" s="110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110" t="n"/>
      <c r="C81" s="5" t="n"/>
      <c r="D81" s="110" t="n"/>
      <c r="E81" s="110" t="n"/>
      <c r="F81" s="110" t="n"/>
      <c r="G81" s="110" t="n"/>
      <c r="H81" s="110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110" t="n"/>
      <c r="C82" s="5" t="n"/>
      <c r="D82" s="110" t="n"/>
      <c r="E82" s="110" t="n"/>
      <c r="F82" s="110" t="n"/>
      <c r="G82" s="110" t="n"/>
      <c r="H82" s="110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110" t="n"/>
      <c r="C83" s="5" t="n"/>
      <c r="D83" s="110" t="n"/>
      <c r="E83" s="110" t="n"/>
      <c r="F83" s="110" t="n"/>
      <c r="G83" s="110" t="n"/>
      <c r="H83" s="110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110" t="n"/>
      <c r="C84" s="5" t="n"/>
      <c r="D84" s="110" t="n"/>
      <c r="E84" s="110" t="n"/>
      <c r="F84" s="110" t="n"/>
      <c r="G84" s="110" t="n"/>
      <c r="H84" s="110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110" t="n"/>
      <c r="C85" s="5" t="n"/>
      <c r="D85" s="110" t="n"/>
      <c r="E85" s="110" t="n"/>
      <c r="F85" s="110" t="n"/>
      <c r="G85" s="110" t="n"/>
      <c r="H85" s="110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110" t="n"/>
      <c r="C86" s="5" t="n"/>
      <c r="D86" s="110" t="n"/>
      <c r="E86" s="110" t="n"/>
      <c r="F86" s="110" t="n"/>
      <c r="G86" s="110" t="n"/>
      <c r="H86" s="110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110" t="n"/>
      <c r="C87" s="5" t="n"/>
      <c r="D87" s="110" t="n"/>
      <c r="E87" s="110" t="n"/>
      <c r="F87" s="110" t="n"/>
      <c r="G87" s="110" t="n"/>
      <c r="H87" s="110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110" t="n"/>
      <c r="C88" s="5" t="n"/>
      <c r="D88" s="110" t="n"/>
      <c r="E88" s="110" t="n"/>
      <c r="F88" s="110" t="n"/>
      <c r="G88" s="110" t="n"/>
      <c r="H88" s="110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110" t="n"/>
      <c r="C89" s="5" t="n"/>
      <c r="D89" s="110" t="n"/>
      <c r="E89" s="110" t="n"/>
      <c r="F89" s="110" t="n"/>
      <c r="G89" s="110" t="n"/>
      <c r="H89" s="110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110" t="n"/>
      <c r="C90" s="5" t="n"/>
      <c r="D90" s="110" t="n"/>
      <c r="E90" s="110" t="n"/>
      <c r="F90" s="110" t="n"/>
      <c r="G90" s="110" t="n"/>
      <c r="H90" s="110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110" t="n"/>
      <c r="C91" s="5" t="n"/>
      <c r="D91" s="110" t="n"/>
      <c r="E91" s="110" t="n"/>
      <c r="F91" s="110" t="n"/>
      <c r="G91" s="110" t="n"/>
      <c r="H91" s="110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110" t="n"/>
      <c r="C92" s="5" t="n"/>
      <c r="D92" s="110" t="n"/>
      <c r="E92" s="110" t="n"/>
      <c r="F92" s="110" t="n"/>
      <c r="G92" s="110" t="n"/>
      <c r="H92" s="110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110" t="n"/>
      <c r="C93" s="5" t="n"/>
      <c r="D93" s="110" t="n"/>
      <c r="E93" s="110" t="n"/>
      <c r="F93" s="110" t="n"/>
      <c r="G93" s="110" t="n"/>
      <c r="H93" s="110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110" t="n"/>
      <c r="C94" s="5" t="n"/>
      <c r="D94" s="110" t="n"/>
      <c r="E94" s="110" t="n"/>
      <c r="F94" s="110" t="n"/>
      <c r="G94" s="110" t="n"/>
      <c r="H94" s="110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110" t="n"/>
      <c r="C95" s="5" t="n"/>
      <c r="D95" s="110" t="n"/>
      <c r="E95" s="110" t="n"/>
      <c r="F95" s="110" t="n"/>
      <c r="G95" s="110" t="n"/>
      <c r="H95" s="110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110" t="n"/>
      <c r="C96" s="5" t="n"/>
      <c r="D96" s="110" t="n"/>
      <c r="E96" s="110" t="n"/>
      <c r="F96" s="110" t="n"/>
      <c r="G96" s="110" t="n"/>
      <c r="H96" s="110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110" t="n"/>
      <c r="C97" s="5" t="n"/>
      <c r="D97" s="110" t="n"/>
      <c r="E97" s="110" t="n"/>
      <c r="F97" s="110" t="n"/>
      <c r="G97" s="110" t="n"/>
      <c r="H97" s="110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110" t="n"/>
      <c r="C98" s="5" t="n"/>
      <c r="D98" s="110" t="n"/>
      <c r="E98" s="110" t="n"/>
      <c r="F98" s="110" t="n"/>
      <c r="G98" s="110" t="n"/>
      <c r="H98" s="110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110" t="n"/>
      <c r="C99" s="5" t="n"/>
      <c r="D99" s="110" t="n"/>
      <c r="E99" s="110" t="n"/>
      <c r="F99" s="110" t="n"/>
      <c r="G99" s="110" t="n"/>
      <c r="H99" s="110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110" t="n"/>
      <c r="C100" s="5" t="n"/>
      <c r="D100" s="110" t="n"/>
      <c r="E100" s="110" t="n"/>
      <c r="F100" s="110" t="n"/>
      <c r="G100" s="110" t="n"/>
      <c r="H100" s="110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110" t="n"/>
      <c r="C101" s="5" t="n"/>
      <c r="D101" s="110" t="n"/>
      <c r="E101" s="110" t="n"/>
      <c r="F101" s="110" t="n"/>
      <c r="G101" s="110" t="n"/>
      <c r="H101" s="110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110" t="n"/>
      <c r="C102" s="5" t="n"/>
      <c r="D102" s="110" t="n"/>
      <c r="E102" s="110" t="n"/>
      <c r="F102" s="110" t="n"/>
      <c r="G102" s="110" t="n"/>
      <c r="H102" s="110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110" t="n"/>
      <c r="C103" s="5" t="n"/>
      <c r="D103" s="110" t="n"/>
      <c r="E103" s="110" t="n"/>
      <c r="F103" s="110" t="n"/>
      <c r="G103" s="110" t="n"/>
      <c r="H103" s="110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110" t="n"/>
      <c r="C104" s="5" t="n"/>
      <c r="D104" s="110" t="n"/>
      <c r="E104" s="110" t="n"/>
      <c r="F104" s="110" t="n"/>
      <c r="G104" s="110" t="n"/>
      <c r="H104" s="110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110" t="n"/>
      <c r="C105" s="5" t="n"/>
      <c r="D105" s="110" t="n"/>
      <c r="E105" s="110" t="n"/>
      <c r="F105" s="110" t="n"/>
      <c r="G105" s="110" t="n"/>
      <c r="H105" s="110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110" t="n"/>
      <c r="C106" s="5" t="n"/>
      <c r="D106" s="110" t="n"/>
      <c r="E106" s="110" t="n"/>
      <c r="F106" s="110" t="n"/>
      <c r="G106" s="110" t="n"/>
      <c r="H106" s="110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110" t="n"/>
      <c r="C107" s="5" t="n"/>
      <c r="D107" s="110" t="n"/>
      <c r="E107" s="110" t="n"/>
      <c r="F107" s="110" t="n"/>
      <c r="G107" s="110" t="n"/>
      <c r="H107" s="110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110" t="n"/>
      <c r="C108" s="5" t="n"/>
      <c r="D108" s="110" t="n"/>
      <c r="E108" s="110" t="n"/>
      <c r="F108" s="110" t="n"/>
      <c r="G108" s="110" t="n"/>
      <c r="H108" s="110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110" t="n"/>
      <c r="C109" s="5" t="n"/>
      <c r="D109" s="110" t="n"/>
      <c r="E109" s="110" t="n"/>
      <c r="F109" s="110" t="n"/>
      <c r="G109" s="110" t="n"/>
      <c r="H109" s="110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110" t="n"/>
      <c r="C110" s="5" t="n"/>
      <c r="D110" s="110" t="n"/>
      <c r="E110" s="110" t="n"/>
      <c r="F110" s="110" t="n"/>
      <c r="G110" s="110" t="n"/>
      <c r="H110" s="110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110" t="n"/>
      <c r="C111" s="5" t="n"/>
      <c r="D111" s="110" t="n"/>
      <c r="E111" s="110" t="n"/>
      <c r="F111" s="110" t="n"/>
      <c r="G111" s="110" t="n"/>
      <c r="H111" s="110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110" t="n"/>
      <c r="C112" s="5" t="n"/>
      <c r="D112" s="110" t="n"/>
      <c r="E112" s="110" t="n"/>
      <c r="F112" s="110" t="n"/>
      <c r="G112" s="110" t="n"/>
      <c r="H112" s="110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110" t="n"/>
      <c r="C113" s="5" t="n"/>
      <c r="D113" s="110" t="n"/>
      <c r="E113" s="110" t="n"/>
      <c r="F113" s="110" t="n"/>
      <c r="G113" s="110" t="n"/>
      <c r="H113" s="110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110" t="n"/>
      <c r="C114" s="5" t="n"/>
      <c r="D114" s="110" t="n"/>
      <c r="E114" s="110" t="n"/>
      <c r="F114" s="110" t="n"/>
      <c r="G114" s="110" t="n"/>
      <c r="H114" s="110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110" t="n"/>
      <c r="C115" s="5" t="n"/>
      <c r="D115" s="110" t="n"/>
      <c r="E115" s="110" t="n"/>
      <c r="F115" s="110" t="n"/>
      <c r="G115" s="110" t="n"/>
      <c r="H115" s="110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110" t="n"/>
      <c r="C116" s="5" t="n"/>
      <c r="D116" s="110" t="n"/>
      <c r="E116" s="110" t="n"/>
      <c r="F116" s="110" t="n"/>
      <c r="G116" s="110" t="n"/>
      <c r="H116" s="110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110" t="n"/>
      <c r="C117" s="5" t="n"/>
      <c r="D117" s="110" t="n"/>
      <c r="E117" s="110" t="n"/>
      <c r="F117" s="110" t="n"/>
      <c r="G117" s="110" t="n"/>
      <c r="H117" s="110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110" t="n"/>
      <c r="C118" s="5" t="n"/>
      <c r="D118" s="110" t="n"/>
      <c r="E118" s="110" t="n"/>
      <c r="F118" s="110" t="n"/>
      <c r="G118" s="110" t="n"/>
      <c r="H118" s="110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110" t="n"/>
      <c r="C119" s="5" t="n"/>
      <c r="D119" s="110" t="n"/>
      <c r="E119" s="110" t="n"/>
      <c r="F119" s="110" t="n"/>
      <c r="G119" s="110" t="n"/>
      <c r="H119" s="110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110" t="n"/>
      <c r="C120" s="5" t="n"/>
      <c r="D120" s="110" t="n"/>
      <c r="E120" s="110" t="n"/>
      <c r="F120" s="110" t="n"/>
      <c r="G120" s="110" t="n"/>
      <c r="H120" s="110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110" t="n"/>
      <c r="C121" s="5" t="n"/>
      <c r="D121" s="110" t="n"/>
      <c r="E121" s="110" t="n"/>
      <c r="F121" s="110" t="n"/>
      <c r="G121" s="110" t="n"/>
      <c r="H121" s="110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110" t="n"/>
      <c r="C122" s="5" t="n"/>
      <c r="D122" s="110" t="n"/>
      <c r="E122" s="110" t="n"/>
      <c r="F122" s="110" t="n"/>
      <c r="G122" s="110" t="n"/>
      <c r="H122" s="110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110" t="n"/>
      <c r="C123" s="5" t="n"/>
      <c r="D123" s="110" t="n"/>
      <c r="E123" s="110" t="n"/>
      <c r="F123" s="110" t="n"/>
      <c r="G123" s="110" t="n"/>
      <c r="H123" s="110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110" t="n"/>
      <c r="C124" s="5" t="n"/>
      <c r="D124" s="110" t="n"/>
      <c r="E124" s="110" t="n"/>
      <c r="F124" s="110" t="n"/>
      <c r="G124" s="110" t="n"/>
      <c r="H124" s="110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110" t="n"/>
      <c r="C125" s="5" t="n"/>
      <c r="D125" s="110" t="n"/>
      <c r="E125" s="110" t="n"/>
      <c r="F125" s="110" t="n"/>
      <c r="G125" s="110" t="n"/>
      <c r="H125" s="110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110" t="n"/>
      <c r="C126" s="5" t="n"/>
      <c r="D126" s="110" t="n"/>
      <c r="E126" s="110" t="n"/>
      <c r="F126" s="110" t="n"/>
      <c r="G126" s="110" t="n"/>
      <c r="H126" s="110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110" t="n"/>
      <c r="C127" s="5" t="n"/>
      <c r="D127" s="110" t="n"/>
      <c r="E127" s="110" t="n"/>
      <c r="F127" s="110" t="n"/>
      <c r="G127" s="110" t="n"/>
      <c r="H127" s="110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110" t="n"/>
      <c r="C128" s="5" t="n"/>
      <c r="D128" s="110" t="n"/>
      <c r="E128" s="110" t="n"/>
      <c r="F128" s="110" t="n"/>
      <c r="G128" s="110" t="n"/>
      <c r="H128" s="110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110" t="n"/>
      <c r="C129" s="5" t="n"/>
      <c r="D129" s="110" t="n"/>
      <c r="E129" s="110" t="n"/>
      <c r="F129" s="110" t="n"/>
      <c r="G129" s="110" t="n"/>
      <c r="H129" s="110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110" t="n"/>
      <c r="C130" s="5" t="n"/>
      <c r="D130" s="110" t="n"/>
      <c r="E130" s="110" t="n"/>
      <c r="F130" s="110" t="n"/>
      <c r="G130" s="110" t="n"/>
      <c r="H130" s="110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110" t="n"/>
      <c r="C131" s="5" t="n"/>
      <c r="D131" s="110" t="n"/>
      <c r="E131" s="110" t="n"/>
      <c r="F131" s="110" t="n"/>
      <c r="G131" s="110" t="n"/>
      <c r="H131" s="110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110" t="n"/>
      <c r="C132" s="5" t="n"/>
      <c r="D132" s="110" t="n"/>
      <c r="E132" s="110" t="n"/>
      <c r="F132" s="110" t="n"/>
      <c r="G132" s="110" t="n"/>
      <c r="H132" s="110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110" t="n"/>
      <c r="C133" s="5" t="n"/>
      <c r="D133" s="110" t="n"/>
      <c r="E133" s="110" t="n"/>
      <c r="F133" s="110" t="n"/>
      <c r="G133" s="110" t="n"/>
      <c r="H133" s="110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110" t="n"/>
      <c r="C134" s="5" t="n"/>
      <c r="D134" s="110" t="n"/>
      <c r="E134" s="110" t="n"/>
      <c r="F134" s="110" t="n"/>
      <c r="G134" s="110" t="n"/>
      <c r="H134" s="110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110" t="n"/>
      <c r="C135" s="5" t="n"/>
      <c r="D135" s="110" t="n"/>
      <c r="E135" s="110" t="n"/>
      <c r="F135" s="110" t="n"/>
      <c r="G135" s="110" t="n"/>
      <c r="H135" s="110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110" t="n"/>
      <c r="C136" s="5" t="n"/>
      <c r="D136" s="110" t="n"/>
      <c r="E136" s="110" t="n"/>
      <c r="F136" s="110" t="n"/>
      <c r="G136" s="110" t="n"/>
      <c r="H136" s="110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110" t="n"/>
      <c r="C137" s="5" t="n"/>
      <c r="D137" s="110" t="n"/>
      <c r="E137" s="110" t="n"/>
      <c r="F137" s="110" t="n"/>
      <c r="G137" s="110" t="n"/>
      <c r="H137" s="110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110" t="n"/>
      <c r="C138" s="5" t="n"/>
      <c r="D138" s="110" t="n"/>
      <c r="E138" s="110" t="n"/>
      <c r="F138" s="110" t="n"/>
      <c r="G138" s="110" t="n"/>
      <c r="H138" s="110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110" t="n"/>
      <c r="C139" s="5" t="n"/>
      <c r="D139" s="110" t="n"/>
      <c r="E139" s="110" t="n"/>
      <c r="F139" s="110" t="n"/>
      <c r="G139" s="110" t="n"/>
      <c r="H139" s="110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110" t="n"/>
      <c r="C140" s="5" t="n"/>
      <c r="D140" s="110" t="n"/>
      <c r="E140" s="110" t="n"/>
      <c r="F140" s="110" t="n"/>
      <c r="G140" s="110" t="n"/>
      <c r="H140" s="110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110" t="n"/>
      <c r="C141" s="5" t="n"/>
      <c r="D141" s="110" t="n"/>
      <c r="E141" s="110" t="n"/>
      <c r="F141" s="110" t="n"/>
      <c r="G141" s="110" t="n"/>
      <c r="H141" s="110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110" t="n"/>
      <c r="C142" s="5" t="n"/>
      <c r="D142" s="110" t="n"/>
      <c r="E142" s="110" t="n"/>
      <c r="F142" s="110" t="n"/>
      <c r="G142" s="110" t="n"/>
      <c r="H142" s="110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110" t="n"/>
      <c r="C143" s="5" t="n"/>
      <c r="D143" s="110" t="n"/>
      <c r="E143" s="110" t="n"/>
      <c r="F143" s="110" t="n"/>
      <c r="G143" s="110" t="n"/>
      <c r="H143" s="110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110" t="n"/>
      <c r="C144" s="5" t="n"/>
      <c r="D144" s="110" t="n"/>
      <c r="E144" s="110" t="n"/>
      <c r="F144" s="110" t="n"/>
      <c r="G144" s="110" t="n"/>
      <c r="H144" s="110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110" t="n"/>
      <c r="C145" s="5" t="n"/>
      <c r="D145" s="110" t="n"/>
      <c r="E145" s="110" t="n"/>
      <c r="F145" s="110" t="n"/>
      <c r="G145" s="110" t="n"/>
      <c r="H145" s="110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110" t="n"/>
      <c r="C146" s="5" t="n"/>
      <c r="D146" s="110" t="n"/>
      <c r="E146" s="110" t="n"/>
      <c r="F146" s="110" t="n"/>
      <c r="G146" s="110" t="n"/>
      <c r="H146" s="110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110" t="n"/>
      <c r="C147" s="5" t="n"/>
      <c r="D147" s="110" t="n"/>
      <c r="E147" s="110" t="n"/>
      <c r="F147" s="110" t="n"/>
      <c r="G147" s="110" t="n"/>
      <c r="H147" s="110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110" t="n"/>
      <c r="C148" s="5" t="n"/>
      <c r="D148" s="110" t="n"/>
      <c r="E148" s="110" t="n"/>
      <c r="F148" s="110" t="n"/>
      <c r="G148" s="110" t="n"/>
      <c r="H148" s="110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110" t="n"/>
      <c r="C149" s="5" t="n"/>
      <c r="D149" s="110" t="n"/>
      <c r="E149" s="110" t="n"/>
      <c r="F149" s="110" t="n"/>
      <c r="G149" s="110" t="n"/>
      <c r="H149" s="110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110" t="n"/>
      <c r="C150" s="5" t="n"/>
      <c r="D150" s="110" t="n"/>
      <c r="E150" s="110" t="n"/>
      <c r="F150" s="110" t="n"/>
      <c r="G150" s="110" t="n"/>
      <c r="H150" s="110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110" t="n"/>
      <c r="C151" s="5" t="n"/>
      <c r="D151" s="110" t="n"/>
      <c r="E151" s="110" t="n"/>
      <c r="F151" s="110" t="n"/>
      <c r="G151" s="110" t="n"/>
      <c r="H151" s="110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110" t="n"/>
      <c r="C152" s="5" t="n"/>
      <c r="D152" s="110" t="n"/>
      <c r="E152" s="110" t="n"/>
      <c r="F152" s="110" t="n"/>
      <c r="G152" s="110" t="n"/>
      <c r="H152" s="110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110" t="n"/>
      <c r="C153" s="5" t="n"/>
      <c r="D153" s="110" t="n"/>
      <c r="E153" s="110" t="n"/>
      <c r="F153" s="110" t="n"/>
      <c r="G153" s="110" t="n"/>
      <c r="H153" s="110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110" t="n"/>
      <c r="C154" s="5" t="n"/>
      <c r="D154" s="110" t="n"/>
      <c r="E154" s="110" t="n"/>
      <c r="F154" s="110" t="n"/>
      <c r="G154" s="110" t="n"/>
      <c r="H154" s="110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110" t="n"/>
      <c r="C155" s="5" t="n"/>
      <c r="D155" s="110" t="n"/>
      <c r="E155" s="110" t="n"/>
      <c r="F155" s="110" t="n"/>
      <c r="G155" s="110" t="n"/>
      <c r="H155" s="110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110" t="n"/>
      <c r="C156" s="5" t="n"/>
      <c r="D156" s="110" t="n"/>
      <c r="E156" s="110" t="n"/>
      <c r="F156" s="110" t="n"/>
      <c r="G156" s="110" t="n"/>
      <c r="H156" s="110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110" t="n"/>
      <c r="C157" s="5" t="n"/>
      <c r="D157" s="110" t="n"/>
      <c r="E157" s="110" t="n"/>
      <c r="F157" s="110" t="n"/>
      <c r="G157" s="110" t="n"/>
      <c r="H157" s="110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110" t="n"/>
      <c r="C158" s="5" t="n"/>
      <c r="D158" s="110" t="n"/>
      <c r="E158" s="110" t="n"/>
      <c r="F158" s="110" t="n"/>
      <c r="G158" s="110" t="n"/>
      <c r="H158" s="110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110" t="n"/>
      <c r="C159" s="5" t="n"/>
      <c r="D159" s="110" t="n"/>
      <c r="E159" s="110" t="n"/>
      <c r="F159" s="110" t="n"/>
      <c r="G159" s="110" t="n"/>
      <c r="H159" s="110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110" t="n"/>
      <c r="C160" s="5" t="n"/>
      <c r="D160" s="110" t="n"/>
      <c r="E160" s="110" t="n"/>
      <c r="F160" s="110" t="n"/>
      <c r="G160" s="110" t="n"/>
      <c r="H160" s="110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110" t="n"/>
      <c r="C161" s="5" t="n"/>
      <c r="D161" s="110" t="n"/>
      <c r="E161" s="110" t="n"/>
      <c r="F161" s="110" t="n"/>
      <c r="G161" s="110" t="n"/>
      <c r="H161" s="110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110" t="n"/>
      <c r="C162" s="5" t="n"/>
      <c r="D162" s="110" t="n"/>
      <c r="E162" s="110" t="n"/>
      <c r="F162" s="110" t="n"/>
      <c r="G162" s="110" t="n"/>
      <c r="H162" s="110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110" t="n"/>
      <c r="C163" s="5" t="n"/>
      <c r="D163" s="110" t="n"/>
      <c r="E163" s="110" t="n"/>
      <c r="F163" s="110" t="n"/>
      <c r="G163" s="110" t="n"/>
      <c r="H163" s="110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110" t="n"/>
      <c r="C164" s="5" t="n"/>
      <c r="D164" s="110" t="n"/>
      <c r="E164" s="110" t="n"/>
      <c r="F164" s="110" t="n"/>
      <c r="G164" s="110" t="n"/>
      <c r="H164" s="110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110" t="n"/>
      <c r="C165" s="5" t="n"/>
      <c r="D165" s="110" t="n"/>
      <c r="E165" s="110" t="n"/>
      <c r="F165" s="110" t="n"/>
      <c r="G165" s="110" t="n"/>
      <c r="H165" s="110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110" t="n"/>
      <c r="C166" s="5" t="n"/>
      <c r="D166" s="110" t="n"/>
      <c r="E166" s="110" t="n"/>
      <c r="F166" s="110" t="n"/>
      <c r="G166" s="110" t="n"/>
      <c r="H166" s="110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110" t="n"/>
      <c r="C167" s="5" t="n"/>
      <c r="D167" s="110" t="n"/>
      <c r="E167" s="110" t="n"/>
      <c r="F167" s="110" t="n"/>
      <c r="G167" s="110" t="n"/>
      <c r="H167" s="110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110" t="n"/>
      <c r="C168" s="5" t="n"/>
      <c r="D168" s="110" t="n"/>
      <c r="E168" s="110" t="n"/>
      <c r="F168" s="110" t="n"/>
      <c r="G168" s="110" t="n"/>
      <c r="H168" s="110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110" t="n"/>
      <c r="C169" s="5" t="n"/>
      <c r="D169" s="110" t="n"/>
      <c r="E169" s="110" t="n"/>
      <c r="F169" s="110" t="n"/>
      <c r="G169" s="110" t="n"/>
      <c r="H169" s="110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110" t="n"/>
      <c r="C170" s="5" t="n"/>
      <c r="D170" s="110" t="n"/>
      <c r="E170" s="110" t="n"/>
      <c r="F170" s="110" t="n"/>
      <c r="G170" s="110" t="n"/>
      <c r="H170" s="110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110" t="n"/>
      <c r="C171" s="5" t="n"/>
      <c r="D171" s="110" t="n"/>
      <c r="E171" s="110" t="n"/>
      <c r="F171" s="110" t="n"/>
      <c r="G171" s="110" t="n"/>
      <c r="H171" s="110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110" t="n"/>
      <c r="C172" s="5" t="n"/>
      <c r="D172" s="110" t="n"/>
      <c r="E172" s="110" t="n"/>
      <c r="F172" s="110" t="n"/>
      <c r="G172" s="110" t="n"/>
      <c r="H172" s="110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110" t="n"/>
      <c r="C173" s="5" t="n"/>
      <c r="D173" s="110" t="n"/>
      <c r="E173" s="110" t="n"/>
      <c r="F173" s="110" t="n"/>
      <c r="G173" s="110" t="n"/>
      <c r="H173" s="110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110" t="n"/>
      <c r="C174" s="5" t="n"/>
      <c r="D174" s="110" t="n"/>
      <c r="E174" s="110" t="n"/>
      <c r="F174" s="110" t="n"/>
      <c r="G174" s="110" t="n"/>
      <c r="H174" s="110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110" t="n"/>
      <c r="C175" s="5" t="n"/>
      <c r="D175" s="110" t="n"/>
      <c r="E175" s="110" t="n"/>
      <c r="F175" s="110" t="n"/>
      <c r="G175" s="110" t="n"/>
      <c r="H175" s="110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110" t="n"/>
      <c r="C176" s="5" t="n"/>
      <c r="D176" s="110" t="n"/>
      <c r="E176" s="110" t="n"/>
      <c r="F176" s="110" t="n"/>
      <c r="G176" s="110" t="n"/>
      <c r="H176" s="110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110" t="n"/>
      <c r="C177" s="5" t="n"/>
      <c r="D177" s="110" t="n"/>
      <c r="E177" s="110" t="n"/>
      <c r="F177" s="110" t="n"/>
      <c r="G177" s="110" t="n"/>
      <c r="H177" s="110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110" t="n"/>
      <c r="C178" s="5" t="n"/>
      <c r="D178" s="110" t="n"/>
      <c r="E178" s="110" t="n"/>
      <c r="F178" s="110" t="n"/>
      <c r="G178" s="110" t="n"/>
      <c r="H178" s="110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110" t="n"/>
      <c r="C179" s="5" t="n"/>
      <c r="D179" s="110" t="n"/>
      <c r="E179" s="110" t="n"/>
      <c r="F179" s="110" t="n"/>
      <c r="G179" s="110" t="n"/>
      <c r="H179" s="110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110" t="n"/>
      <c r="C180" s="5" t="n"/>
      <c r="D180" s="110" t="n"/>
      <c r="E180" s="110" t="n"/>
      <c r="F180" s="110" t="n"/>
      <c r="G180" s="110" t="n"/>
      <c r="H180" s="110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110" t="n"/>
      <c r="C181" s="5" t="n"/>
      <c r="D181" s="110" t="n"/>
      <c r="E181" s="110" t="n"/>
      <c r="F181" s="110" t="n"/>
      <c r="G181" s="110" t="n"/>
      <c r="H181" s="110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110" t="n"/>
      <c r="C182" s="5" t="n"/>
      <c r="D182" s="110" t="n"/>
      <c r="E182" s="110" t="n"/>
      <c r="F182" s="110" t="n"/>
      <c r="G182" s="110" t="n"/>
      <c r="H182" s="110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110" t="n"/>
      <c r="C183" s="5" t="n"/>
      <c r="D183" s="110" t="n"/>
      <c r="E183" s="110" t="n"/>
      <c r="F183" s="110" t="n"/>
      <c r="G183" s="110" t="n"/>
      <c r="H183" s="110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110" t="n"/>
      <c r="C184" s="5" t="n"/>
      <c r="D184" s="110" t="n"/>
      <c r="E184" s="110" t="n"/>
      <c r="F184" s="110" t="n"/>
      <c r="G184" s="110" t="n"/>
      <c r="H184" s="110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110" t="n"/>
      <c r="C185" s="5" t="n"/>
      <c r="D185" s="110" t="n"/>
      <c r="E185" s="110" t="n"/>
      <c r="F185" s="110" t="n"/>
      <c r="G185" s="110" t="n"/>
      <c r="H185" s="110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110" t="n"/>
      <c r="C186" s="5" t="n"/>
      <c r="D186" s="110" t="n"/>
      <c r="E186" s="110" t="n"/>
      <c r="F186" s="110" t="n"/>
      <c r="G186" s="110" t="n"/>
      <c r="H186" s="110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110" t="n"/>
      <c r="C187" s="5" t="n"/>
      <c r="D187" s="110" t="n"/>
      <c r="E187" s="110" t="n"/>
      <c r="F187" s="110" t="n"/>
      <c r="G187" s="110" t="n"/>
      <c r="H187" s="110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110" t="n"/>
      <c r="C188" s="5" t="n"/>
      <c r="D188" s="110" t="n"/>
      <c r="E188" s="110" t="n"/>
      <c r="F188" s="110" t="n"/>
      <c r="G188" s="110" t="n"/>
      <c r="H188" s="110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110" t="n"/>
      <c r="C189" s="5" t="n"/>
      <c r="D189" s="110" t="n"/>
      <c r="E189" s="110" t="n"/>
      <c r="F189" s="110" t="n"/>
      <c r="G189" s="110" t="n"/>
      <c r="H189" s="110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110" t="n"/>
      <c r="C190" s="5" t="n"/>
      <c r="D190" s="110" t="n"/>
      <c r="E190" s="110" t="n"/>
      <c r="F190" s="110" t="n"/>
      <c r="G190" s="110" t="n"/>
      <c r="H190" s="110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110" t="n"/>
      <c r="C191" s="5" t="n"/>
      <c r="D191" s="110" t="n"/>
      <c r="E191" s="110" t="n"/>
      <c r="F191" s="110" t="n"/>
      <c r="G191" s="110" t="n"/>
      <c r="H191" s="110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110" t="n"/>
      <c r="C192" s="5" t="n"/>
      <c r="D192" s="110" t="n"/>
      <c r="E192" s="110" t="n"/>
      <c r="F192" s="110" t="n"/>
      <c r="G192" s="110" t="n"/>
      <c r="H192" s="110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110" t="n"/>
      <c r="C193" s="5" t="n"/>
      <c r="D193" s="110" t="n"/>
      <c r="E193" s="110" t="n"/>
      <c r="F193" s="110" t="n"/>
      <c r="G193" s="110" t="n"/>
      <c r="H193" s="110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110" t="n"/>
      <c r="C194" s="5" t="n"/>
      <c r="D194" s="110" t="n"/>
      <c r="E194" s="110" t="n"/>
      <c r="F194" s="110" t="n"/>
      <c r="G194" s="110" t="n"/>
      <c r="H194" s="110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110" t="n"/>
      <c r="C195" s="5" t="n"/>
      <c r="D195" s="110" t="n"/>
      <c r="E195" s="110" t="n"/>
      <c r="F195" s="110" t="n"/>
      <c r="G195" s="110" t="n"/>
      <c r="H195" s="110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110" t="n"/>
      <c r="C196" s="5" t="n"/>
      <c r="D196" s="110" t="n"/>
      <c r="E196" s="110" t="n"/>
      <c r="F196" s="110" t="n"/>
      <c r="G196" s="110" t="n"/>
      <c r="H196" s="110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110" t="n"/>
      <c r="C197" s="5" t="n"/>
      <c r="D197" s="110" t="n"/>
      <c r="E197" s="110" t="n"/>
      <c r="F197" s="110" t="n"/>
      <c r="G197" s="110" t="n"/>
      <c r="H197" s="110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110" t="n"/>
      <c r="C198" s="5" t="n"/>
      <c r="D198" s="110" t="n"/>
      <c r="E198" s="110" t="n"/>
      <c r="F198" s="110" t="n"/>
      <c r="G198" s="110" t="n"/>
      <c r="H198" s="110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110" t="n"/>
      <c r="C199" s="5" t="n"/>
      <c r="D199" s="110" t="n"/>
      <c r="E199" s="110" t="n"/>
      <c r="F199" s="110" t="n"/>
      <c r="G199" s="110" t="n"/>
      <c r="H199" s="110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110" t="n"/>
      <c r="C200" s="5" t="n"/>
      <c r="D200" s="110" t="n"/>
      <c r="E200" s="110" t="n"/>
      <c r="F200" s="110" t="n"/>
      <c r="G200" s="110" t="n"/>
      <c r="H200" s="110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110" t="n"/>
      <c r="C201" s="5" t="n"/>
      <c r="D201" s="110" t="n"/>
      <c r="E201" s="110" t="n"/>
      <c r="F201" s="110" t="n"/>
      <c r="G201" s="110" t="n"/>
      <c r="H201" s="110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110" t="n"/>
      <c r="C202" s="5" t="n"/>
      <c r="D202" s="110" t="n"/>
      <c r="E202" s="110" t="n"/>
      <c r="F202" s="110" t="n"/>
      <c r="G202" s="110" t="n"/>
      <c r="H202" s="110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110" t="n"/>
      <c r="C203" s="5" t="n"/>
      <c r="D203" s="110" t="n"/>
      <c r="E203" s="110" t="n"/>
      <c r="F203" s="110" t="n"/>
      <c r="G203" s="110" t="n"/>
      <c r="H203" s="110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110" t="n"/>
      <c r="C204" s="5" t="n"/>
      <c r="D204" s="110" t="n"/>
      <c r="E204" s="110" t="n"/>
      <c r="F204" s="110" t="n"/>
      <c r="G204" s="110" t="n"/>
      <c r="H204" s="110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110" t="n"/>
      <c r="C205" s="5" t="n"/>
      <c r="D205" s="110" t="n"/>
      <c r="E205" s="110" t="n"/>
      <c r="F205" s="110" t="n"/>
      <c r="G205" s="110" t="n"/>
      <c r="H205" s="110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110" t="n"/>
      <c r="C206" s="5" t="n"/>
      <c r="D206" s="110" t="n"/>
      <c r="E206" s="110" t="n"/>
      <c r="F206" s="110" t="n"/>
      <c r="G206" s="110" t="n"/>
      <c r="H206" s="110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110" t="n"/>
      <c r="C207" s="5" t="n"/>
      <c r="D207" s="110" t="n"/>
      <c r="E207" s="110" t="n"/>
      <c r="F207" s="110" t="n"/>
      <c r="G207" s="110" t="n"/>
      <c r="H207" s="110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110" t="n"/>
      <c r="C208" s="5" t="n"/>
      <c r="D208" s="110" t="n"/>
      <c r="E208" s="110" t="n"/>
      <c r="F208" s="110" t="n"/>
      <c r="G208" s="110" t="n"/>
      <c r="H208" s="110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110" t="n"/>
      <c r="C209" s="5" t="n"/>
      <c r="D209" s="110" t="n"/>
      <c r="E209" s="110" t="n"/>
      <c r="F209" s="110" t="n"/>
      <c r="G209" s="110" t="n"/>
      <c r="H209" s="110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110" t="n"/>
      <c r="C210" s="5" t="n"/>
      <c r="D210" s="110" t="n"/>
      <c r="E210" s="110" t="n"/>
      <c r="F210" s="110" t="n"/>
      <c r="G210" s="110" t="n"/>
      <c r="H210" s="110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110" t="n"/>
      <c r="C211" s="5" t="n"/>
      <c r="D211" s="110" t="n"/>
      <c r="E211" s="110" t="n"/>
      <c r="F211" s="110" t="n"/>
      <c r="G211" s="110" t="n"/>
      <c r="H211" s="110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110" t="n"/>
      <c r="C212" s="5" t="n"/>
      <c r="D212" s="110" t="n"/>
      <c r="E212" s="110" t="n"/>
      <c r="F212" s="110" t="n"/>
      <c r="G212" s="110" t="n"/>
      <c r="H212" s="110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110" t="n"/>
      <c r="C213" s="5" t="n"/>
      <c r="D213" s="110" t="n"/>
      <c r="E213" s="110" t="n"/>
      <c r="F213" s="110" t="n"/>
      <c r="G213" s="110" t="n"/>
      <c r="H213" s="110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110" t="n"/>
      <c r="C214" s="5" t="n"/>
      <c r="D214" s="110" t="n"/>
      <c r="E214" s="110" t="n"/>
      <c r="F214" s="110" t="n"/>
      <c r="G214" s="110" t="n"/>
      <c r="H214" s="110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110" t="n"/>
      <c r="C215" s="5" t="n"/>
      <c r="D215" s="110" t="n"/>
      <c r="E215" s="110" t="n"/>
      <c r="F215" s="110" t="n"/>
      <c r="G215" s="110" t="n"/>
      <c r="H215" s="110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110" t="n"/>
      <c r="C216" s="5" t="n"/>
      <c r="D216" s="110" t="n"/>
      <c r="E216" s="110" t="n"/>
      <c r="F216" s="110" t="n"/>
      <c r="G216" s="110" t="n"/>
      <c r="H216" s="110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110" t="n"/>
      <c r="C217" s="5" t="n"/>
      <c r="D217" s="110" t="n"/>
      <c r="E217" s="110" t="n"/>
      <c r="F217" s="110" t="n"/>
      <c r="G217" s="110" t="n"/>
      <c r="H217" s="110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110" t="n"/>
      <c r="C218" s="5" t="n"/>
      <c r="D218" s="110" t="n"/>
      <c r="E218" s="110" t="n"/>
      <c r="F218" s="110" t="n"/>
      <c r="G218" s="110" t="n"/>
      <c r="H218" s="110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110" t="n"/>
      <c r="C219" s="5" t="n"/>
      <c r="D219" s="110" t="n"/>
      <c r="E219" s="110" t="n"/>
      <c r="F219" s="110" t="n"/>
      <c r="G219" s="110" t="n"/>
      <c r="H219" s="110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5" t="n"/>
      <c r="C220" s="5" t="n"/>
      <c r="D220" s="110" t="n"/>
      <c r="E220" s="110" t="n"/>
      <c r="F220" s="110" t="n"/>
      <c r="G220" s="110" t="n"/>
      <c r="H220" s="110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3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3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3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3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3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3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3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3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3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3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3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3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3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3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3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3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3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3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3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3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3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3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3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mergeCells count="1">
    <mergeCell ref="D1:L1"/>
  </mergeCells>
  <pageMargins left="0.7" right="0.7" top="0.75" bottom="0.75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Z268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134" min="1" max="1"/>
    <col width="41.1640625" customWidth="1" style="134" min="2" max="2"/>
    <col width="11.6640625" customWidth="1" style="134" min="3" max="3"/>
    <col hidden="1" width="7.5" customWidth="1" style="134" min="4" max="4"/>
    <col hidden="1" width="8.6640625" customWidth="1" style="134" min="5" max="5"/>
    <col hidden="1" width="8.6640625" customWidth="1" style="134" min="6" max="6"/>
    <col width="11.6640625" customWidth="1" style="134" min="7" max="7"/>
    <col width="10.6640625" customWidth="1" style="134" min="8" max="8"/>
    <col width="12.6640625" customWidth="1" style="134" min="9" max="9"/>
    <col width="10.33203125" customWidth="1" style="134" min="10" max="10"/>
    <col width="11.6640625" customWidth="1" style="134" min="11" max="11"/>
    <col width="11" customWidth="1" style="134" min="12" max="12"/>
    <col width="8.33203125" customWidth="1" style="134" min="13" max="19"/>
    <col width="11.1640625" customWidth="1" style="134" min="20" max="26"/>
  </cols>
  <sheetData>
    <row r="1" ht="18" customHeight="1" s="134">
      <c r="A1" s="1" t="n"/>
      <c r="B1" s="3" t="n"/>
      <c r="C1" s="1" t="n"/>
      <c r="D1" s="135" t="n">
        <v>2026</v>
      </c>
      <c r="M1" s="164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34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34" thickBot="1">
      <c r="A3" s="17" t="n"/>
      <c r="B3" s="19" t="inlineStr">
        <is>
          <t>Consulenze</t>
        </is>
      </c>
      <c r="C3" s="19">
        <f>SUM(D3:L3)</f>
        <v/>
      </c>
      <c r="D3" s="24">
        <f>SUM(D4:D134)</f>
        <v/>
      </c>
      <c r="E3" s="24">
        <f>SUM(E4:E134)</f>
        <v/>
      </c>
      <c r="F3" s="24">
        <f>SUM(F4:F134)</f>
        <v/>
      </c>
      <c r="G3" s="24">
        <f>SUM(G4:G134)</f>
        <v/>
      </c>
      <c r="H3" s="24">
        <f>SUM(H4:H134)</f>
        <v/>
      </c>
      <c r="I3" s="24">
        <f>SUM(I4:I134)</f>
        <v/>
      </c>
      <c r="J3" s="24">
        <f>SUM(J4:J134)</f>
        <v/>
      </c>
      <c r="K3" s="24">
        <f>SUM(K4:K134)</f>
        <v/>
      </c>
      <c r="L3" s="24">
        <f>SUM(L4:L134)</f>
        <v/>
      </c>
      <c r="M3" s="24">
        <f>SUM(M4:M134)</f>
        <v/>
      </c>
      <c r="N3" s="24">
        <f>SUM(N4:N134)</f>
        <v/>
      </c>
      <c r="O3" s="24">
        <f>SUM(O4:O134)</f>
        <v/>
      </c>
      <c r="P3" s="24">
        <f>SUM(P4:P134)</f>
        <v/>
      </c>
      <c r="Q3" s="24">
        <f>SUM(Q4:Q134)</f>
        <v/>
      </c>
      <c r="R3" s="24">
        <f>SUM(R4:R134)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6.5" customHeight="1" s="134" thickTop="1">
      <c r="A4" s="32" t="n">
        <v>61010191</v>
      </c>
      <c r="B4" s="33" t="inlineStr">
        <is>
          <t>Consulenza del lavoro</t>
        </is>
      </c>
      <c r="C4" s="34">
        <f>SUM(D4:L4)</f>
        <v/>
      </c>
      <c r="D4" s="35" t="n"/>
      <c r="E4" s="35" t="n"/>
      <c r="F4" s="35" t="n"/>
      <c r="G4" s="35" t="n">
        <v>2292.04</v>
      </c>
      <c r="H4" s="35" t="n"/>
      <c r="I4" s="35" t="n">
        <v>3700</v>
      </c>
      <c r="J4" s="35" t="n"/>
      <c r="K4" s="35" t="n">
        <v>0</v>
      </c>
      <c r="L4" s="35" t="n"/>
      <c r="M4" s="35" t="n"/>
      <c r="N4" s="35" t="n"/>
      <c r="O4" s="35" t="n"/>
      <c r="P4" s="35" t="n"/>
      <c r="Q4" s="35" t="n"/>
      <c r="R4" s="3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34">
      <c r="A5" s="32" t="n">
        <v>610101</v>
      </c>
      <c r="B5" s="42" t="inlineStr">
        <is>
          <t>Consulenza fiscale</t>
        </is>
      </c>
      <c r="C5" s="45">
        <f>SUM(D5:L5)</f>
        <v/>
      </c>
      <c r="D5" s="35" t="n"/>
      <c r="E5" s="35" t="n"/>
      <c r="F5" s="35" t="n"/>
      <c r="G5" s="35" t="n">
        <v>5193.6</v>
      </c>
      <c r="H5" s="35" t="n"/>
      <c r="I5" s="47" t="n">
        <v>5500</v>
      </c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34">
      <c r="A6" s="32" t="n">
        <v>610105</v>
      </c>
      <c r="B6" s="42" t="inlineStr">
        <is>
          <t>Consulenza legale</t>
        </is>
      </c>
      <c r="C6" s="45">
        <f>SUM(D6:L6)</f>
        <v/>
      </c>
      <c r="D6" s="35" t="n"/>
      <c r="E6" s="35" t="n"/>
      <c r="F6" s="35" t="n"/>
      <c r="G6" s="35" t="n">
        <v>0</v>
      </c>
      <c r="H6" s="35" t="n">
        <v>2292.04</v>
      </c>
      <c r="I6" s="47" t="n">
        <v>15000</v>
      </c>
      <c r="J6" s="59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34">
      <c r="A7" s="32" t="n">
        <v>610107</v>
      </c>
      <c r="B7" s="42" t="inlineStr">
        <is>
          <t>Consulenza notarile</t>
        </is>
      </c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34">
      <c r="A8" s="32" t="n">
        <v>1549</v>
      </c>
      <c r="B8" s="42" t="inlineStr">
        <is>
          <t>Team Work</t>
        </is>
      </c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34">
      <c r="A9" s="32" t="n">
        <v>630515</v>
      </c>
      <c r="B9" s="42" t="inlineStr">
        <is>
          <t>Polizza Generali</t>
        </is>
      </c>
      <c r="C9" s="45">
        <f>SUM(D9:L9)</f>
        <v/>
      </c>
      <c r="D9" s="47" t="n"/>
      <c r="E9" s="47" t="n"/>
      <c r="F9" s="47" t="n"/>
      <c r="G9" s="47" t="n">
        <v>9000</v>
      </c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34">
      <c r="A10" s="32" t="n"/>
      <c r="B10" s="42" t="inlineStr">
        <is>
          <t>Hospitality Project</t>
        </is>
      </c>
      <c r="C10" s="45">
        <f>SUM(D10:L10)</f>
        <v/>
      </c>
      <c r="D10" s="47" t="n"/>
      <c r="E10" s="47" t="n"/>
      <c r="F10" s="47" t="n"/>
      <c r="G10" s="47" t="n">
        <v>3416</v>
      </c>
      <c r="H10" s="47" t="n">
        <v>3416</v>
      </c>
      <c r="I10" s="47" t="n">
        <v>3416</v>
      </c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34">
      <c r="A11" s="32" t="n">
        <v>1693</v>
      </c>
      <c r="B11" s="42" t="inlineStr">
        <is>
          <t>JoAnne Dunn Photographers</t>
        </is>
      </c>
      <c r="C11" s="45">
        <f>SUM(D11:L11)</f>
        <v/>
      </c>
      <c r="D11" s="59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34">
      <c r="A12" s="32" t="n">
        <v>369</v>
      </c>
      <c r="B12" s="60" t="inlineStr">
        <is>
          <t>Creative Idea S.N.C. Di De Martino Diodato &amp; C.</t>
        </is>
      </c>
      <c r="C12" s="45">
        <f>SUM(D12:L12)</f>
        <v/>
      </c>
      <c r="D12" s="47" t="n"/>
      <c r="E12" s="47" t="n"/>
      <c r="F12" s="47" t="n"/>
      <c r="G12" s="47" t="n">
        <v>3111</v>
      </c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34">
      <c r="A13" s="32" t="n">
        <v>132</v>
      </c>
      <c r="B13" s="60" t="inlineStr">
        <is>
          <t>STUDIO QUATTRO S.R.L.</t>
        </is>
      </c>
      <c r="C13" s="45">
        <f>SUM(D13:L13)</f>
        <v/>
      </c>
      <c r="D13" s="47" t="n"/>
      <c r="E13" s="47" t="n"/>
      <c r="F13" s="47" t="n"/>
      <c r="G13" s="47" t="n">
        <v>1742.16</v>
      </c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34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34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34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34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34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34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34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32" t="n"/>
      <c r="B68" s="113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5" t="n"/>
      <c r="B69" s="110" t="n"/>
      <c r="C69" s="5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5" t="n"/>
      <c r="B70" s="110" t="n"/>
      <c r="C70" s="5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110" t="n"/>
      <c r="C71" s="5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110" t="n"/>
      <c r="C72" s="5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110" t="n"/>
      <c r="C73" s="5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110" t="n"/>
      <c r="C74" s="5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110" t="n"/>
      <c r="C75" s="5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110" t="n"/>
      <c r="C76" s="5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110" t="n"/>
      <c r="C77" s="5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110" t="n"/>
      <c r="C78" s="5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110" t="n"/>
      <c r="C79" s="5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110" t="n"/>
      <c r="C80" s="5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110" t="n"/>
      <c r="C81" s="5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110" t="n"/>
      <c r="C82" s="5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110" t="n"/>
      <c r="C83" s="5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110" t="n"/>
      <c r="C84" s="5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110" t="n"/>
      <c r="C85" s="5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110" t="n"/>
      <c r="C86" s="5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110" t="n"/>
      <c r="C87" s="5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110" t="n"/>
      <c r="C88" s="5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110" t="n"/>
      <c r="C89" s="5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110" t="n"/>
      <c r="C90" s="5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110" t="n"/>
      <c r="C91" s="5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110" t="n"/>
      <c r="C92" s="5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110" t="n"/>
      <c r="C93" s="5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110" t="n"/>
      <c r="C94" s="5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110" t="n"/>
      <c r="C95" s="5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110" t="n"/>
      <c r="C96" s="5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110" t="n"/>
      <c r="C97" s="5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110" t="n"/>
      <c r="C98" s="5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110" t="n"/>
      <c r="C99" s="5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110" t="n"/>
      <c r="C100" s="5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110" t="n"/>
      <c r="C101" s="5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110" t="n"/>
      <c r="C102" s="5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110" t="n"/>
      <c r="C103" s="5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110" t="n"/>
      <c r="C104" s="5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110" t="n"/>
      <c r="C105" s="5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110" t="n"/>
      <c r="C106" s="5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110" t="n"/>
      <c r="C107" s="5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110" t="n"/>
      <c r="C108" s="5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110" t="n"/>
      <c r="C109" s="5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110" t="n"/>
      <c r="C110" s="5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110" t="n"/>
      <c r="C111" s="5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110" t="n"/>
      <c r="C112" s="5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110" t="n"/>
      <c r="C113" s="5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110" t="n"/>
      <c r="C114" s="5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110" t="n"/>
      <c r="C115" s="5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110" t="n"/>
      <c r="C116" s="5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110" t="n"/>
      <c r="C117" s="5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110" t="n"/>
      <c r="C118" s="5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110" t="n"/>
      <c r="C119" s="5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110" t="n"/>
      <c r="C120" s="5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110" t="n"/>
      <c r="C121" s="5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110" t="n"/>
      <c r="C122" s="5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110" t="n"/>
      <c r="C123" s="5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110" t="n"/>
      <c r="C124" s="5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110" t="n"/>
      <c r="C125" s="5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110" t="n"/>
      <c r="C126" s="5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110" t="n"/>
      <c r="C127" s="5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110" t="n"/>
      <c r="C128" s="5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110" t="n"/>
      <c r="C129" s="5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110" t="n"/>
      <c r="C130" s="5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110" t="n"/>
      <c r="C131" s="5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110" t="n"/>
      <c r="C132" s="5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110" t="n"/>
      <c r="C133" s="5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110" t="n"/>
      <c r="C134" s="5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110" t="n"/>
      <c r="C135" s="5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110" t="n"/>
      <c r="C136" s="5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110" t="n"/>
      <c r="C137" s="5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110" t="n"/>
      <c r="C138" s="5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110" t="n"/>
      <c r="C139" s="5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110" t="n"/>
      <c r="C140" s="5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110" t="n"/>
      <c r="C141" s="5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110" t="n"/>
      <c r="C142" s="5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110" t="n"/>
      <c r="C143" s="5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110" t="n"/>
      <c r="C144" s="5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110" t="n"/>
      <c r="C145" s="5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110" t="n"/>
      <c r="C146" s="5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110" t="n"/>
      <c r="C147" s="5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110" t="n"/>
      <c r="C148" s="5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110" t="n"/>
      <c r="C149" s="5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110" t="n"/>
      <c r="C150" s="5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110" t="n"/>
      <c r="C151" s="5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110" t="n"/>
      <c r="C152" s="5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110" t="n"/>
      <c r="C153" s="5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110" t="n"/>
      <c r="C154" s="5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110" t="n"/>
      <c r="C155" s="5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110" t="n"/>
      <c r="C156" s="5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110" t="n"/>
      <c r="C157" s="5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110" t="n"/>
      <c r="C158" s="5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110" t="n"/>
      <c r="C159" s="5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110" t="n"/>
      <c r="C160" s="5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110" t="n"/>
      <c r="C161" s="5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110" t="n"/>
      <c r="C162" s="5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110" t="n"/>
      <c r="C163" s="5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110" t="n"/>
      <c r="C164" s="5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110" t="n"/>
      <c r="C165" s="5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110" t="n"/>
      <c r="C166" s="5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110" t="n"/>
      <c r="C167" s="5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110" t="n"/>
      <c r="C168" s="5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110" t="n"/>
      <c r="C169" s="5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110" t="n"/>
      <c r="C170" s="5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110" t="n"/>
      <c r="C171" s="5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110" t="n"/>
      <c r="C172" s="5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110" t="n"/>
      <c r="C173" s="5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110" t="n"/>
      <c r="C174" s="5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110" t="n"/>
      <c r="C175" s="5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110" t="n"/>
      <c r="C176" s="5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110" t="n"/>
      <c r="C177" s="5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110" t="n"/>
      <c r="C178" s="5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110" t="n"/>
      <c r="C179" s="5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110" t="n"/>
      <c r="C180" s="5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110" t="n"/>
      <c r="C181" s="5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110" t="n"/>
      <c r="C182" s="5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110" t="n"/>
      <c r="C183" s="5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110" t="n"/>
      <c r="C184" s="5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110" t="n"/>
      <c r="C185" s="5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110" t="n"/>
      <c r="C186" s="5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110" t="n"/>
      <c r="C187" s="5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110" t="n"/>
      <c r="C188" s="5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110" t="n"/>
      <c r="C189" s="5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110" t="n"/>
      <c r="C190" s="5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110" t="n"/>
      <c r="C191" s="5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110" t="n"/>
      <c r="C192" s="5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110" t="n"/>
      <c r="C193" s="5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110" t="n"/>
      <c r="C194" s="5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110" t="n"/>
      <c r="C195" s="5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110" t="n"/>
      <c r="C196" s="5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110" t="n"/>
      <c r="C197" s="5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110" t="n"/>
      <c r="C198" s="5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110" t="n"/>
      <c r="C199" s="5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110" t="n"/>
      <c r="C200" s="5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110" t="n"/>
      <c r="C201" s="5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110" t="n"/>
      <c r="C202" s="5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110" t="n"/>
      <c r="C203" s="5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110" t="n"/>
      <c r="C204" s="5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110" t="n"/>
      <c r="C205" s="5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110" t="n"/>
      <c r="C206" s="5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110" t="n"/>
      <c r="C207" s="5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110" t="n"/>
      <c r="C208" s="5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110" t="n"/>
      <c r="C209" s="5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110" t="n"/>
      <c r="C210" s="5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110" t="n"/>
      <c r="C211" s="5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110" t="n"/>
      <c r="C212" s="5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110" t="n"/>
      <c r="C213" s="5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110" t="n"/>
      <c r="C214" s="5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110" t="n"/>
      <c r="C215" s="5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110" t="n"/>
      <c r="C216" s="5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110" t="n"/>
      <c r="C217" s="5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110" t="n"/>
      <c r="C218" s="5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110" t="n"/>
      <c r="C219" s="5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5" t="n"/>
      <c r="C220" s="5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3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3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3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3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3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3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3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3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3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3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3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3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3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3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3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3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3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3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3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3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3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3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3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FF00"/>
    <outlinePr summaryBelow="1" summaryRight="1"/>
    <pageSetUpPr/>
  </sheetPr>
  <dimension ref="A1:Z269"/>
  <sheetViews>
    <sheetView workbookViewId="0">
      <selection activeCell="A1" sqref="A1"/>
    </sheetView>
  </sheetViews>
  <sheetFormatPr baseColWidth="10" defaultColWidth="11.1640625" defaultRowHeight="15" customHeight="1"/>
  <cols>
    <col width="8.6640625" customWidth="1" style="134" min="1" max="1"/>
    <col width="23" customWidth="1" style="134" min="2" max="2"/>
    <col width="14.6640625" bestFit="1" customWidth="1" style="134" min="3" max="3"/>
    <col hidden="1" width="7.5" customWidth="1" style="134" min="4" max="4"/>
    <col hidden="1" width="8.6640625" customWidth="1" style="134" min="5" max="5"/>
    <col hidden="1" width="12.6640625" customWidth="1" style="134" min="6" max="11"/>
    <col width="13.1640625" bestFit="1" customWidth="1" style="134" min="12" max="12"/>
    <col width="8.33203125" customWidth="1" style="134" min="13" max="19"/>
    <col width="11.1640625" customWidth="1" style="134" min="20" max="26"/>
  </cols>
  <sheetData>
    <row r="1" ht="18" customHeight="1" s="134">
      <c r="A1" s="1" t="n"/>
      <c r="B1" s="3" t="n"/>
      <c r="C1" s="1" t="n"/>
      <c r="D1" s="135" t="n">
        <v>2026</v>
      </c>
      <c r="M1" s="164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34">
      <c r="A2" s="10" t="inlineStr">
        <is>
          <t>CODICE</t>
        </is>
      </c>
      <c r="B2" s="3" t="n"/>
      <c r="C2" s="1" t="n"/>
      <c r="D2" s="114" t="inlineStr">
        <is>
          <t>APRILE</t>
        </is>
      </c>
      <c r="E2" s="114" t="inlineStr">
        <is>
          <t>MAGGIO</t>
        </is>
      </c>
      <c r="F2" s="114" t="inlineStr">
        <is>
          <t>GIUGNO</t>
        </is>
      </c>
      <c r="G2" s="114" t="inlineStr">
        <is>
          <t>LUGLIO</t>
        </is>
      </c>
      <c r="H2" s="114" t="inlineStr">
        <is>
          <t>AGOSTO</t>
        </is>
      </c>
      <c r="I2" s="114" t="inlineStr">
        <is>
          <t>SETTEMBRE</t>
        </is>
      </c>
      <c r="J2" s="114" t="inlineStr">
        <is>
          <t>OTTOBRE</t>
        </is>
      </c>
      <c r="K2" s="114" t="inlineStr">
        <is>
          <t>NOVEMBRE</t>
        </is>
      </c>
      <c r="L2" s="114" t="inlineStr">
        <is>
          <t>DICEMBRE</t>
        </is>
      </c>
      <c r="M2" s="114" t="inlineStr">
        <is>
          <t>GENNAIO</t>
        </is>
      </c>
      <c r="N2" s="114" t="inlineStr">
        <is>
          <t>FEBBRAIO</t>
        </is>
      </c>
      <c r="O2" s="114" t="inlineStr">
        <is>
          <t>MARZO</t>
        </is>
      </c>
      <c r="P2" s="114" t="inlineStr">
        <is>
          <t>APRILE</t>
        </is>
      </c>
      <c r="Q2" s="114" t="inlineStr">
        <is>
          <t>MAGGIO</t>
        </is>
      </c>
      <c r="R2" s="114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34">
      <c r="A3" s="1" t="n"/>
      <c r="B3" s="3" t="n"/>
      <c r="C3" s="1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124" t="n"/>
      <c r="P3" s="124" t="n"/>
      <c r="Q3" s="124" t="n"/>
      <c r="R3" s="124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34" thickBot="1">
      <c r="A4" s="17" t="n"/>
      <c r="B4" s="19" t="inlineStr">
        <is>
          <t>Gofimento Beni di Terzi</t>
        </is>
      </c>
      <c r="C4" s="19">
        <f>SUM(D4:L4)</f>
        <v/>
      </c>
      <c r="D4" s="29">
        <f>SUM(D5:D135)</f>
        <v/>
      </c>
      <c r="E4" s="29">
        <f>SUM(E5:E135)</f>
        <v/>
      </c>
      <c r="F4" s="29">
        <f>SUM(F5:F135)</f>
        <v/>
      </c>
      <c r="G4" s="29">
        <f>SUM(G5:G135)</f>
        <v/>
      </c>
      <c r="H4" s="29">
        <f>SUM(H5:H135)</f>
        <v/>
      </c>
      <c r="I4" s="29">
        <f>SUM(I5:I135)</f>
        <v/>
      </c>
      <c r="J4" s="29">
        <f>SUM(J5:J135)</f>
        <v/>
      </c>
      <c r="K4" s="29">
        <f>SUM(K5:K135)</f>
        <v/>
      </c>
      <c r="L4" s="29">
        <f>SUM(L5:L135)</f>
        <v/>
      </c>
      <c r="M4" s="29">
        <f>SUM(M5:M135)</f>
        <v/>
      </c>
      <c r="N4" s="29">
        <f>SUM(N5:N135)</f>
        <v/>
      </c>
      <c r="O4" s="29">
        <f>SUM(O5:O135)</f>
        <v/>
      </c>
      <c r="P4" s="29">
        <f>SUM(P5:P135)</f>
        <v/>
      </c>
      <c r="Q4" s="29">
        <f>SUM(Q5:Q135)</f>
        <v/>
      </c>
      <c r="R4" s="29">
        <f>SUM(R5:R135)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34" thickTop="1">
      <c r="A5" s="32" t="n">
        <v>651101</v>
      </c>
      <c r="B5" s="33" t="inlineStr">
        <is>
          <t>Fitto Ramo d' Azienda</t>
        </is>
      </c>
      <c r="C5" s="34">
        <f>SUM(D5:L5)</f>
        <v/>
      </c>
      <c r="D5" s="35" t="n"/>
      <c r="E5" s="35" t="n"/>
      <c r="F5" s="35" t="n"/>
      <c r="G5" s="35" t="n">
        <v>446425.69</v>
      </c>
      <c r="H5" s="35" t="n">
        <v>0</v>
      </c>
      <c r="I5" s="35" t="n"/>
      <c r="J5" s="35" t="n">
        <v>244000</v>
      </c>
      <c r="K5" s="35" t="n"/>
      <c r="L5" s="35" t="n">
        <v>730918</v>
      </c>
      <c r="M5" s="35" t="n"/>
      <c r="N5" s="35" t="n"/>
      <c r="O5" s="35" t="n"/>
      <c r="P5" s="35" t="n"/>
      <c r="Q5" s="35" t="n"/>
      <c r="R5" s="3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34">
      <c r="A6" s="32" t="n">
        <v>651101</v>
      </c>
      <c r="B6" s="42" t="inlineStr">
        <is>
          <t>Fitto AR</t>
        </is>
      </c>
      <c r="C6" s="45">
        <f>SUM(D6:L6)</f>
        <v/>
      </c>
      <c r="D6" s="47" t="n"/>
      <c r="E6" s="47" t="n"/>
      <c r="F6" s="47" t="n"/>
      <c r="G6" s="47" t="n">
        <v>60000</v>
      </c>
      <c r="H6" s="47" t="n">
        <v>60000</v>
      </c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34">
      <c r="A7" s="32" t="n">
        <v>651101</v>
      </c>
      <c r="B7" s="42" t="inlineStr">
        <is>
          <t>Fitto CVM</t>
        </is>
      </c>
      <c r="C7" s="45">
        <f>SUM(D7:L7)</f>
        <v/>
      </c>
      <c r="D7" s="47" t="n"/>
      <c r="E7" s="47" t="n"/>
      <c r="F7" s="47" t="n"/>
      <c r="G7" s="47" t="n">
        <v>100000</v>
      </c>
      <c r="H7" s="47" t="n"/>
      <c r="I7" s="47" t="n"/>
      <c r="J7" s="47" t="n"/>
      <c r="K7" s="47" t="n">
        <v>50000</v>
      </c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34">
      <c r="A8" s="32" t="n"/>
      <c r="B8" s="42" t="n"/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34">
      <c r="A9" s="32" t="n"/>
      <c r="B9" s="60" t="n"/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34">
      <c r="A10" s="32" t="n"/>
      <c r="B10" s="60" t="n"/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34">
      <c r="A11" s="32" t="n"/>
      <c r="B11" s="60" t="n"/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34">
      <c r="A12" s="32" t="n"/>
      <c r="B12" s="60" t="n"/>
      <c r="C12" s="45">
        <f>SUM(D12:L12)</f>
        <v/>
      </c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34">
      <c r="A13" s="32" t="n"/>
      <c r="B13" s="60" t="n"/>
      <c r="C13" s="45">
        <f>SUM(D13:L13)</f>
        <v/>
      </c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34">
      <c r="A14" s="32" t="n"/>
      <c r="B14" s="60" t="n"/>
      <c r="C14" s="45">
        <f>SUM(D14:L14)</f>
        <v/>
      </c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34">
      <c r="A15" s="32" t="n"/>
      <c r="B15" s="60" t="n"/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34">
      <c r="A16" s="32" t="n"/>
      <c r="B16" s="60" t="n"/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34">
      <c r="A17" s="32" t="n"/>
      <c r="B17" s="60" t="n"/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34">
      <c r="A18" s="32" t="n"/>
      <c r="B18" s="60" t="n"/>
      <c r="C18" s="45">
        <f>SUM(D18:L18)</f>
        <v/>
      </c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34">
      <c r="A19" s="32" t="n"/>
      <c r="B19" s="60" t="n"/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34">
      <c r="A20" s="32" t="n"/>
      <c r="B20" s="60" t="n"/>
      <c r="C20" s="45">
        <f>SUM(D20:L20)</f>
        <v/>
      </c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32" t="n"/>
      <c r="B21" s="60" t="n"/>
      <c r="C21" s="45">
        <f>SUM(D21:L21)</f>
        <v/>
      </c>
      <c r="D21" s="47" t="n"/>
      <c r="E21" s="47" t="n"/>
      <c r="F21" s="47" t="n"/>
      <c r="G21" s="47" t="n"/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32" t="n"/>
      <c r="B22" s="60" t="n"/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32" t="n"/>
      <c r="B23" s="60" t="n"/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32" t="n"/>
      <c r="B24" s="60" t="n"/>
      <c r="C24" s="45">
        <f>SUM(D24:L24)</f>
        <v/>
      </c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32" t="n"/>
      <c r="B67" s="60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32" t="n"/>
      <c r="B68" s="60" t="n"/>
      <c r="C68" s="45">
        <f>SUM(D68:L68)</f>
        <v/>
      </c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  <c r="Q68" s="47" t="n"/>
      <c r="R68" s="47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32" t="n"/>
      <c r="B69" s="113" t="n"/>
      <c r="C69" s="45">
        <f>SUM(D69:L69)</f>
        <v/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5" t="n"/>
      <c r="B70" s="110" t="n"/>
      <c r="C70" s="5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110" t="n"/>
      <c r="C71" s="5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110" t="n"/>
      <c r="C72" s="5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110" t="n"/>
      <c r="C73" s="5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110" t="n"/>
      <c r="C74" s="5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110" t="n"/>
      <c r="C75" s="5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110" t="n"/>
      <c r="C76" s="5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110" t="n"/>
      <c r="C77" s="5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110" t="n"/>
      <c r="C78" s="5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110" t="n"/>
      <c r="C79" s="5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110" t="n"/>
      <c r="C80" s="5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110" t="n"/>
      <c r="C81" s="5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110" t="n"/>
      <c r="C82" s="5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110" t="n"/>
      <c r="C83" s="5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110" t="n"/>
      <c r="C84" s="5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110" t="n"/>
      <c r="C85" s="5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110" t="n"/>
      <c r="C86" s="5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110" t="n"/>
      <c r="C87" s="5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110" t="n"/>
      <c r="C88" s="5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110" t="n"/>
      <c r="C89" s="5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110" t="n"/>
      <c r="C90" s="5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110" t="n"/>
      <c r="C91" s="5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110" t="n"/>
      <c r="C92" s="5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110" t="n"/>
      <c r="C93" s="5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110" t="n"/>
      <c r="C94" s="5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110" t="n"/>
      <c r="C95" s="5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110" t="n"/>
      <c r="C96" s="5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110" t="n"/>
      <c r="C97" s="5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110" t="n"/>
      <c r="C98" s="5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110" t="n"/>
      <c r="C99" s="5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110" t="n"/>
      <c r="C100" s="5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110" t="n"/>
      <c r="C101" s="5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110" t="n"/>
      <c r="C102" s="5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110" t="n"/>
      <c r="C103" s="5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110" t="n"/>
      <c r="C104" s="5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110" t="n"/>
      <c r="C105" s="5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110" t="n"/>
      <c r="C106" s="5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110" t="n"/>
      <c r="C107" s="5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110" t="n"/>
      <c r="C108" s="5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110" t="n"/>
      <c r="C109" s="5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110" t="n"/>
      <c r="C110" s="5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110" t="n"/>
      <c r="C111" s="5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110" t="n"/>
      <c r="C112" s="5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110" t="n"/>
      <c r="C113" s="5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110" t="n"/>
      <c r="C114" s="5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110" t="n"/>
      <c r="C115" s="5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110" t="n"/>
      <c r="C116" s="5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110" t="n"/>
      <c r="C117" s="5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110" t="n"/>
      <c r="C118" s="5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110" t="n"/>
      <c r="C119" s="5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110" t="n"/>
      <c r="C120" s="5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110" t="n"/>
      <c r="C121" s="5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110" t="n"/>
      <c r="C122" s="5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110" t="n"/>
      <c r="C123" s="5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110" t="n"/>
      <c r="C124" s="5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110" t="n"/>
      <c r="C125" s="5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110" t="n"/>
      <c r="C126" s="5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110" t="n"/>
      <c r="C127" s="5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110" t="n"/>
      <c r="C128" s="5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110" t="n"/>
      <c r="C129" s="5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110" t="n"/>
      <c r="C130" s="5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110" t="n"/>
      <c r="C131" s="5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110" t="n"/>
      <c r="C132" s="5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110" t="n"/>
      <c r="C133" s="5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110" t="n"/>
      <c r="C134" s="5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110" t="n"/>
      <c r="C135" s="5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110" t="n"/>
      <c r="C136" s="5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110" t="n"/>
      <c r="C137" s="5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110" t="n"/>
      <c r="C138" s="5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110" t="n"/>
      <c r="C139" s="5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110" t="n"/>
      <c r="C140" s="5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110" t="n"/>
      <c r="C141" s="5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110" t="n"/>
      <c r="C142" s="5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110" t="n"/>
      <c r="C143" s="5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110" t="n"/>
      <c r="C144" s="5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110" t="n"/>
      <c r="C145" s="5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110" t="n"/>
      <c r="C146" s="5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110" t="n"/>
      <c r="C147" s="5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110" t="n"/>
      <c r="C148" s="5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110" t="n"/>
      <c r="C149" s="5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110" t="n"/>
      <c r="C150" s="5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110" t="n"/>
      <c r="C151" s="5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110" t="n"/>
      <c r="C152" s="5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110" t="n"/>
      <c r="C153" s="5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110" t="n"/>
      <c r="C154" s="5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110" t="n"/>
      <c r="C155" s="5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110" t="n"/>
      <c r="C156" s="5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110" t="n"/>
      <c r="C157" s="5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110" t="n"/>
      <c r="C158" s="5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110" t="n"/>
      <c r="C159" s="5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110" t="n"/>
      <c r="C160" s="5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110" t="n"/>
      <c r="C161" s="5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110" t="n"/>
      <c r="C162" s="5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110" t="n"/>
      <c r="C163" s="5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110" t="n"/>
      <c r="C164" s="5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110" t="n"/>
      <c r="C165" s="5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110" t="n"/>
      <c r="C166" s="5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110" t="n"/>
      <c r="C167" s="5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110" t="n"/>
      <c r="C168" s="5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110" t="n"/>
      <c r="C169" s="5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110" t="n"/>
      <c r="C170" s="5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110" t="n"/>
      <c r="C171" s="5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110" t="n"/>
      <c r="C172" s="5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110" t="n"/>
      <c r="C173" s="5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110" t="n"/>
      <c r="C174" s="5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110" t="n"/>
      <c r="C175" s="5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110" t="n"/>
      <c r="C176" s="5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110" t="n"/>
      <c r="C177" s="5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110" t="n"/>
      <c r="C178" s="5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110" t="n"/>
      <c r="C179" s="5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110" t="n"/>
      <c r="C180" s="5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110" t="n"/>
      <c r="C181" s="5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110" t="n"/>
      <c r="C182" s="5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110" t="n"/>
      <c r="C183" s="5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110" t="n"/>
      <c r="C184" s="5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110" t="n"/>
      <c r="C185" s="5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110" t="n"/>
      <c r="C186" s="5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110" t="n"/>
      <c r="C187" s="5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110" t="n"/>
      <c r="C188" s="5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110" t="n"/>
      <c r="C189" s="5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110" t="n"/>
      <c r="C190" s="5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110" t="n"/>
      <c r="C191" s="5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110" t="n"/>
      <c r="C192" s="5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110" t="n"/>
      <c r="C193" s="5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110" t="n"/>
      <c r="C194" s="5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110" t="n"/>
      <c r="C195" s="5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110" t="n"/>
      <c r="C196" s="5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110" t="n"/>
      <c r="C197" s="5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110" t="n"/>
      <c r="C198" s="5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110" t="n"/>
      <c r="C199" s="5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110" t="n"/>
      <c r="C200" s="5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110" t="n"/>
      <c r="C201" s="5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110" t="n"/>
      <c r="C202" s="5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110" t="n"/>
      <c r="C203" s="5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110" t="n"/>
      <c r="C204" s="5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110" t="n"/>
      <c r="C205" s="5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110" t="n"/>
      <c r="C206" s="5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110" t="n"/>
      <c r="C207" s="5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110" t="n"/>
      <c r="C208" s="5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110" t="n"/>
      <c r="C209" s="5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110" t="n"/>
      <c r="C210" s="5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110" t="n"/>
      <c r="C211" s="5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110" t="n"/>
      <c r="C212" s="5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110" t="n"/>
      <c r="C213" s="5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110" t="n"/>
      <c r="C214" s="5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110" t="n"/>
      <c r="C215" s="5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110" t="n"/>
      <c r="C216" s="5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110" t="n"/>
      <c r="C217" s="5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110" t="n"/>
      <c r="C218" s="5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110" t="n"/>
      <c r="C219" s="5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110" t="n"/>
      <c r="C220" s="5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3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3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3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3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3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3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3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3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3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3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3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3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3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3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3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3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3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3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3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3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3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3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3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3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mergeCells count="1">
    <mergeCell ref="D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06666"/>
    <outlinePr summaryBelow="1" summaryRight="1"/>
    <pageSetUpPr/>
  </sheetPr>
  <dimension ref="A1:Z266"/>
  <sheetViews>
    <sheetView workbookViewId="0">
      <selection activeCell="M1" sqref="M1"/>
    </sheetView>
  </sheetViews>
  <sheetFormatPr baseColWidth="10" defaultColWidth="11.1640625" defaultRowHeight="15" customHeight="1"/>
  <cols>
    <col width="8.6640625" customWidth="1" style="134" min="1" max="1"/>
    <col width="73" customWidth="1" style="134" min="2" max="2"/>
    <col width="11.6640625" customWidth="1" style="134" min="3" max="3"/>
    <col hidden="1" width="7.5" customWidth="1" style="134" min="4" max="4"/>
    <col hidden="1" width="8.6640625" customWidth="1" style="134" min="5" max="6"/>
    <col hidden="1" width="13" customWidth="1" style="134" min="6" max="6"/>
    <col width="11.6640625" customWidth="1" style="134" min="7" max="7"/>
    <col width="10.6640625" customWidth="1" style="134" min="8" max="8"/>
    <col width="12.6640625" customWidth="1" style="134" min="9" max="9"/>
    <col width="11" bestFit="1" customWidth="1" style="134" min="10" max="10"/>
    <col width="11.6640625" customWidth="1" style="134" min="11" max="12"/>
    <col width="9.83203125" bestFit="1" customWidth="1" style="134" min="13" max="13"/>
    <col width="10.83203125" bestFit="1" customWidth="1" style="134" min="14" max="14"/>
    <col width="9.5" bestFit="1" customWidth="1" style="134" min="15" max="18"/>
    <col width="8.33203125" customWidth="1" style="134" min="19" max="19"/>
    <col width="11.1640625" customWidth="1" style="134" min="20" max="26"/>
  </cols>
  <sheetData>
    <row r="1" ht="18" customHeight="1" s="134">
      <c r="A1" s="1" t="n"/>
      <c r="B1" s="3" t="n"/>
      <c r="C1" s="1" t="n"/>
      <c r="D1" s="135" t="n">
        <v>2026</v>
      </c>
      <c r="M1" s="164" t="n">
        <v>2027</v>
      </c>
      <c r="N1" s="8" t="n"/>
      <c r="O1" s="8" t="n"/>
      <c r="P1" s="8" t="n"/>
      <c r="Q1" s="8" t="n"/>
      <c r="R1" s="8" t="n"/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34">
      <c r="A2" s="10" t="inlineStr">
        <is>
          <t>CODICE</t>
        </is>
      </c>
      <c r="B2" s="3" t="n"/>
      <c r="C2" s="1" t="n"/>
      <c r="D2" s="114" t="inlineStr">
        <is>
          <t>APRILE</t>
        </is>
      </c>
      <c r="E2" s="114" t="inlineStr">
        <is>
          <t>MAGGIO</t>
        </is>
      </c>
      <c r="F2" s="114" t="inlineStr">
        <is>
          <t>GIUGNO</t>
        </is>
      </c>
      <c r="G2" s="114" t="inlineStr">
        <is>
          <t>LUGLIO</t>
        </is>
      </c>
      <c r="H2" s="114" t="inlineStr">
        <is>
          <t>AGOSTO</t>
        </is>
      </c>
      <c r="I2" s="114" t="inlineStr">
        <is>
          <t>SETTEMBRE</t>
        </is>
      </c>
      <c r="J2" s="114" t="inlineStr">
        <is>
          <t>OTTOBRE</t>
        </is>
      </c>
      <c r="K2" s="114" t="inlineStr">
        <is>
          <t>NOVEMBRE</t>
        </is>
      </c>
      <c r="L2" s="114" t="inlineStr">
        <is>
          <t>DICEMBRE</t>
        </is>
      </c>
      <c r="M2" s="114" t="inlineStr">
        <is>
          <t>GENNAIO</t>
        </is>
      </c>
      <c r="N2" s="114" t="inlineStr">
        <is>
          <t>FEBBRAIO</t>
        </is>
      </c>
      <c r="O2" s="114" t="inlineStr">
        <is>
          <t>MARZO</t>
        </is>
      </c>
      <c r="P2" s="114" t="inlineStr">
        <is>
          <t>APRILE</t>
        </is>
      </c>
      <c r="Q2" s="114" t="inlineStr">
        <is>
          <t>MAGGIO</t>
        </is>
      </c>
      <c r="R2" s="114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5.75" customHeight="1" s="134">
      <c r="A3" s="1" t="n"/>
      <c r="B3" s="3" t="n"/>
      <c r="C3" s="1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124" t="n"/>
      <c r="P3" s="124" t="n"/>
      <c r="Q3" s="124" t="n"/>
      <c r="R3" s="124" t="n"/>
      <c r="S3" s="8" t="n"/>
      <c r="T3" s="5" t="n"/>
      <c r="U3" s="5" t="n"/>
      <c r="V3" s="5" t="n"/>
      <c r="W3" s="5" t="n"/>
      <c r="X3" s="5" t="n"/>
      <c r="Y3" s="5" t="n"/>
      <c r="Z3" s="5" t="n"/>
    </row>
    <row r="4" ht="16.5" customHeight="1" s="134" thickBot="1">
      <c r="A4" s="17" t="n"/>
      <c r="B4" s="19" t="inlineStr">
        <is>
          <t>Canoni e servizi</t>
        </is>
      </c>
      <c r="C4" s="19">
        <f>SUM(D4:L4)</f>
        <v/>
      </c>
      <c r="D4" s="29">
        <f>SUM(D5:D131)</f>
        <v/>
      </c>
      <c r="E4" s="29">
        <f>SUM(E5:E131)</f>
        <v/>
      </c>
      <c r="F4" s="29">
        <f>SUM(F5:F131)</f>
        <v/>
      </c>
      <c r="G4" s="29">
        <f>SUM(G5:G131)</f>
        <v/>
      </c>
      <c r="H4" s="29">
        <f>SUM(H5:H131)</f>
        <v/>
      </c>
      <c r="I4" s="29">
        <f>SUM(I5:I131)</f>
        <v/>
      </c>
      <c r="J4" s="29">
        <f>SUM(J5:J131)</f>
        <v/>
      </c>
      <c r="K4" s="29">
        <f>SUM(K5:K131)</f>
        <v/>
      </c>
      <c r="L4" s="29">
        <f>SUM(L5:L131)</f>
        <v/>
      </c>
      <c r="M4" s="29">
        <f>SUM(M5:M131)</f>
        <v/>
      </c>
      <c r="N4" s="29">
        <f>SUM(N5:N131)</f>
        <v/>
      </c>
      <c r="O4" s="29">
        <f>SUM(O5:O131)</f>
        <v/>
      </c>
      <c r="P4" s="29">
        <f>SUM(P5:P131)</f>
        <v/>
      </c>
      <c r="Q4" s="29">
        <f>SUM(Q5:Q131)</f>
        <v/>
      </c>
      <c r="R4" s="29">
        <f>SUM(R5:R131)</f>
        <v/>
      </c>
      <c r="S4" s="27" t="n"/>
      <c r="T4" s="5" t="n"/>
      <c r="U4" s="5" t="n"/>
      <c r="V4" s="5" t="n"/>
      <c r="W4" s="5" t="n"/>
      <c r="X4" s="5" t="n"/>
      <c r="Y4" s="5" t="n"/>
      <c r="Z4" s="5" t="n"/>
    </row>
    <row r="5" ht="16.5" customHeight="1" s="134" thickTop="1">
      <c r="A5" s="32" t="n">
        <v>12</v>
      </c>
      <c r="B5" s="33" t="inlineStr">
        <is>
          <t>Proxima Service</t>
        </is>
      </c>
      <c r="C5" s="34">
        <f>SUM(D5:L5)</f>
        <v/>
      </c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34">
      <c r="A6" s="32" t="n">
        <v>948</v>
      </c>
      <c r="B6" s="42" t="inlineStr">
        <is>
          <t>Hoxell</t>
        </is>
      </c>
      <c r="C6" s="45">
        <f>SUM(D6:L6)</f>
        <v/>
      </c>
      <c r="D6" s="59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34">
      <c r="A7" s="32" t="n">
        <v>10</v>
      </c>
      <c r="B7" s="42" t="inlineStr">
        <is>
          <t>Sistemi (E_solver)</t>
        </is>
      </c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34">
      <c r="A8" s="32" t="n"/>
      <c r="B8" s="42" t="inlineStr">
        <is>
          <t xml:space="preserve">Zucchetti </t>
        </is>
      </c>
      <c r="C8" s="45">
        <f>SUM(D8:L8)</f>
        <v/>
      </c>
      <c r="D8" s="47" t="n"/>
      <c r="E8" s="47" t="n"/>
      <c r="F8" s="47" t="n"/>
      <c r="G8" s="47" t="n">
        <v>152.5</v>
      </c>
      <c r="H8" s="47" t="n"/>
      <c r="I8" s="47" t="n"/>
      <c r="J8" s="47" t="n"/>
      <c r="K8" s="47" t="n"/>
      <c r="L8" s="47" t="n">
        <v>16600</v>
      </c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34">
      <c r="A9" s="32" t="n">
        <v>1270</v>
      </c>
      <c r="B9" s="42" t="inlineStr">
        <is>
          <t>BESTRANK SOCIETA' A</t>
        </is>
      </c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34">
      <c r="A10" s="32" t="n">
        <v>81</v>
      </c>
      <c r="B10" s="42" t="inlineStr">
        <is>
          <t>PLAN ITALIA S.R.L.</t>
        </is>
      </c>
      <c r="C10" s="45">
        <f>SUM(D10:L10)</f>
        <v/>
      </c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34">
      <c r="A11" s="32" t="n"/>
      <c r="B11" s="42" t="inlineStr">
        <is>
          <t>Altamira</t>
        </is>
      </c>
      <c r="C11" s="45">
        <f>SUM(D11:L11)</f>
        <v/>
      </c>
      <c r="D11" s="47" t="n"/>
      <c r="E11" s="47" t="n"/>
      <c r="F11" s="47" t="n"/>
      <c r="G11" s="47">
        <f>310*1.22</f>
        <v/>
      </c>
      <c r="H11" s="47" t="n">
        <v>378.2</v>
      </c>
      <c r="I11" s="47">
        <f>310*1.22</f>
        <v/>
      </c>
      <c r="J11" s="47">
        <f>310*1.22</f>
        <v/>
      </c>
      <c r="K11" s="47">
        <f>310*1.22</f>
        <v/>
      </c>
      <c r="L11" s="47">
        <f>310*1.22</f>
        <v/>
      </c>
      <c r="M11" s="47">
        <f>310*1.22</f>
        <v/>
      </c>
      <c r="N11" s="47">
        <f>310*1.22</f>
        <v/>
      </c>
      <c r="O11" s="47">
        <f>310*1.22</f>
        <v/>
      </c>
      <c r="P11" s="47">
        <f>310*1.22</f>
        <v/>
      </c>
      <c r="Q11" s="47">
        <f>310*1.22</f>
        <v/>
      </c>
      <c r="R11" s="47">
        <f>310*1.22</f>
        <v/>
      </c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34">
      <c r="A12" s="32" t="n">
        <v>750195</v>
      </c>
      <c r="B12" s="42" t="inlineStr">
        <is>
          <t>Commissioni Transato Pos</t>
        </is>
      </c>
      <c r="C12" s="45">
        <f>SUM(D12:L12)</f>
        <v/>
      </c>
      <c r="D12" s="47" t="n"/>
      <c r="E12" s="47" t="n"/>
      <c r="F12" s="47" t="n"/>
      <c r="G12" s="47" t="n">
        <v>7362.04</v>
      </c>
      <c r="H12" s="47" t="n">
        <v>813.88</v>
      </c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34">
      <c r="A13" s="32" t="n">
        <v>76</v>
      </c>
      <c r="B13" s="42" t="inlineStr">
        <is>
          <t>Soft tecnology</t>
        </is>
      </c>
      <c r="C13" s="45">
        <f>SUM(D13:L13)</f>
        <v/>
      </c>
      <c r="D13" s="47" t="n"/>
      <c r="E13" s="47" t="n"/>
      <c r="F13" s="47" t="n"/>
      <c r="G13" s="47" t="n"/>
      <c r="H13" s="47" t="n">
        <v>279.5</v>
      </c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34">
      <c r="A14" s="32" t="n">
        <v>750107</v>
      </c>
      <c r="B14" s="42" t="inlineStr">
        <is>
          <t>Commissioni e spese Bancarie Varie(Imposta di bollo/tenuta conto/bonifici/etc )</t>
        </is>
      </c>
      <c r="C14" s="45">
        <f>SUM(D14:L14)</f>
        <v/>
      </c>
      <c r="D14" s="47" t="n"/>
      <c r="E14" s="47" t="n"/>
      <c r="F14" s="47" t="n"/>
      <c r="G14" s="47" t="n"/>
      <c r="H14" s="47" t="n">
        <v>2000</v>
      </c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34">
      <c r="A15" s="32" t="n">
        <v>1076</v>
      </c>
      <c r="B15" s="125" t="inlineStr">
        <is>
          <t>Noleggio Tesla</t>
        </is>
      </c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34">
      <c r="A16" s="32" t="n">
        <v>1276</v>
      </c>
      <c r="B16" s="125" t="inlineStr">
        <is>
          <t>Alba Leasing S.P.A.</t>
        </is>
      </c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34">
      <c r="A17" s="32" t="n">
        <v>137</v>
      </c>
      <c r="B17" s="60" t="inlineStr">
        <is>
          <t>Primavera Servizi Srl</t>
        </is>
      </c>
      <c r="C17" s="45">
        <f>SUM(D17:L17)</f>
        <v/>
      </c>
      <c r="D17" s="47" t="n"/>
      <c r="E17" s="47" t="n"/>
      <c r="F17" s="47" t="n"/>
      <c r="G17" s="47" t="n"/>
      <c r="H17" s="47" t="n">
        <v>73.2</v>
      </c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34">
      <c r="A18" s="32" t="n">
        <v>630515</v>
      </c>
      <c r="B18" s="125" t="inlineStr">
        <is>
          <t>Polizza Generali</t>
        </is>
      </c>
      <c r="C18" s="45">
        <f>SUM(D18:L18)</f>
        <v/>
      </c>
      <c r="D18" s="47" t="n"/>
      <c r="E18" s="47" t="n"/>
      <c r="F18" s="47" t="n"/>
      <c r="G18" s="47" t="n">
        <v>9000</v>
      </c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34">
      <c r="A19" s="32" t="n">
        <v>52</v>
      </c>
      <c r="B19" s="60" t="inlineStr">
        <is>
          <t>Aruba</t>
        </is>
      </c>
      <c r="C19" s="45">
        <f>SUM(D19:L19)</f>
        <v/>
      </c>
      <c r="D19" s="47" t="n"/>
      <c r="E19" s="47" t="n"/>
      <c r="F19" s="47" t="n"/>
      <c r="G19" s="47" t="n">
        <v>14.52</v>
      </c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34">
      <c r="A20" s="32" t="n">
        <v>654</v>
      </c>
      <c r="B20" s="60" t="inlineStr">
        <is>
          <t>GOOGLE CLOUD ITALY S.R.L.</t>
        </is>
      </c>
      <c r="C20" s="45">
        <f>SUM(D20:L20)</f>
        <v/>
      </c>
      <c r="D20" s="47" t="n"/>
      <c r="E20" s="47" t="n"/>
      <c r="F20" s="47" t="n"/>
      <c r="G20" s="47" t="n">
        <v>24.04</v>
      </c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32" t="n">
        <v>1222</v>
      </c>
      <c r="B21" s="60" t="inlineStr">
        <is>
          <t>Pietra Di Luna Hotel - S.R.L.</t>
        </is>
      </c>
      <c r="C21" s="45">
        <f>SUM(D21:L21)</f>
        <v/>
      </c>
      <c r="D21" s="47" t="n"/>
      <c r="E21" s="47" t="n"/>
      <c r="F21" s="47" t="n"/>
      <c r="G21" s="47" t="n">
        <v>921.1</v>
      </c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32" t="n">
        <v>1010</v>
      </c>
      <c r="B22" s="60" t="inlineStr">
        <is>
          <t>VALLOUFFICIO SOLUZIONI di Zavaglia Nicola &amp; C. S.A.S.</t>
        </is>
      </c>
      <c r="C22" s="45">
        <f>SUM(D22:L22)</f>
        <v/>
      </c>
      <c r="D22" s="47" t="n"/>
      <c r="E22" s="47" t="n"/>
      <c r="F22" s="47" t="n"/>
      <c r="G22" s="47" t="n">
        <v>366</v>
      </c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32" t="n">
        <v>131</v>
      </c>
      <c r="B23" s="60" t="inlineStr">
        <is>
          <t>Amalfiweb S.r.l.s.</t>
        </is>
      </c>
      <c r="C23" s="45">
        <f>SUM(D23:L23)</f>
        <v/>
      </c>
      <c r="D23" s="47" t="n"/>
      <c r="E23" s="47" t="n"/>
      <c r="F23" s="47" t="n"/>
      <c r="G23" s="47" t="n"/>
      <c r="H23" s="47" t="n"/>
      <c r="I23" s="47" t="n">
        <v>1439.6</v>
      </c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32" t="n">
        <v>1078</v>
      </c>
      <c r="B24" s="60" t="inlineStr">
        <is>
          <t>Intesa Sanpaolo S.p.a</t>
        </is>
      </c>
      <c r="C24" s="45">
        <f>SUM(D24:L24)</f>
        <v/>
      </c>
      <c r="D24" s="47" t="n"/>
      <c r="E24" s="47" t="n"/>
      <c r="F24" s="47" t="n"/>
      <c r="G24" s="47" t="n"/>
      <c r="H24" s="47" t="n">
        <v>95.12</v>
      </c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32" t="n"/>
      <c r="B25" s="60" t="n"/>
      <c r="C25" s="45">
        <f>SUM(D25:L25)</f>
        <v/>
      </c>
      <c r="D25" s="47" t="n"/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32" t="n"/>
      <c r="B26" s="60" t="n"/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32" t="n"/>
      <c r="B27" s="60" t="n"/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32" t="n"/>
      <c r="B28" s="60" t="n"/>
      <c r="C28" s="45">
        <f>SUM(D28:L28)</f>
        <v/>
      </c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32" t="n"/>
      <c r="B29" s="60" t="n"/>
      <c r="C29" s="45">
        <f>SUM(D29:L29)</f>
        <v/>
      </c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32" t="n"/>
      <c r="B30" s="60" t="n"/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32" t="n"/>
      <c r="B31" s="60" t="n"/>
      <c r="C31" s="45">
        <f>SUM(D31:L31)</f>
        <v/>
      </c>
      <c r="D31" s="47" t="n"/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32" t="n"/>
      <c r="B32" s="60" t="n"/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32" t="n"/>
      <c r="B33" s="60" t="n"/>
      <c r="C33" s="45">
        <f>SUM(D33:L33)</f>
        <v/>
      </c>
      <c r="D33" s="47" t="n"/>
      <c r="E33" s="47" t="n"/>
      <c r="F33" s="47" t="n"/>
      <c r="G33" s="47" t="n"/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32" t="n"/>
      <c r="B34" s="60" t="n"/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32" t="n"/>
      <c r="B35" s="60" t="n"/>
      <c r="C35" s="45">
        <f>SUM(D35:L35)</f>
        <v/>
      </c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32" t="n"/>
      <c r="B36" s="60" t="n"/>
      <c r="C36" s="45">
        <f>SUM(D36:L36)</f>
        <v/>
      </c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32" t="n"/>
      <c r="B66" s="113" t="n"/>
      <c r="C66" s="45">
        <f>SUM(D66:L66)</f>
        <v/>
      </c>
      <c r="D66" s="127" t="n"/>
      <c r="E66" s="127" t="n"/>
      <c r="F66" s="127" t="n"/>
      <c r="G66" s="127" t="n"/>
      <c r="H66" s="127" t="n"/>
      <c r="I66" s="127" t="n"/>
      <c r="J66" s="127" t="n"/>
      <c r="K66" s="127" t="n"/>
      <c r="L66" s="127" t="n"/>
      <c r="M66" s="127" t="n"/>
      <c r="N66" s="127" t="n"/>
      <c r="O66" s="127" t="n"/>
      <c r="P66" s="127" t="n"/>
      <c r="Q66" s="127" t="n"/>
      <c r="R66" s="12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5" t="n"/>
      <c r="B67" s="110" t="n"/>
      <c r="C67" s="5" t="n"/>
      <c r="D67" s="110" t="n"/>
      <c r="E67" s="110" t="n"/>
      <c r="F67" s="110" t="n"/>
      <c r="G67" s="110" t="n"/>
      <c r="H67" s="110" t="n"/>
      <c r="I67" s="110" t="n"/>
      <c r="J67" s="110" t="n"/>
      <c r="K67" s="110" t="n"/>
      <c r="L67" s="110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5" t="n"/>
      <c r="B68" s="110" t="n"/>
      <c r="C68" s="5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5" t="n"/>
      <c r="B69" s="110" t="n"/>
      <c r="C69" s="5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5" t="n"/>
      <c r="B70" s="110" t="n"/>
      <c r="C70" s="5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110" t="n"/>
      <c r="C71" s="5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110" t="n"/>
      <c r="C72" s="5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110" t="n"/>
      <c r="C73" s="5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110" t="n"/>
      <c r="C74" s="5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110" t="n"/>
      <c r="C75" s="5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110" t="n"/>
      <c r="C76" s="5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110" t="n"/>
      <c r="C77" s="5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110" t="n"/>
      <c r="C78" s="5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110" t="n"/>
      <c r="C79" s="5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110" t="n"/>
      <c r="C80" s="5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110" t="n"/>
      <c r="C81" s="5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110" t="n"/>
      <c r="C82" s="5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110" t="n"/>
      <c r="C83" s="5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110" t="n"/>
      <c r="C84" s="5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110" t="n"/>
      <c r="C85" s="5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110" t="n"/>
      <c r="C86" s="5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110" t="n"/>
      <c r="C87" s="5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110" t="n"/>
      <c r="C88" s="5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110" t="n"/>
      <c r="C89" s="5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110" t="n"/>
      <c r="C90" s="5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110" t="n"/>
      <c r="C91" s="5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110" t="n"/>
      <c r="C92" s="5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110" t="n"/>
      <c r="C93" s="5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110" t="n"/>
      <c r="C94" s="5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110" t="n"/>
      <c r="C95" s="5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110" t="n"/>
      <c r="C96" s="5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110" t="n"/>
      <c r="C97" s="5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110" t="n"/>
      <c r="C98" s="5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110" t="n"/>
      <c r="C99" s="5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110" t="n"/>
      <c r="C100" s="5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110" t="n"/>
      <c r="C101" s="5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110" t="n"/>
      <c r="C102" s="5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110" t="n"/>
      <c r="C103" s="5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110" t="n"/>
      <c r="C104" s="5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110" t="n"/>
      <c r="C105" s="5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110" t="n"/>
      <c r="C106" s="5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110" t="n"/>
      <c r="C107" s="5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110" t="n"/>
      <c r="C108" s="5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110" t="n"/>
      <c r="C109" s="5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110" t="n"/>
      <c r="C110" s="5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110" t="n"/>
      <c r="C111" s="5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110" t="n"/>
      <c r="C112" s="5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110" t="n"/>
      <c r="C113" s="5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110" t="n"/>
      <c r="C114" s="5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110" t="n"/>
      <c r="C115" s="5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110" t="n"/>
      <c r="C116" s="5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110" t="n"/>
      <c r="C117" s="5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110" t="n"/>
      <c r="C118" s="5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110" t="n"/>
      <c r="C119" s="5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110" t="n"/>
      <c r="C120" s="5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110" t="n"/>
      <c r="C121" s="5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110" t="n"/>
      <c r="C122" s="5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110" t="n"/>
      <c r="C123" s="5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110" t="n"/>
      <c r="C124" s="5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110" t="n"/>
      <c r="C125" s="5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110" t="n"/>
      <c r="C126" s="5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110" t="n"/>
      <c r="C127" s="5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110" t="n"/>
      <c r="C128" s="5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110" t="n"/>
      <c r="C129" s="5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110" t="n"/>
      <c r="C130" s="5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110" t="n"/>
      <c r="C131" s="5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110" t="n"/>
      <c r="C132" s="5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110" t="n"/>
      <c r="C133" s="5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110" t="n"/>
      <c r="C134" s="5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110" t="n"/>
      <c r="C135" s="5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110" t="n"/>
      <c r="C136" s="5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110" t="n"/>
      <c r="C137" s="5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110" t="n"/>
      <c r="C138" s="5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110" t="n"/>
      <c r="C139" s="5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110" t="n"/>
      <c r="C140" s="5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110" t="n"/>
      <c r="C141" s="5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110" t="n"/>
      <c r="C142" s="5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110" t="n"/>
      <c r="C143" s="5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110" t="n"/>
      <c r="C144" s="5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110" t="n"/>
      <c r="C145" s="5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110" t="n"/>
      <c r="C146" s="5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110" t="n"/>
      <c r="C147" s="5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110" t="n"/>
      <c r="C148" s="5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110" t="n"/>
      <c r="C149" s="5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110" t="n"/>
      <c r="C150" s="5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110" t="n"/>
      <c r="C151" s="5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110" t="n"/>
      <c r="C152" s="5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110" t="n"/>
      <c r="C153" s="5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110" t="n"/>
      <c r="C154" s="5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110" t="n"/>
      <c r="C155" s="5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110" t="n"/>
      <c r="C156" s="5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110" t="n"/>
      <c r="C157" s="5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110" t="n"/>
      <c r="C158" s="5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110" t="n"/>
      <c r="C159" s="5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110" t="n"/>
      <c r="C160" s="5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110" t="n"/>
      <c r="C161" s="5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110" t="n"/>
      <c r="C162" s="5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110" t="n"/>
      <c r="C163" s="5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110" t="n"/>
      <c r="C164" s="5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110" t="n"/>
      <c r="C165" s="5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110" t="n"/>
      <c r="C166" s="5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110" t="n"/>
      <c r="C167" s="5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110" t="n"/>
      <c r="C168" s="5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110" t="n"/>
      <c r="C169" s="5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110" t="n"/>
      <c r="C170" s="5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110" t="n"/>
      <c r="C171" s="5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110" t="n"/>
      <c r="C172" s="5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110" t="n"/>
      <c r="C173" s="5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110" t="n"/>
      <c r="C174" s="5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110" t="n"/>
      <c r="C175" s="5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110" t="n"/>
      <c r="C176" s="5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110" t="n"/>
      <c r="C177" s="5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110" t="n"/>
      <c r="C178" s="5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110" t="n"/>
      <c r="C179" s="5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110" t="n"/>
      <c r="C180" s="5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110" t="n"/>
      <c r="C181" s="5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110" t="n"/>
      <c r="C182" s="5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110" t="n"/>
      <c r="C183" s="5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110" t="n"/>
      <c r="C184" s="5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110" t="n"/>
      <c r="C185" s="5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110" t="n"/>
      <c r="C186" s="5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110" t="n"/>
      <c r="C187" s="5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110" t="n"/>
      <c r="C188" s="5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110" t="n"/>
      <c r="C189" s="5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110" t="n"/>
      <c r="C190" s="5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110" t="n"/>
      <c r="C191" s="5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110" t="n"/>
      <c r="C192" s="5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110" t="n"/>
      <c r="C193" s="5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110" t="n"/>
      <c r="C194" s="5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110" t="n"/>
      <c r="C195" s="5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110" t="n"/>
      <c r="C196" s="5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110" t="n"/>
      <c r="C197" s="5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110" t="n"/>
      <c r="C198" s="5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110" t="n"/>
      <c r="C199" s="5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110" t="n"/>
      <c r="C200" s="5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110" t="n"/>
      <c r="C201" s="5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110" t="n"/>
      <c r="C202" s="5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110" t="n"/>
      <c r="C203" s="5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110" t="n"/>
      <c r="C204" s="5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110" t="n"/>
      <c r="C205" s="5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110" t="n"/>
      <c r="C206" s="5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110" t="n"/>
      <c r="C207" s="5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110" t="n"/>
      <c r="C208" s="5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110" t="n"/>
      <c r="C209" s="5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110" t="n"/>
      <c r="C210" s="5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110" t="n"/>
      <c r="C211" s="5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110" t="n"/>
      <c r="C212" s="5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110" t="n"/>
      <c r="C213" s="5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110" t="n"/>
      <c r="C214" s="5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110" t="n"/>
      <c r="C215" s="5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110" t="n"/>
      <c r="C216" s="5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110" t="n"/>
      <c r="C217" s="5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3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3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3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3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3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3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3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3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3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3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3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3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3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3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3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3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3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3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3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3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3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34"/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EA9999"/>
    <outlinePr summaryBelow="1" summaryRight="1"/>
    <pageSetUpPr/>
  </sheetPr>
  <dimension ref="A1:Z267"/>
  <sheetViews>
    <sheetView tabSelected="1" workbookViewId="0">
      <selection activeCell="K16" sqref="K16"/>
    </sheetView>
  </sheetViews>
  <sheetFormatPr baseColWidth="10" defaultColWidth="11.1640625" defaultRowHeight="15" customHeight="1"/>
  <cols>
    <col width="8.6640625" customWidth="1" style="134" min="1" max="1"/>
    <col width="53" customWidth="1" style="134" min="2" max="2"/>
    <col width="11.6640625" customWidth="1" style="134" min="3" max="3"/>
    <col hidden="1" width="7.5" customWidth="1" style="134" min="4" max="4"/>
    <col hidden="1" width="8.6640625" customWidth="1" style="134" min="5" max="5"/>
    <col hidden="1" width="11.6640625" customWidth="1" style="134" min="6" max="7"/>
    <col width="12" bestFit="1" customWidth="1" style="134" min="8" max="8"/>
    <col width="12.6640625" customWidth="1" style="134" min="9" max="9"/>
    <col width="11" bestFit="1" customWidth="1" style="134" min="10" max="10"/>
    <col width="11.6640625" customWidth="1" style="134" min="11" max="11"/>
    <col width="11" customWidth="1" style="134" min="12" max="12"/>
    <col width="8.33203125" customWidth="1" style="134" min="13" max="19"/>
    <col width="11.1640625" customWidth="1" style="134" min="20" max="26"/>
  </cols>
  <sheetData>
    <row r="1" ht="18" customHeight="1" s="134">
      <c r="A1" s="1" t="n"/>
      <c r="B1" s="3" t="n"/>
      <c r="C1" s="1" t="n"/>
      <c r="D1" s="135" t="n">
        <v>2026</v>
      </c>
      <c r="M1" s="165" t="n">
        <v>2027</v>
      </c>
      <c r="S1" s="8" t="n"/>
      <c r="T1" s="5" t="n"/>
      <c r="U1" s="5" t="n"/>
      <c r="V1" s="5" t="n"/>
      <c r="W1" s="5" t="n"/>
      <c r="X1" s="5" t="n"/>
      <c r="Y1" s="5" t="n"/>
      <c r="Z1" s="5" t="n"/>
    </row>
    <row r="2" ht="15.75" customHeight="1" s="134">
      <c r="A2" s="10" t="inlineStr">
        <is>
          <t>CODICE</t>
        </is>
      </c>
      <c r="B2" s="3" t="n"/>
      <c r="C2" s="1" t="n"/>
      <c r="D2" s="12" t="inlineStr">
        <is>
          <t>APRILE</t>
        </is>
      </c>
      <c r="E2" s="12" t="inlineStr">
        <is>
          <t>MAGGIO</t>
        </is>
      </c>
      <c r="F2" s="12" t="inlineStr">
        <is>
          <t>GIUGNO</t>
        </is>
      </c>
      <c r="G2" s="12" t="inlineStr">
        <is>
          <t>LUGLIO</t>
        </is>
      </c>
      <c r="H2" s="12" t="inlineStr">
        <is>
          <t>AGOSTO</t>
        </is>
      </c>
      <c r="I2" s="12" t="inlineStr">
        <is>
          <t>SETTEMBRE</t>
        </is>
      </c>
      <c r="J2" s="12" t="inlineStr">
        <is>
          <t>OTTOBRE</t>
        </is>
      </c>
      <c r="K2" s="12" t="inlineStr">
        <is>
          <t>NOVEMBRE</t>
        </is>
      </c>
      <c r="L2" s="12" t="inlineStr">
        <is>
          <t>DICEMBRE</t>
        </is>
      </c>
      <c r="M2" s="12" t="inlineStr">
        <is>
          <t>GENNAIO</t>
        </is>
      </c>
      <c r="N2" s="12" t="inlineStr">
        <is>
          <t>FEBBRAIO</t>
        </is>
      </c>
      <c r="O2" s="12" t="inlineStr">
        <is>
          <t>MARZO</t>
        </is>
      </c>
      <c r="P2" s="12" t="inlineStr">
        <is>
          <t>APRILE</t>
        </is>
      </c>
      <c r="Q2" s="12" t="inlineStr">
        <is>
          <t>MAGGIO</t>
        </is>
      </c>
      <c r="R2" s="12" t="inlineStr">
        <is>
          <t>GIUGNO</t>
        </is>
      </c>
      <c r="S2" s="8" t="n"/>
      <c r="T2" s="5" t="n"/>
      <c r="U2" s="5" t="n"/>
      <c r="V2" s="5" t="n"/>
      <c r="W2" s="5" t="n"/>
      <c r="X2" s="5" t="n"/>
      <c r="Y2" s="5" t="n"/>
      <c r="Z2" s="5" t="n"/>
    </row>
    <row r="3" ht="16.5" customHeight="1" s="134" thickBot="1">
      <c r="A3" s="17" t="n"/>
      <c r="B3" s="19" t="inlineStr">
        <is>
          <t>Variee ed Eventuali</t>
        </is>
      </c>
      <c r="C3" s="19">
        <f>SUM(D3:L3)</f>
        <v/>
      </c>
      <c r="D3" s="24">
        <f>SUM(D4:D133)</f>
        <v/>
      </c>
      <c r="E3" s="24">
        <f>SUM(E4:E133)</f>
        <v/>
      </c>
      <c r="F3" s="24">
        <f>SUM(F4:F133)</f>
        <v/>
      </c>
      <c r="G3" s="24">
        <f>SUM(G4:G133)</f>
        <v/>
      </c>
      <c r="H3" s="24">
        <f>SUM(H4:H133)</f>
        <v/>
      </c>
      <c r="I3" s="24">
        <f>SUM(I4:I133)</f>
        <v/>
      </c>
      <c r="J3" s="24">
        <f>SUM(J4:J133)</f>
        <v/>
      </c>
      <c r="K3" s="24">
        <f>SUM(K4:K133)</f>
        <v/>
      </c>
      <c r="L3" s="24">
        <f>SUM(L4:L133)</f>
        <v/>
      </c>
      <c r="M3" s="24">
        <f>SUM(M4:M133)</f>
        <v/>
      </c>
      <c r="N3" s="24">
        <f>SUM(N4:N133)</f>
        <v/>
      </c>
      <c r="O3" s="24">
        <f>SUM(O4:O133)</f>
        <v/>
      </c>
      <c r="P3" s="24">
        <f>SUM(P4:P133)</f>
        <v/>
      </c>
      <c r="Q3" s="24">
        <f>SUM(Q4:Q133)</f>
        <v/>
      </c>
      <c r="R3" s="24">
        <f>SUM(R4:R133)</f>
        <v/>
      </c>
      <c r="S3" s="27" t="n"/>
      <c r="T3" s="5" t="n"/>
      <c r="U3" s="5" t="n"/>
      <c r="V3" s="5" t="n"/>
      <c r="W3" s="5" t="n"/>
      <c r="X3" s="5" t="n"/>
      <c r="Y3" s="5" t="n"/>
      <c r="Z3" s="5" t="n"/>
    </row>
    <row r="4" ht="15.75" customHeight="1" s="134" thickTop="1">
      <c r="A4" s="32" t="n">
        <v>650107</v>
      </c>
      <c r="B4" s="126" t="inlineStr">
        <is>
          <t>Spese Condominiali</t>
        </is>
      </c>
      <c r="C4" s="45">
        <f>SUM(D4:L4)</f>
        <v/>
      </c>
      <c r="D4" s="47" t="n"/>
      <c r="E4" s="47" t="n"/>
      <c r="F4" s="47" t="n"/>
      <c r="G4" s="47" t="n"/>
      <c r="H4" s="47" t="n">
        <v>13534.88</v>
      </c>
      <c r="I4" s="47" t="n">
        <v>6767.44</v>
      </c>
      <c r="J4" s="47" t="n">
        <v>6767.44</v>
      </c>
      <c r="K4" s="47" t="n">
        <v>6767.44</v>
      </c>
      <c r="L4" s="47" t="n">
        <v>6767.44</v>
      </c>
      <c r="M4" s="47" t="n"/>
      <c r="N4" s="47" t="n"/>
      <c r="O4" s="47" t="n"/>
      <c r="P4" s="47" t="n"/>
      <c r="Q4" s="47" t="n"/>
      <c r="R4" s="47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34">
      <c r="A5" s="32" t="n">
        <v>1080</v>
      </c>
      <c r="B5" s="60" t="inlineStr">
        <is>
          <t>AUTOSTRADE PER L'ITALIA S.P.A.</t>
        </is>
      </c>
      <c r="C5" s="45">
        <f>SUM(D5:L5)</f>
        <v/>
      </c>
      <c r="D5" s="47" t="n"/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34">
      <c r="A6" s="32" t="n">
        <v>795</v>
      </c>
      <c r="B6" s="60" t="inlineStr">
        <is>
          <t>DEL RISPARMIO</t>
        </is>
      </c>
      <c r="C6" s="45">
        <f>SUM(D6:L6)</f>
        <v/>
      </c>
      <c r="D6" s="47" t="n"/>
      <c r="E6" s="47" t="n"/>
      <c r="F6" s="47" t="n"/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34">
      <c r="A7" s="32" t="n">
        <v>1625</v>
      </c>
      <c r="B7" s="60" t="inlineStr">
        <is>
          <t>EDILIZIA ED</t>
        </is>
      </c>
      <c r="C7" s="45">
        <f>SUM(D7:L7)</f>
        <v/>
      </c>
      <c r="D7" s="47" t="n"/>
      <c r="E7" s="47" t="n"/>
      <c r="F7" s="47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34">
      <c r="A8" s="32" t="n">
        <v>127</v>
      </c>
      <c r="B8" s="60" t="inlineStr">
        <is>
          <t>FEIO S.R.L.</t>
        </is>
      </c>
      <c r="C8" s="45">
        <f>SUM(D8:L8)</f>
        <v/>
      </c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34">
      <c r="A9" s="32" t="n">
        <v>647</v>
      </c>
      <c r="B9" s="60" t="inlineStr">
        <is>
          <t>H &amp; M HENNES &amp; MAURITZ S.R.L.</t>
        </is>
      </c>
      <c r="C9" s="45">
        <f>SUM(D9:L9)</f>
        <v/>
      </c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34">
      <c r="A10" s="32" t="n">
        <v>1629</v>
      </c>
      <c r="B10" s="60" t="inlineStr">
        <is>
          <t>Mana  srls</t>
        </is>
      </c>
      <c r="C10" s="45">
        <f>SUM(D10:L10)</f>
        <v/>
      </c>
      <c r="D10" s="47" t="n"/>
      <c r="E10" s="47" t="n"/>
      <c r="F10" s="47" t="n"/>
      <c r="G10" s="47" t="n">
        <v>1650</v>
      </c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34">
      <c r="A11" s="32" t="n">
        <v>1626</v>
      </c>
      <c r="B11" s="60" t="inlineStr">
        <is>
          <t>ROSANTO S.R.L.</t>
        </is>
      </c>
      <c r="C11" s="45">
        <f>SUM(D11:L11)</f>
        <v/>
      </c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34">
      <c r="A12" s="32" t="n">
        <v>1638</v>
      </c>
      <c r="B12" s="60" t="inlineStr">
        <is>
          <t>CENTRO MODA S.R.L.</t>
        </is>
      </c>
      <c r="C12" s="45">
        <f>SUM(D12:L12)</f>
        <v/>
      </c>
      <c r="D12" s="47" t="n"/>
      <c r="E12" s="47" t="n"/>
      <c r="F12" s="47" t="n"/>
      <c r="G12" s="47" t="n">
        <v>1997.01</v>
      </c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34">
      <c r="A13" s="32" t="n">
        <v>1646</v>
      </c>
      <c r="B13" s="60" t="inlineStr">
        <is>
          <t>DIECI S.R.L.S.</t>
        </is>
      </c>
      <c r="C13" s="45">
        <f>SUM(D13:L13)</f>
        <v/>
      </c>
      <c r="D13" s="47" t="n"/>
      <c r="E13" s="47" t="n"/>
      <c r="F13" s="47" t="n"/>
      <c r="G13" s="47" t="n">
        <v>198.01</v>
      </c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34">
      <c r="A14" s="32" t="n">
        <v>1647</v>
      </c>
      <c r="B14" s="60" t="inlineStr">
        <is>
          <t>HAIR GALLERY EUROPE SRL</t>
        </is>
      </c>
      <c r="C14" s="45">
        <f>SUM(D14:L14)</f>
        <v/>
      </c>
      <c r="D14" s="47" t="n"/>
      <c r="E14" s="47" t="n"/>
      <c r="F14" s="47" t="n"/>
      <c r="G14" s="47" t="n">
        <v>15.84</v>
      </c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34">
      <c r="A15" s="32" t="n">
        <v>179</v>
      </c>
      <c r="B15" s="60" t="inlineStr">
        <is>
          <t>FERRIGNO MARIA C S N C</t>
        </is>
      </c>
      <c r="C15" s="45">
        <f>SUM(D15:L15)</f>
        <v/>
      </c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34">
      <c r="A16" s="32" t="n">
        <v>744</v>
      </c>
      <c r="B16" s="60" t="inlineStr">
        <is>
          <t>Nola Ferramenta Srl</t>
        </is>
      </c>
      <c r="C16" s="45">
        <f>SUM(D16:L16)</f>
        <v/>
      </c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34">
      <c r="A17" s="32" t="n">
        <v>1036</v>
      </c>
      <c r="B17" s="60" t="inlineStr">
        <is>
          <t>Re Denari di Marco Oliva &amp; C. Sas</t>
        </is>
      </c>
      <c r="C17" s="45">
        <f>SUM(D17:L17)</f>
        <v/>
      </c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47" t="n"/>
      <c r="P17" s="47" t="n"/>
      <c r="Q17" s="47" t="n"/>
      <c r="R17" s="47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34">
      <c r="A18" s="32" t="n">
        <v>70</v>
      </c>
      <c r="B18" s="60" t="inlineStr">
        <is>
          <t>MAGALDI LIFE SRL SOC. UNIP.</t>
        </is>
      </c>
      <c r="C18" s="45">
        <f>SUM(D18:L18)</f>
        <v/>
      </c>
      <c r="D18" s="47" t="n"/>
      <c r="E18" s="47" t="n"/>
      <c r="F18" s="47" t="n"/>
      <c r="G18" s="47" t="n">
        <v>206.47</v>
      </c>
      <c r="H18" s="47" t="n">
        <v>80.08</v>
      </c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34">
      <c r="A19" s="32" t="n">
        <v>1696</v>
      </c>
      <c r="B19" s="60" t="inlineStr">
        <is>
          <t>READYPRINT DI PIPITONE BRUNO</t>
        </is>
      </c>
      <c r="C19" s="45">
        <f>SUM(D19:L19)</f>
        <v/>
      </c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34">
      <c r="A20" s="32" t="n">
        <v>170</v>
      </c>
      <c r="B20" s="60" t="inlineStr">
        <is>
          <t>Leroy Merlin Italia srl</t>
        </is>
      </c>
      <c r="C20" s="45">
        <f>SUM(D20:L20)</f>
        <v/>
      </c>
      <c r="D20" s="47" t="n"/>
      <c r="E20" s="47" t="n"/>
      <c r="F20" s="47" t="n"/>
      <c r="G20" s="47" t="n">
        <v>81.88</v>
      </c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34">
      <c r="A21" s="32" t="n">
        <v>109</v>
      </c>
      <c r="B21" s="60" t="inlineStr">
        <is>
          <t>MEDIAMARKET S.P.A. CON SOCIO UNICO</t>
        </is>
      </c>
      <c r="C21" s="45">
        <f>SUM(D21:L21)</f>
        <v/>
      </c>
      <c r="D21" s="47" t="n"/>
      <c r="E21" s="47" t="n"/>
      <c r="F21" s="47" t="n"/>
      <c r="G21" s="47" t="n">
        <v>213.88</v>
      </c>
      <c r="H21" s="47" t="n"/>
      <c r="I21" s="47" t="n"/>
      <c r="J21" s="47" t="n"/>
      <c r="K21" s="47" t="n"/>
      <c r="L21" s="47" t="n"/>
      <c r="M21" s="47" t="n"/>
      <c r="N21" s="47" t="n"/>
      <c r="O21" s="47" t="n"/>
      <c r="P21" s="47" t="n"/>
      <c r="Q21" s="47" t="n"/>
      <c r="R21" s="47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34">
      <c r="A22" s="32" t="n">
        <v>123</v>
      </c>
      <c r="B22" s="60" t="inlineStr">
        <is>
          <t>PREGIS S.P.A.</t>
        </is>
      </c>
      <c r="C22" s="45">
        <f>SUM(D22:L22)</f>
        <v/>
      </c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34">
      <c r="A23" s="32" t="n">
        <v>1183</v>
      </c>
      <c r="B23" s="60" t="inlineStr">
        <is>
          <t>ADRA S.R.L.</t>
        </is>
      </c>
      <c r="C23" s="45">
        <f>SUM(D23:L23)</f>
        <v/>
      </c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34">
      <c r="A24" s="32" t="n">
        <v>618</v>
      </c>
      <c r="B24" s="60" t="inlineStr">
        <is>
          <t>Apple Retail Italia</t>
        </is>
      </c>
      <c r="C24" s="45">
        <f>SUM(D24:L24)</f>
        <v/>
      </c>
      <c r="D24" s="47" t="n"/>
      <c r="E24" s="47" t="n"/>
      <c r="F24" s="47" t="n"/>
      <c r="G24" s="47" t="n">
        <v>22.5</v>
      </c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34">
      <c r="A25" s="32" t="n">
        <v>1724</v>
      </c>
      <c r="B25" s="60" t="inlineStr">
        <is>
          <t>D.L. Brothers</t>
        </is>
      </c>
      <c r="C25" s="45">
        <f>SUM(D25:L25)</f>
        <v/>
      </c>
      <c r="D25" s="47" t="n"/>
      <c r="E25" s="47" t="n"/>
      <c r="F25" s="47" t="n"/>
      <c r="G25" s="47" t="n">
        <v>296.56</v>
      </c>
      <c r="H25" s="47" t="n"/>
      <c r="I25" s="47" t="n"/>
      <c r="J25" s="47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34">
      <c r="A26" s="32" t="n">
        <v>1748</v>
      </c>
      <c r="B26" s="60" t="inlineStr">
        <is>
          <t>Doctor Spy Societa' A Responsabilita' Limitata</t>
        </is>
      </c>
      <c r="C26" s="45">
        <f>SUM(D26:L26)</f>
        <v/>
      </c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34">
      <c r="A27" s="32" t="n">
        <v>1773</v>
      </c>
      <c r="B27" s="60" t="inlineStr">
        <is>
          <t>Gruppo Adam s.r.l.</t>
        </is>
      </c>
      <c r="C27" s="45">
        <f>SUM(D27:L27)</f>
        <v/>
      </c>
      <c r="D27" s="47" t="n"/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7" t="n"/>
      <c r="O27" s="47" t="n"/>
      <c r="P27" s="47" t="n"/>
      <c r="Q27" s="47" t="n"/>
      <c r="R27" s="47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34">
      <c r="A28" s="32" t="n">
        <v>1768</v>
      </c>
      <c r="B28" s="60" t="inlineStr">
        <is>
          <t>I.R.P.S. Srl</t>
        </is>
      </c>
      <c r="C28" s="45">
        <f>SUM(D28:L28)</f>
        <v/>
      </c>
      <c r="D28" s="47" t="n"/>
      <c r="E28" s="47" t="n"/>
      <c r="F28" s="47" t="n"/>
      <c r="G28" s="47" t="n">
        <v>599.5</v>
      </c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34">
      <c r="A29" s="32" t="n">
        <v>231</v>
      </c>
      <c r="B29" s="60" t="inlineStr">
        <is>
          <t>Ikea Italia Retail Srl</t>
        </is>
      </c>
      <c r="C29" s="45">
        <f>SUM(D29:L29)</f>
        <v/>
      </c>
      <c r="D29" s="47" t="n"/>
      <c r="E29" s="47" t="n"/>
      <c r="F29" s="47" t="n"/>
      <c r="G29" s="47" t="n">
        <v>1039</v>
      </c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34">
      <c r="A30" s="32" t="n">
        <v>1752</v>
      </c>
      <c r="B30" s="60" t="inlineStr">
        <is>
          <t>Lo Scoglio Dei F.Lli De Simone S.R.L.</t>
        </is>
      </c>
      <c r="C30" s="45">
        <f>SUM(D30:L30)</f>
        <v/>
      </c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34">
      <c r="A31" s="32" t="n">
        <v>1202</v>
      </c>
      <c r="B31" s="60" t="inlineStr">
        <is>
          <t>Nila S.R.L.</t>
        </is>
      </c>
      <c r="C31" s="45">
        <f>SUM(D31:L31)</f>
        <v/>
      </c>
      <c r="D31" s="47" t="n"/>
      <c r="E31" s="47" t="n"/>
      <c r="F31" s="47" t="n"/>
      <c r="G31" s="47" t="n">
        <v>782.2</v>
      </c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34">
      <c r="A32" s="32" t="n">
        <v>1772</v>
      </c>
      <c r="B32" s="60" t="inlineStr">
        <is>
          <t>Propac S.R.L.</t>
        </is>
      </c>
      <c r="C32" s="45">
        <f>SUM(D32:L32)</f>
        <v/>
      </c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34">
      <c r="A33" s="32" t="n">
        <v>797</v>
      </c>
      <c r="B33" s="60" t="inlineStr">
        <is>
          <t>Puntoffice Di Cardarelli Rita</t>
        </is>
      </c>
      <c r="C33" s="45">
        <f>SUM(D33:L33)</f>
        <v/>
      </c>
      <c r="D33" s="47" t="n"/>
      <c r="E33" s="47" t="n"/>
      <c r="F33" s="47" t="n"/>
      <c r="G33" s="47" t="n">
        <v>58</v>
      </c>
      <c r="H33" s="47" t="n"/>
      <c r="I33" s="47" t="n"/>
      <c r="J33" s="47" t="n"/>
      <c r="K33" s="47" t="n"/>
      <c r="L33" s="47" t="n"/>
      <c r="M33" s="47" t="n"/>
      <c r="N33" s="47" t="n"/>
      <c r="O33" s="47" t="n"/>
      <c r="P33" s="47" t="n"/>
      <c r="Q33" s="47" t="n"/>
      <c r="R33" s="47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34">
      <c r="A34" s="32" t="n">
        <v>980</v>
      </c>
      <c r="B34" s="60" t="inlineStr">
        <is>
          <t>Ristorante O Padrone Do'Mare Di De Siano Giacinto &amp; C. Snc</t>
        </is>
      </c>
      <c r="C34" s="45">
        <f>SUM(D34:L34)</f>
        <v/>
      </c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34">
      <c r="A35" s="32" t="n">
        <v>1298</v>
      </c>
      <c r="B35" s="60" t="inlineStr">
        <is>
          <t>Apicella Lorenzo</t>
        </is>
      </c>
      <c r="C35" s="45">
        <f>SUM(D35:L35)</f>
        <v/>
      </c>
      <c r="D35" s="47" t="n"/>
      <c r="E35" s="47" t="n"/>
      <c r="F35" s="47" t="n"/>
      <c r="G35" s="47" t="n">
        <v>700</v>
      </c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34">
      <c r="A36" s="32" t="n">
        <v>734</v>
      </c>
      <c r="B36" s="60" t="inlineStr">
        <is>
          <t>LEONE S.R.L. Via della Dogana 25</t>
        </is>
      </c>
      <c r="C36" s="45">
        <f>SUM(D36:L36)</f>
        <v/>
      </c>
      <c r="D36" s="47" t="n"/>
      <c r="E36" s="47" t="n"/>
      <c r="F36" s="47" t="n"/>
      <c r="G36" s="47" t="n">
        <v>362.89</v>
      </c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34">
      <c r="A37" s="32" t="n"/>
      <c r="B37" s="60" t="n"/>
      <c r="C37" s="45">
        <f>SUM(D37:L37)</f>
        <v/>
      </c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34">
      <c r="A38" s="32" t="n"/>
      <c r="B38" s="60" t="n"/>
      <c r="C38" s="45">
        <f>SUM(D38:L38)</f>
        <v/>
      </c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34">
      <c r="A39" s="32" t="n"/>
      <c r="B39" s="60" t="n"/>
      <c r="C39" s="45">
        <f>SUM(D39:L39)</f>
        <v/>
      </c>
      <c r="D39" s="47" t="n"/>
      <c r="E39" s="47" t="n"/>
      <c r="F39" s="47" t="n"/>
      <c r="G39" s="47" t="n"/>
      <c r="H39" s="47" t="n"/>
      <c r="I39" s="47" t="n"/>
      <c r="J39" s="47" t="n"/>
      <c r="K39" s="47" t="n"/>
      <c r="L39" s="47" t="n"/>
      <c r="M39" s="47" t="n"/>
      <c r="N39" s="47" t="n"/>
      <c r="O39" s="47" t="n"/>
      <c r="P39" s="47" t="n"/>
      <c r="Q39" s="47" t="n"/>
      <c r="R39" s="47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34">
      <c r="A40" s="32" t="n"/>
      <c r="B40" s="60" t="n"/>
      <c r="C40" s="45">
        <f>SUM(D40:L40)</f>
        <v/>
      </c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34">
      <c r="A41" s="32" t="n"/>
      <c r="B41" s="60" t="n"/>
      <c r="C41" s="45">
        <f>SUM(D41:L41)</f>
        <v/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34">
      <c r="A42" s="32" t="n"/>
      <c r="B42" s="60" t="n"/>
      <c r="C42" s="45">
        <f>SUM(D42:L42)</f>
        <v/>
      </c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34">
      <c r="A43" s="32" t="n"/>
      <c r="B43" s="60" t="n"/>
      <c r="C43" s="45">
        <f>SUM(D43:L43)</f>
        <v/>
      </c>
      <c r="D43" s="47" t="n"/>
      <c r="E43" s="47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47" t="n"/>
      <c r="P43" s="47" t="n"/>
      <c r="Q43" s="47" t="n"/>
      <c r="R43" s="47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34">
      <c r="A44" s="32" t="n"/>
      <c r="B44" s="60" t="n"/>
      <c r="C44" s="45">
        <f>SUM(D44:L44)</f>
        <v/>
      </c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34">
      <c r="A45" s="32" t="n"/>
      <c r="B45" s="60" t="n"/>
      <c r="C45" s="45">
        <f>SUM(D45:L45)</f>
        <v/>
      </c>
      <c r="D45" s="47" t="n"/>
      <c r="E45" s="47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34">
      <c r="A46" s="32" t="n"/>
      <c r="B46" s="60" t="n"/>
      <c r="C46" s="45">
        <f>SUM(D46:L46)</f>
        <v/>
      </c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34">
      <c r="A47" s="32" t="n"/>
      <c r="B47" s="60" t="n"/>
      <c r="C47" s="45">
        <f>SUM(D47:L47)</f>
        <v/>
      </c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34">
      <c r="A48" s="32" t="n"/>
      <c r="B48" s="60" t="n"/>
      <c r="C48" s="45">
        <f>SUM(D48:L48)</f>
        <v/>
      </c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34">
      <c r="A49" s="32" t="n"/>
      <c r="B49" s="60" t="n"/>
      <c r="C49" s="45">
        <f>SUM(D49:L49)</f>
        <v/>
      </c>
      <c r="D49" s="47" t="n"/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34">
      <c r="A50" s="32" t="n"/>
      <c r="B50" s="60" t="n"/>
      <c r="C50" s="45">
        <f>SUM(D50:L50)</f>
        <v/>
      </c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34">
      <c r="A51" s="32" t="n"/>
      <c r="B51" s="60" t="n"/>
      <c r="C51" s="45">
        <f>SUM(D51:L51)</f>
        <v/>
      </c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  <c r="Q51" s="47" t="n"/>
      <c r="R51" s="47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34">
      <c r="A52" s="32" t="n"/>
      <c r="B52" s="60" t="n"/>
      <c r="C52" s="45">
        <f>SUM(D52:L52)</f>
        <v/>
      </c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34">
      <c r="A53" s="32" t="n"/>
      <c r="B53" s="60" t="n"/>
      <c r="C53" s="45">
        <f>SUM(D53:L53)</f>
        <v/>
      </c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  <c r="Q53" s="47" t="n"/>
      <c r="R53" s="47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34">
      <c r="A54" s="32" t="n"/>
      <c r="B54" s="60" t="n"/>
      <c r="C54" s="45">
        <f>SUM(D54:L54)</f>
        <v/>
      </c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34">
      <c r="A55" s="32" t="n"/>
      <c r="B55" s="60" t="n"/>
      <c r="C55" s="45">
        <f>SUM(D55:L55)</f>
        <v/>
      </c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  <c r="Q55" s="47" t="n"/>
      <c r="R55" s="47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34">
      <c r="A56" s="32" t="n"/>
      <c r="B56" s="60" t="n"/>
      <c r="C56" s="45">
        <f>SUM(D56:L56)</f>
        <v/>
      </c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34">
      <c r="A57" s="32" t="n"/>
      <c r="B57" s="60" t="n"/>
      <c r="C57" s="45">
        <f>SUM(D57:L57)</f>
        <v/>
      </c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34">
      <c r="A58" s="32" t="n"/>
      <c r="B58" s="60" t="n"/>
      <c r="C58" s="45">
        <f>SUM(D58:L58)</f>
        <v/>
      </c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  <c r="Q58" s="47" t="n"/>
      <c r="R58" s="47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34">
      <c r="A59" s="32" t="n"/>
      <c r="B59" s="60" t="n"/>
      <c r="C59" s="45">
        <f>SUM(D59:L59)</f>
        <v/>
      </c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  <c r="Q59" s="47" t="n"/>
      <c r="R59" s="47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34">
      <c r="A60" s="32" t="n"/>
      <c r="B60" s="60" t="n"/>
      <c r="C60" s="45">
        <f>SUM(D60:L60)</f>
        <v/>
      </c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  <c r="Q60" s="47" t="n"/>
      <c r="R60" s="47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34">
      <c r="A61" s="32" t="n"/>
      <c r="B61" s="60" t="n"/>
      <c r="C61" s="45">
        <f>SUM(D61:L61)</f>
        <v/>
      </c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  <c r="Q61" s="47" t="n"/>
      <c r="R61" s="47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34">
      <c r="A62" s="32" t="n"/>
      <c r="B62" s="60" t="n"/>
      <c r="C62" s="45">
        <f>SUM(D62:L62)</f>
        <v/>
      </c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34">
      <c r="A63" s="32" t="n"/>
      <c r="B63" s="60" t="n"/>
      <c r="C63" s="45">
        <f>SUM(D63:L63)</f>
        <v/>
      </c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  <c r="Q63" s="47" t="n"/>
      <c r="R63" s="47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34">
      <c r="A64" s="32" t="n"/>
      <c r="B64" s="60" t="n"/>
      <c r="C64" s="45">
        <f>SUM(D64:L64)</f>
        <v/>
      </c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34">
      <c r="A65" s="32" t="n"/>
      <c r="B65" s="60" t="n"/>
      <c r="C65" s="45">
        <f>SUM(D65:L65)</f>
        <v/>
      </c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  <c r="Q65" s="47" t="n"/>
      <c r="R65" s="47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34">
      <c r="A66" s="32" t="n"/>
      <c r="B66" s="60" t="n"/>
      <c r="C66" s="45">
        <f>SUM(D66:L66)</f>
        <v/>
      </c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  <c r="Q66" s="47" t="n"/>
      <c r="R66" s="47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34">
      <c r="A67" s="32" t="n"/>
      <c r="B67" s="113" t="n"/>
      <c r="C67" s="45">
        <f>SUM(D67:L67)</f>
        <v/>
      </c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  <c r="Q67" s="47" t="n"/>
      <c r="R67" s="47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34">
      <c r="A68" s="5" t="n"/>
      <c r="B68" s="110" t="n"/>
      <c r="C68" s="5" t="n"/>
      <c r="D68" s="110" t="n"/>
      <c r="E68" s="110" t="n"/>
      <c r="F68" s="110" t="n"/>
      <c r="G68" s="110" t="n"/>
      <c r="H68" s="110" t="n"/>
      <c r="I68" s="110" t="n"/>
      <c r="J68" s="110" t="n"/>
      <c r="K68" s="110" t="n"/>
      <c r="L68" s="110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34">
      <c r="A69" s="5" t="n"/>
      <c r="B69" s="110" t="n"/>
      <c r="C69" s="5" t="n"/>
      <c r="D69" s="110" t="n"/>
      <c r="E69" s="110" t="n"/>
      <c r="F69" s="110" t="n"/>
      <c r="G69" s="110" t="n"/>
      <c r="H69" s="110" t="n"/>
      <c r="I69" s="110" t="n"/>
      <c r="J69" s="110" t="n"/>
      <c r="K69" s="110" t="n"/>
      <c r="L69" s="110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34">
      <c r="A70" s="5" t="n"/>
      <c r="B70" s="110" t="n"/>
      <c r="C70" s="5" t="n"/>
      <c r="D70" s="110" t="n"/>
      <c r="E70" s="110" t="n"/>
      <c r="F70" s="110" t="n"/>
      <c r="G70" s="110" t="n"/>
      <c r="H70" s="110" t="n"/>
      <c r="I70" s="110" t="n"/>
      <c r="J70" s="110" t="n"/>
      <c r="K70" s="110" t="n"/>
      <c r="L70" s="110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34">
      <c r="A71" s="5" t="n"/>
      <c r="B71" s="110" t="n"/>
      <c r="C71" s="5" t="n"/>
      <c r="D71" s="110" t="n"/>
      <c r="E71" s="110" t="n"/>
      <c r="F71" s="110" t="n"/>
      <c r="G71" s="110" t="n"/>
      <c r="H71" s="110" t="n"/>
      <c r="I71" s="110" t="n"/>
      <c r="J71" s="110" t="n"/>
      <c r="K71" s="110" t="n"/>
      <c r="L71" s="110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34">
      <c r="A72" s="5" t="n"/>
      <c r="B72" s="110" t="n"/>
      <c r="C72" s="5" t="n"/>
      <c r="D72" s="110" t="n"/>
      <c r="E72" s="110" t="n"/>
      <c r="F72" s="110" t="n"/>
      <c r="G72" s="110" t="n"/>
      <c r="H72" s="110" t="n"/>
      <c r="I72" s="110" t="n"/>
      <c r="J72" s="110" t="n"/>
      <c r="K72" s="110" t="n"/>
      <c r="L72" s="110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34">
      <c r="A73" s="5" t="n"/>
      <c r="B73" s="110" t="n"/>
      <c r="C73" s="5" t="n"/>
      <c r="D73" s="110" t="n"/>
      <c r="E73" s="110" t="n"/>
      <c r="F73" s="110" t="n"/>
      <c r="G73" s="110" t="n"/>
      <c r="H73" s="110" t="n"/>
      <c r="I73" s="110" t="n"/>
      <c r="J73" s="110" t="n"/>
      <c r="K73" s="110" t="n"/>
      <c r="L73" s="110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34">
      <c r="A74" s="5" t="n"/>
      <c r="B74" s="110" t="n"/>
      <c r="C74" s="5" t="n"/>
      <c r="D74" s="110" t="n"/>
      <c r="E74" s="110" t="n"/>
      <c r="F74" s="110" t="n"/>
      <c r="G74" s="110" t="n"/>
      <c r="H74" s="110" t="n"/>
      <c r="I74" s="110" t="n"/>
      <c r="J74" s="110" t="n"/>
      <c r="K74" s="110" t="n"/>
      <c r="L74" s="110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34">
      <c r="A75" s="5" t="n"/>
      <c r="B75" s="110" t="n"/>
      <c r="C75" s="5" t="n"/>
      <c r="D75" s="110" t="n"/>
      <c r="E75" s="110" t="n"/>
      <c r="F75" s="110" t="n"/>
      <c r="G75" s="110" t="n"/>
      <c r="H75" s="110" t="n"/>
      <c r="I75" s="110" t="n"/>
      <c r="J75" s="110" t="n"/>
      <c r="K75" s="110" t="n"/>
      <c r="L75" s="110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34">
      <c r="A76" s="5" t="n"/>
      <c r="B76" s="110" t="n"/>
      <c r="C76" s="5" t="n"/>
      <c r="D76" s="110" t="n"/>
      <c r="E76" s="110" t="n"/>
      <c r="F76" s="110" t="n"/>
      <c r="G76" s="110" t="n"/>
      <c r="H76" s="110" t="n"/>
      <c r="I76" s="110" t="n"/>
      <c r="J76" s="110" t="n"/>
      <c r="K76" s="110" t="n"/>
      <c r="L76" s="110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34">
      <c r="A77" s="5" t="n"/>
      <c r="B77" s="110" t="n"/>
      <c r="C77" s="5" t="n"/>
      <c r="D77" s="110" t="n"/>
      <c r="E77" s="110" t="n"/>
      <c r="F77" s="110" t="n"/>
      <c r="G77" s="110" t="n"/>
      <c r="H77" s="110" t="n"/>
      <c r="I77" s="110" t="n"/>
      <c r="J77" s="110" t="n"/>
      <c r="K77" s="110" t="n"/>
      <c r="L77" s="110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34">
      <c r="A78" s="5" t="n"/>
      <c r="B78" s="110" t="n"/>
      <c r="C78" s="5" t="n"/>
      <c r="D78" s="110" t="n"/>
      <c r="E78" s="110" t="n"/>
      <c r="F78" s="110" t="n"/>
      <c r="G78" s="110" t="n"/>
      <c r="H78" s="110" t="n"/>
      <c r="I78" s="110" t="n"/>
      <c r="J78" s="110" t="n"/>
      <c r="K78" s="110" t="n"/>
      <c r="L78" s="110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34">
      <c r="A79" s="5" t="n"/>
      <c r="B79" s="110" t="n"/>
      <c r="C79" s="5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34">
      <c r="A80" s="5" t="n"/>
      <c r="B80" s="110" t="n"/>
      <c r="C80" s="5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34">
      <c r="A81" s="5" t="n"/>
      <c r="B81" s="110" t="n"/>
      <c r="C81" s="5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34">
      <c r="A82" s="5" t="n"/>
      <c r="B82" s="110" t="n"/>
      <c r="C82" s="5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34">
      <c r="A83" s="5" t="n"/>
      <c r="B83" s="110" t="n"/>
      <c r="C83" s="5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34">
      <c r="A84" s="5" t="n"/>
      <c r="B84" s="110" t="n"/>
      <c r="C84" s="5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34">
      <c r="A85" s="5" t="n"/>
      <c r="B85" s="110" t="n"/>
      <c r="C85" s="5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34">
      <c r="A86" s="5" t="n"/>
      <c r="B86" s="110" t="n"/>
      <c r="C86" s="5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34">
      <c r="A87" s="5" t="n"/>
      <c r="B87" s="110" t="n"/>
      <c r="C87" s="5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34">
      <c r="A88" s="5" t="n"/>
      <c r="B88" s="110" t="n"/>
      <c r="C88" s="5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34">
      <c r="A89" s="5" t="n"/>
      <c r="B89" s="110" t="n"/>
      <c r="C89" s="5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34">
      <c r="A90" s="5" t="n"/>
      <c r="B90" s="110" t="n"/>
      <c r="C90" s="5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34">
      <c r="A91" s="5" t="n"/>
      <c r="B91" s="110" t="n"/>
      <c r="C91" s="5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34">
      <c r="A92" s="5" t="n"/>
      <c r="B92" s="110" t="n"/>
      <c r="C92" s="5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34">
      <c r="A93" s="5" t="n"/>
      <c r="B93" s="110" t="n"/>
      <c r="C93" s="5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34">
      <c r="A94" s="5" t="n"/>
      <c r="B94" s="110" t="n"/>
      <c r="C94" s="5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34">
      <c r="A95" s="5" t="n"/>
      <c r="B95" s="110" t="n"/>
      <c r="C95" s="5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34">
      <c r="A96" s="5" t="n"/>
      <c r="B96" s="110" t="n"/>
      <c r="C96" s="5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34">
      <c r="A97" s="5" t="n"/>
      <c r="B97" s="110" t="n"/>
      <c r="C97" s="5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34">
      <c r="A98" s="5" t="n"/>
      <c r="B98" s="110" t="n"/>
      <c r="C98" s="5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34">
      <c r="A99" s="5" t="n"/>
      <c r="B99" s="110" t="n"/>
      <c r="C99" s="5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34">
      <c r="A100" s="5" t="n"/>
      <c r="B100" s="110" t="n"/>
      <c r="C100" s="5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34">
      <c r="A101" s="5" t="n"/>
      <c r="B101" s="110" t="n"/>
      <c r="C101" s="5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34">
      <c r="A102" s="5" t="n"/>
      <c r="B102" s="110" t="n"/>
      <c r="C102" s="5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34">
      <c r="A103" s="5" t="n"/>
      <c r="B103" s="110" t="n"/>
      <c r="C103" s="5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34">
      <c r="A104" s="5" t="n"/>
      <c r="B104" s="110" t="n"/>
      <c r="C104" s="5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34">
      <c r="A105" s="5" t="n"/>
      <c r="B105" s="110" t="n"/>
      <c r="C105" s="5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34">
      <c r="A106" s="5" t="n"/>
      <c r="B106" s="110" t="n"/>
      <c r="C106" s="5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34">
      <c r="A107" s="5" t="n"/>
      <c r="B107" s="110" t="n"/>
      <c r="C107" s="5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34">
      <c r="A108" s="5" t="n"/>
      <c r="B108" s="110" t="n"/>
      <c r="C108" s="5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34">
      <c r="A109" s="5" t="n"/>
      <c r="B109" s="110" t="n"/>
      <c r="C109" s="5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34">
      <c r="A110" s="5" t="n"/>
      <c r="B110" s="110" t="n"/>
      <c r="C110" s="5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34">
      <c r="A111" s="5" t="n"/>
      <c r="B111" s="110" t="n"/>
      <c r="C111" s="5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34">
      <c r="A112" s="5" t="n"/>
      <c r="B112" s="110" t="n"/>
      <c r="C112" s="5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34">
      <c r="A113" s="5" t="n"/>
      <c r="B113" s="110" t="n"/>
      <c r="C113" s="5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34">
      <c r="A114" s="5" t="n"/>
      <c r="B114" s="110" t="n"/>
      <c r="C114" s="5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34">
      <c r="A115" s="5" t="n"/>
      <c r="B115" s="110" t="n"/>
      <c r="C115" s="5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34">
      <c r="A116" s="5" t="n"/>
      <c r="B116" s="110" t="n"/>
      <c r="C116" s="5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34">
      <c r="A117" s="5" t="n"/>
      <c r="B117" s="110" t="n"/>
      <c r="C117" s="5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34">
      <c r="A118" s="5" t="n"/>
      <c r="B118" s="110" t="n"/>
      <c r="C118" s="5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34">
      <c r="A119" s="5" t="n"/>
      <c r="B119" s="110" t="n"/>
      <c r="C119" s="5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34">
      <c r="A120" s="5" t="n"/>
      <c r="B120" s="110" t="n"/>
      <c r="C120" s="5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34">
      <c r="A121" s="5" t="n"/>
      <c r="B121" s="110" t="n"/>
      <c r="C121" s="5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34">
      <c r="A122" s="5" t="n"/>
      <c r="B122" s="110" t="n"/>
      <c r="C122" s="5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34">
      <c r="A123" s="5" t="n"/>
      <c r="B123" s="110" t="n"/>
      <c r="C123" s="5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34">
      <c r="A124" s="5" t="n"/>
      <c r="B124" s="110" t="n"/>
      <c r="C124" s="5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34">
      <c r="A125" s="5" t="n"/>
      <c r="B125" s="110" t="n"/>
      <c r="C125" s="5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34">
      <c r="A126" s="5" t="n"/>
      <c r="B126" s="110" t="n"/>
      <c r="C126" s="5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34">
      <c r="A127" s="5" t="n"/>
      <c r="B127" s="110" t="n"/>
      <c r="C127" s="5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34">
      <c r="A128" s="5" t="n"/>
      <c r="B128" s="110" t="n"/>
      <c r="C128" s="5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34">
      <c r="A129" s="5" t="n"/>
      <c r="B129" s="110" t="n"/>
      <c r="C129" s="5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34">
      <c r="A130" s="5" t="n"/>
      <c r="B130" s="110" t="n"/>
      <c r="C130" s="5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34">
      <c r="A131" s="5" t="n"/>
      <c r="B131" s="110" t="n"/>
      <c r="C131" s="5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34">
      <c r="A132" s="5" t="n"/>
      <c r="B132" s="110" t="n"/>
      <c r="C132" s="5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34">
      <c r="A133" s="5" t="n"/>
      <c r="B133" s="110" t="n"/>
      <c r="C133" s="5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34">
      <c r="A134" s="5" t="n"/>
      <c r="B134" s="110" t="n"/>
      <c r="C134" s="5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34">
      <c r="A135" s="5" t="n"/>
      <c r="B135" s="110" t="n"/>
      <c r="C135" s="5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34">
      <c r="A136" s="5" t="n"/>
      <c r="B136" s="110" t="n"/>
      <c r="C136" s="5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34">
      <c r="A137" s="5" t="n"/>
      <c r="B137" s="110" t="n"/>
      <c r="C137" s="5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34">
      <c r="A138" s="5" t="n"/>
      <c r="B138" s="110" t="n"/>
      <c r="C138" s="5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34">
      <c r="A139" s="5" t="n"/>
      <c r="B139" s="110" t="n"/>
      <c r="C139" s="5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34">
      <c r="A140" s="5" t="n"/>
      <c r="B140" s="110" t="n"/>
      <c r="C140" s="5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34">
      <c r="A141" s="5" t="n"/>
      <c r="B141" s="110" t="n"/>
      <c r="C141" s="5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34">
      <c r="A142" s="5" t="n"/>
      <c r="B142" s="110" t="n"/>
      <c r="C142" s="5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34">
      <c r="A143" s="5" t="n"/>
      <c r="B143" s="110" t="n"/>
      <c r="C143" s="5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34">
      <c r="A144" s="5" t="n"/>
      <c r="B144" s="110" t="n"/>
      <c r="C144" s="5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34">
      <c r="A145" s="5" t="n"/>
      <c r="B145" s="110" t="n"/>
      <c r="C145" s="5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34">
      <c r="A146" s="5" t="n"/>
      <c r="B146" s="110" t="n"/>
      <c r="C146" s="5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34">
      <c r="A147" s="5" t="n"/>
      <c r="B147" s="110" t="n"/>
      <c r="C147" s="5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34">
      <c r="A148" s="5" t="n"/>
      <c r="B148" s="110" t="n"/>
      <c r="C148" s="5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34">
      <c r="A149" s="5" t="n"/>
      <c r="B149" s="110" t="n"/>
      <c r="C149" s="5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34">
      <c r="A150" s="5" t="n"/>
      <c r="B150" s="110" t="n"/>
      <c r="C150" s="5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34">
      <c r="A151" s="5" t="n"/>
      <c r="B151" s="110" t="n"/>
      <c r="C151" s="5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34">
      <c r="A152" s="5" t="n"/>
      <c r="B152" s="110" t="n"/>
      <c r="C152" s="5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34">
      <c r="A153" s="5" t="n"/>
      <c r="B153" s="110" t="n"/>
      <c r="C153" s="5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34">
      <c r="A154" s="5" t="n"/>
      <c r="B154" s="110" t="n"/>
      <c r="C154" s="5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34">
      <c r="A155" s="5" t="n"/>
      <c r="B155" s="110" t="n"/>
      <c r="C155" s="5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34">
      <c r="A156" s="5" t="n"/>
      <c r="B156" s="110" t="n"/>
      <c r="C156" s="5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34">
      <c r="A157" s="5" t="n"/>
      <c r="B157" s="110" t="n"/>
      <c r="C157" s="5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34">
      <c r="A158" s="5" t="n"/>
      <c r="B158" s="110" t="n"/>
      <c r="C158" s="5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34">
      <c r="A159" s="5" t="n"/>
      <c r="B159" s="110" t="n"/>
      <c r="C159" s="5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34">
      <c r="A160" s="5" t="n"/>
      <c r="B160" s="110" t="n"/>
      <c r="C160" s="5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34">
      <c r="A161" s="5" t="n"/>
      <c r="B161" s="110" t="n"/>
      <c r="C161" s="5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34">
      <c r="A162" s="5" t="n"/>
      <c r="B162" s="110" t="n"/>
      <c r="C162" s="5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34">
      <c r="A163" s="5" t="n"/>
      <c r="B163" s="110" t="n"/>
      <c r="C163" s="5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34">
      <c r="A164" s="5" t="n"/>
      <c r="B164" s="110" t="n"/>
      <c r="C164" s="5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34">
      <c r="A165" s="5" t="n"/>
      <c r="B165" s="110" t="n"/>
      <c r="C165" s="5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34">
      <c r="A166" s="5" t="n"/>
      <c r="B166" s="110" t="n"/>
      <c r="C166" s="5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34">
      <c r="A167" s="5" t="n"/>
      <c r="B167" s="110" t="n"/>
      <c r="C167" s="5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34">
      <c r="A168" s="5" t="n"/>
      <c r="B168" s="110" t="n"/>
      <c r="C168" s="5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34">
      <c r="A169" s="5" t="n"/>
      <c r="B169" s="110" t="n"/>
      <c r="C169" s="5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34">
      <c r="A170" s="5" t="n"/>
      <c r="B170" s="110" t="n"/>
      <c r="C170" s="5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34">
      <c r="A171" s="5" t="n"/>
      <c r="B171" s="110" t="n"/>
      <c r="C171" s="5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34">
      <c r="A172" s="5" t="n"/>
      <c r="B172" s="110" t="n"/>
      <c r="C172" s="5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34">
      <c r="A173" s="5" t="n"/>
      <c r="B173" s="110" t="n"/>
      <c r="C173" s="5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34">
      <c r="A174" s="5" t="n"/>
      <c r="B174" s="110" t="n"/>
      <c r="C174" s="5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34">
      <c r="A175" s="5" t="n"/>
      <c r="B175" s="110" t="n"/>
      <c r="C175" s="5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34">
      <c r="A176" s="5" t="n"/>
      <c r="B176" s="110" t="n"/>
      <c r="C176" s="5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34">
      <c r="A177" s="5" t="n"/>
      <c r="B177" s="110" t="n"/>
      <c r="C177" s="5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34">
      <c r="A178" s="5" t="n"/>
      <c r="B178" s="110" t="n"/>
      <c r="C178" s="5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34">
      <c r="A179" s="5" t="n"/>
      <c r="B179" s="110" t="n"/>
      <c r="C179" s="5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34">
      <c r="A180" s="5" t="n"/>
      <c r="B180" s="110" t="n"/>
      <c r="C180" s="5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34">
      <c r="A181" s="5" t="n"/>
      <c r="B181" s="110" t="n"/>
      <c r="C181" s="5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34">
      <c r="A182" s="5" t="n"/>
      <c r="B182" s="110" t="n"/>
      <c r="C182" s="5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34">
      <c r="A183" s="5" t="n"/>
      <c r="B183" s="110" t="n"/>
      <c r="C183" s="5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34">
      <c r="A184" s="5" t="n"/>
      <c r="B184" s="110" t="n"/>
      <c r="C184" s="5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34">
      <c r="A185" s="5" t="n"/>
      <c r="B185" s="110" t="n"/>
      <c r="C185" s="5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34">
      <c r="A186" s="5" t="n"/>
      <c r="B186" s="110" t="n"/>
      <c r="C186" s="5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34">
      <c r="A187" s="5" t="n"/>
      <c r="B187" s="110" t="n"/>
      <c r="C187" s="5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34">
      <c r="A188" s="5" t="n"/>
      <c r="B188" s="110" t="n"/>
      <c r="C188" s="5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34">
      <c r="A189" s="5" t="n"/>
      <c r="B189" s="110" t="n"/>
      <c r="C189" s="5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34">
      <c r="A190" s="5" t="n"/>
      <c r="B190" s="110" t="n"/>
      <c r="C190" s="5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34">
      <c r="A191" s="5" t="n"/>
      <c r="B191" s="110" t="n"/>
      <c r="C191" s="5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34">
      <c r="A192" s="5" t="n"/>
      <c r="B192" s="110" t="n"/>
      <c r="C192" s="5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34">
      <c r="A193" s="5" t="n"/>
      <c r="B193" s="110" t="n"/>
      <c r="C193" s="5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34">
      <c r="A194" s="5" t="n"/>
      <c r="B194" s="110" t="n"/>
      <c r="C194" s="5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34">
      <c r="A195" s="5" t="n"/>
      <c r="B195" s="110" t="n"/>
      <c r="C195" s="5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34">
      <c r="A196" s="5" t="n"/>
      <c r="B196" s="110" t="n"/>
      <c r="C196" s="5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34">
      <c r="A197" s="5" t="n"/>
      <c r="B197" s="110" t="n"/>
      <c r="C197" s="5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34">
      <c r="A198" s="5" t="n"/>
      <c r="B198" s="110" t="n"/>
      <c r="C198" s="5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34">
      <c r="A199" s="5" t="n"/>
      <c r="B199" s="110" t="n"/>
      <c r="C199" s="5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34">
      <c r="A200" s="5" t="n"/>
      <c r="B200" s="110" t="n"/>
      <c r="C200" s="5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34">
      <c r="A201" s="5" t="n"/>
      <c r="B201" s="110" t="n"/>
      <c r="C201" s="5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34">
      <c r="A202" s="5" t="n"/>
      <c r="B202" s="110" t="n"/>
      <c r="C202" s="5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34">
      <c r="A203" s="5" t="n"/>
      <c r="B203" s="110" t="n"/>
      <c r="C203" s="5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34">
      <c r="A204" s="5" t="n"/>
      <c r="B204" s="110" t="n"/>
      <c r="C204" s="5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34">
      <c r="A205" s="5" t="n"/>
      <c r="B205" s="110" t="n"/>
      <c r="C205" s="5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34">
      <c r="A206" s="5" t="n"/>
      <c r="B206" s="110" t="n"/>
      <c r="C206" s="5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34">
      <c r="A207" s="5" t="n"/>
      <c r="B207" s="110" t="n"/>
      <c r="C207" s="5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34">
      <c r="A208" s="5" t="n"/>
      <c r="B208" s="110" t="n"/>
      <c r="C208" s="5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34">
      <c r="A209" s="5" t="n"/>
      <c r="B209" s="110" t="n"/>
      <c r="C209" s="5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34">
      <c r="A210" s="5" t="n"/>
      <c r="B210" s="110" t="n"/>
      <c r="C210" s="5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34">
      <c r="A211" s="5" t="n"/>
      <c r="B211" s="110" t="n"/>
      <c r="C211" s="5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34">
      <c r="A212" s="5" t="n"/>
      <c r="B212" s="110" t="n"/>
      <c r="C212" s="5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34">
      <c r="A213" s="5" t="n"/>
      <c r="B213" s="110" t="n"/>
      <c r="C213" s="5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34">
      <c r="A214" s="5" t="n"/>
      <c r="B214" s="110" t="n"/>
      <c r="C214" s="5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34">
      <c r="A215" s="5" t="n"/>
      <c r="B215" s="110" t="n"/>
      <c r="C215" s="5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34">
      <c r="A216" s="5" t="n"/>
      <c r="B216" s="110" t="n"/>
      <c r="C216" s="5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34">
      <c r="A217" s="5" t="n"/>
      <c r="B217" s="110" t="n"/>
      <c r="C217" s="5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34">
      <c r="A218" s="5" t="n"/>
      <c r="B218" s="110" t="n"/>
      <c r="C218" s="5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34">
      <c r="A219" s="5" t="n"/>
      <c r="B219" s="5" t="n"/>
      <c r="C219" s="5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3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3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3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3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3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3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3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3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3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3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3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3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3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3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3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3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3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3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3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3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3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3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3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3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3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3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3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3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3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3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3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3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3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3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3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3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3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3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3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3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3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3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3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3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3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3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3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</sheetData>
  <mergeCells count="2">
    <mergeCell ref="D1:L1"/>
    <mergeCell ref="M1:R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134" min="1" max="1"/>
    <col width="44" customWidth="1" style="134" min="2" max="2"/>
    <col width="8.83203125" customWidth="1" style="134" min="3" max="26"/>
  </cols>
  <sheetData>
    <row r="1" ht="15.75" customHeight="1" s="134">
      <c r="A1" s="27" t="inlineStr">
        <is>
          <t>Fornitori NON mappati in d_fornitori.csv — assegnare una voce (hotelops fornitori) e rigenerare</t>
        </is>
      </c>
    </row>
    <row r="2" ht="15.75" customHeight="1" s="134">
      <c r="A2" s="27" t="inlineStr">
        <is>
          <t>Cod</t>
        </is>
      </c>
      <c r="B2" s="27" t="inlineStr">
        <is>
          <t>Nome (da export)</t>
        </is>
      </c>
      <c r="C2" s="27" t="inlineStr">
        <is>
          <t>GENNAIO</t>
        </is>
      </c>
      <c r="D2" s="27" t="inlineStr">
        <is>
          <t>FEBBRAIO</t>
        </is>
      </c>
      <c r="E2" s="27" t="inlineStr">
        <is>
          <t>MARZO</t>
        </is>
      </c>
      <c r="F2" s="27" t="inlineStr">
        <is>
          <t>APRILE</t>
        </is>
      </c>
      <c r="G2" s="27" t="inlineStr">
        <is>
          <t>MAGGIO</t>
        </is>
      </c>
      <c r="H2" s="27" t="inlineStr">
        <is>
          <t>GIUGNO</t>
        </is>
      </c>
      <c r="I2" s="27" t="inlineStr">
        <is>
          <t>LUGLIO</t>
        </is>
      </c>
      <c r="J2" s="27" t="inlineStr">
        <is>
          <t>AGOSTO</t>
        </is>
      </c>
      <c r="K2" s="27" t="inlineStr">
        <is>
          <t>SETTEMBRE</t>
        </is>
      </c>
      <c r="L2" s="27" t="inlineStr">
        <is>
          <t>OTTOBRE</t>
        </is>
      </c>
      <c r="M2" s="27" t="inlineStr">
        <is>
          <t>NOVEMBRE</t>
        </is>
      </c>
      <c r="N2" s="27" t="inlineStr">
        <is>
          <t>DICEMBRE</t>
        </is>
      </c>
    </row>
    <row r="3" ht="15.75" customHeight="1" s="134"/>
    <row r="4" ht="15.75" customHeight="1" s="134"/>
    <row r="5" ht="15.75" customHeight="1" s="134"/>
    <row r="6" ht="15.75" customHeight="1" s="134"/>
    <row r="7" ht="15.75" customHeight="1" s="134"/>
    <row r="8" ht="15.75" customHeight="1" s="134"/>
    <row r="9" ht="15.75" customHeight="1" s="134"/>
    <row r="10" ht="15.75" customHeight="1" s="134"/>
    <row r="11" ht="15.75" customHeight="1" s="134"/>
    <row r="12" ht="15.75" customHeight="1" s="134"/>
    <row r="13" ht="15.75" customHeight="1" s="134"/>
    <row r="14" ht="15.75" customHeight="1" s="134"/>
    <row r="15" ht="15.75" customHeight="1" s="134"/>
    <row r="16" ht="15.75" customHeight="1" s="134"/>
    <row r="17" ht="15.75" customHeight="1" s="134"/>
    <row r="18" ht="15.75" customHeight="1" s="134"/>
    <row r="19" ht="15.75" customHeight="1" s="134"/>
    <row r="20" ht="15.75" customHeight="1" s="134"/>
    <row r="21" ht="15.75" customHeight="1" s="134"/>
    <row r="22" ht="15.75" customHeight="1" s="134"/>
    <row r="23" ht="15.75" customHeight="1" s="134"/>
    <row r="24" ht="15.75" customHeight="1" s="134"/>
    <row r="25" ht="15.75" customHeight="1" s="134"/>
    <row r="26" ht="15.75" customHeight="1" s="134"/>
    <row r="27" ht="15.75" customHeight="1" s="134"/>
    <row r="28" ht="15.75" customHeight="1" s="134"/>
    <row r="29" ht="15.75" customHeight="1" s="134"/>
    <row r="30" ht="15.75" customHeight="1" s="134"/>
    <row r="31" ht="15.75" customHeight="1" s="134"/>
    <row r="32" ht="15.75" customHeight="1" s="134"/>
    <row r="33" ht="15.75" customHeight="1" s="134"/>
    <row r="34" ht="15.75" customHeight="1" s="134"/>
    <row r="35" ht="15.75" customHeight="1" s="134"/>
    <row r="36" ht="15.75" customHeight="1" s="134"/>
    <row r="37" ht="15.75" customHeight="1" s="134"/>
    <row r="38" ht="15.75" customHeight="1" s="134"/>
    <row r="39" ht="15.75" customHeight="1" s="134"/>
    <row r="40" ht="15.75" customHeight="1" s="134"/>
    <row r="41" ht="15.75" customHeight="1" s="134"/>
    <row r="42" ht="15.75" customHeight="1" s="134"/>
    <row r="43" ht="15.75" customHeight="1" s="134"/>
    <row r="44" ht="15.75" customHeight="1" s="134"/>
    <row r="45" ht="15.75" customHeight="1" s="134"/>
    <row r="46" ht="15.75" customHeight="1" s="134"/>
    <row r="47" ht="15.75" customHeight="1" s="134"/>
    <row r="48" ht="15.75" customHeight="1" s="134"/>
    <row r="49" ht="15.75" customHeight="1" s="134"/>
    <row r="50" ht="15.75" customHeight="1" s="134"/>
    <row r="51" ht="15.75" customHeight="1" s="134"/>
    <row r="52" ht="15.75" customHeight="1" s="134"/>
    <row r="53" ht="15.75" customHeight="1" s="134"/>
    <row r="54" ht="15.75" customHeight="1" s="134"/>
    <row r="55" ht="15.75" customHeight="1" s="134"/>
    <row r="56" ht="15.75" customHeight="1" s="134"/>
    <row r="57" ht="15.75" customHeight="1" s="134"/>
    <row r="58" ht="15.75" customHeight="1" s="134"/>
    <row r="59" ht="15.75" customHeight="1" s="134"/>
    <row r="60" ht="15.75" customHeight="1" s="134"/>
    <row r="61" ht="15.75" customHeight="1" s="134"/>
    <row r="62" ht="15.75" customHeight="1" s="134"/>
    <row r="63" ht="15.75" customHeight="1" s="134"/>
    <row r="64" ht="15.75" customHeight="1" s="134"/>
    <row r="65" ht="15.75" customHeight="1" s="134"/>
    <row r="66" ht="15.75" customHeight="1" s="134"/>
    <row r="67" ht="15.75" customHeight="1" s="134"/>
    <row r="68" ht="15.75" customHeight="1" s="134"/>
    <row r="69" ht="15.75" customHeight="1" s="134"/>
    <row r="70" ht="15.75" customHeight="1" s="134"/>
    <row r="71" ht="15.75" customHeight="1" s="134"/>
    <row r="72" ht="15.75" customHeight="1" s="134"/>
    <row r="73" ht="15.75" customHeight="1" s="134"/>
    <row r="74" ht="15.75" customHeight="1" s="134"/>
    <row r="75" ht="15.75" customHeight="1" s="134"/>
    <row r="76" ht="15.75" customHeight="1" s="134"/>
    <row r="77" ht="15.75" customHeight="1" s="134"/>
    <row r="78" ht="15.75" customHeight="1" s="134"/>
    <row r="79" ht="15.75" customHeight="1" s="134"/>
    <row r="80" ht="15.75" customHeight="1" s="134"/>
    <row r="81" ht="15.75" customHeight="1" s="134"/>
    <row r="82" ht="15.75" customHeight="1" s="134"/>
    <row r="83" ht="15.75" customHeight="1" s="134"/>
    <row r="84" ht="15.75" customHeight="1" s="134"/>
    <row r="85" ht="15.75" customHeight="1" s="134"/>
    <row r="86" ht="15.75" customHeight="1" s="134"/>
    <row r="87" ht="15.75" customHeight="1" s="134"/>
    <row r="88" ht="15.75" customHeight="1" s="134"/>
    <row r="89" ht="15.75" customHeight="1" s="134"/>
    <row r="90" ht="15.75" customHeight="1" s="134"/>
    <row r="91" ht="15.75" customHeight="1" s="134"/>
    <row r="92" ht="15.75" customHeight="1" s="134"/>
    <row r="93" ht="15.75" customHeight="1" s="134"/>
    <row r="94" ht="15.75" customHeight="1" s="134"/>
    <row r="95" ht="15.75" customHeight="1" s="134"/>
    <row r="96" ht="15.75" customHeight="1" s="134"/>
    <row r="97" ht="15.75" customHeight="1" s="134"/>
    <row r="98" ht="15.75" customHeight="1" s="134"/>
    <row r="99" ht="15.75" customHeight="1" s="134"/>
    <row r="100" ht="15.75" customHeight="1" s="134"/>
    <row r="101" ht="15.75" customHeight="1" s="134"/>
    <row r="102" ht="15.75" customHeight="1" s="134"/>
    <row r="103" ht="15.75" customHeight="1" s="134"/>
    <row r="104" ht="15.75" customHeight="1" s="134"/>
    <row r="105" ht="15.75" customHeight="1" s="134"/>
    <row r="106" ht="15.75" customHeight="1" s="134"/>
    <row r="107" ht="15.75" customHeight="1" s="134"/>
    <row r="108" ht="15.75" customHeight="1" s="134"/>
    <row r="109" ht="15.75" customHeight="1" s="134"/>
    <row r="110" ht="15.75" customHeight="1" s="134"/>
    <row r="111" ht="15.75" customHeight="1" s="134"/>
    <row r="112" ht="15.75" customHeight="1" s="134"/>
    <row r="113" ht="15.75" customHeight="1" s="134"/>
    <row r="114" ht="15.75" customHeight="1" s="134"/>
    <row r="115" ht="15.75" customHeight="1" s="134"/>
    <row r="116" ht="15.75" customHeight="1" s="134"/>
    <row r="117" ht="15.75" customHeight="1" s="134"/>
    <row r="118" ht="15.75" customHeight="1" s="134"/>
    <row r="119" ht="15.75" customHeight="1" s="134"/>
    <row r="120" ht="15.75" customHeight="1" s="134"/>
    <row r="121" ht="15.75" customHeight="1" s="134"/>
    <row r="122" ht="15.75" customHeight="1" s="134"/>
    <row r="123" ht="15.75" customHeight="1" s="134"/>
    <row r="124" ht="15.75" customHeight="1" s="134"/>
    <row r="125" ht="15.75" customHeight="1" s="134"/>
    <row r="126" ht="15.75" customHeight="1" s="134"/>
    <row r="127" ht="15.75" customHeight="1" s="134"/>
    <row r="128" ht="15.75" customHeight="1" s="134"/>
    <row r="129" ht="15.75" customHeight="1" s="134"/>
    <row r="130" ht="15.75" customHeight="1" s="134"/>
    <row r="131" ht="15.75" customHeight="1" s="134"/>
    <row r="132" ht="15.75" customHeight="1" s="134"/>
    <row r="133" ht="15.75" customHeight="1" s="134"/>
    <row r="134" ht="15.75" customHeight="1" s="134"/>
    <row r="135" ht="15.75" customHeight="1" s="134"/>
    <row r="136" ht="15.75" customHeight="1" s="134"/>
    <row r="137" ht="15.75" customHeight="1" s="134"/>
    <row r="138" ht="15.75" customHeight="1" s="134"/>
    <row r="139" ht="15.75" customHeight="1" s="134"/>
    <row r="140" ht="15.75" customHeight="1" s="134"/>
    <row r="141" ht="15.75" customHeight="1" s="134"/>
    <row r="142" ht="15.75" customHeight="1" s="134"/>
    <row r="143" ht="15.75" customHeight="1" s="134"/>
    <row r="144" ht="15.75" customHeight="1" s="134"/>
    <row r="145" ht="15.75" customHeight="1" s="134"/>
    <row r="146" ht="15.75" customHeight="1" s="134"/>
    <row r="147" ht="15.75" customHeight="1" s="134"/>
    <row r="148" ht="15.75" customHeight="1" s="134"/>
    <row r="149" ht="15.75" customHeight="1" s="134"/>
    <row r="150" ht="15.75" customHeight="1" s="134"/>
    <row r="151" ht="15.75" customHeight="1" s="134"/>
    <row r="152" ht="15.75" customHeight="1" s="134"/>
    <row r="153" ht="15.75" customHeight="1" s="134"/>
    <row r="154" ht="15.75" customHeight="1" s="134"/>
    <row r="155" ht="15.75" customHeight="1" s="134"/>
    <row r="156" ht="15.75" customHeight="1" s="134"/>
    <row r="157" ht="15.75" customHeight="1" s="134"/>
    <row r="158" ht="15.75" customHeight="1" s="134"/>
    <row r="159" ht="15.75" customHeight="1" s="134"/>
    <row r="160" ht="15.75" customHeight="1" s="134"/>
    <row r="161" ht="15.75" customHeight="1" s="134"/>
    <row r="162" ht="15.75" customHeight="1" s="134"/>
    <row r="163" ht="15.75" customHeight="1" s="134"/>
    <row r="164" ht="15.75" customHeight="1" s="134"/>
    <row r="165" ht="15.75" customHeight="1" s="134"/>
    <row r="166" ht="15.75" customHeight="1" s="134"/>
    <row r="167" ht="15.75" customHeight="1" s="134"/>
    <row r="168" ht="15.75" customHeight="1" s="134"/>
    <row r="169" ht="15.75" customHeight="1" s="134"/>
    <row r="170" ht="15.75" customHeight="1" s="134"/>
    <row r="171" ht="15.75" customHeight="1" s="134"/>
    <row r="172" ht="15.75" customHeight="1" s="134"/>
    <row r="173" ht="15.75" customHeight="1" s="134"/>
    <row r="174" ht="15.75" customHeight="1" s="134"/>
    <row r="175" ht="15.75" customHeight="1" s="134"/>
    <row r="176" ht="15.75" customHeight="1" s="134"/>
    <row r="177" ht="15.75" customHeight="1" s="134"/>
    <row r="178" ht="15.75" customHeight="1" s="134"/>
    <row r="179" ht="15.75" customHeight="1" s="134"/>
    <row r="180" ht="15.75" customHeight="1" s="134"/>
    <row r="181" ht="15.75" customHeight="1" s="134"/>
    <row r="182" ht="15.75" customHeight="1" s="134"/>
    <row r="183" ht="15.75" customHeight="1" s="134"/>
    <row r="184" ht="15.75" customHeight="1" s="134"/>
    <row r="185" ht="15.75" customHeight="1" s="134"/>
    <row r="186" ht="15.75" customHeight="1" s="134"/>
    <row r="187" ht="15.75" customHeight="1" s="134"/>
    <row r="188" ht="15.75" customHeight="1" s="134"/>
    <row r="189" ht="15.75" customHeight="1" s="134"/>
    <row r="190" ht="15.75" customHeight="1" s="134"/>
    <row r="191" ht="15.75" customHeight="1" s="134"/>
    <row r="192" ht="15.75" customHeight="1" s="134"/>
    <row r="193" ht="15.75" customHeight="1" s="134"/>
    <row r="194" ht="15.75" customHeight="1" s="134"/>
    <row r="195" ht="15.75" customHeight="1" s="134"/>
    <row r="196" ht="15.75" customHeight="1" s="134"/>
    <row r="197" ht="15.75" customHeight="1" s="134"/>
    <row r="198" ht="15.75" customHeight="1" s="134"/>
    <row r="199" ht="15.75" customHeight="1" s="134"/>
    <row r="200" ht="15.75" customHeight="1" s="134"/>
    <row r="201" ht="15.75" customHeight="1" s="134"/>
    <row r="202" ht="15.75" customHeight="1" s="134"/>
    <row r="203" ht="15.75" customHeight="1" s="134"/>
    <row r="204" ht="15.75" customHeight="1" s="134"/>
    <row r="205" ht="15.75" customHeight="1" s="134"/>
    <row r="206" ht="15.75" customHeight="1" s="134"/>
    <row r="207" ht="15.75" customHeight="1" s="134"/>
    <row r="208" ht="15.75" customHeight="1" s="134"/>
    <row r="209" ht="15.75" customHeight="1" s="134"/>
    <row r="210" ht="15.75" customHeight="1" s="134"/>
    <row r="211" ht="15.75" customHeight="1" s="134"/>
    <row r="212" ht="15.75" customHeight="1" s="134"/>
    <row r="213" ht="15.75" customHeight="1" s="134"/>
    <row r="214" ht="15.75" customHeight="1" s="134"/>
    <row r="215" ht="15.75" customHeight="1" s="134"/>
    <row r="216" ht="15.75" customHeight="1" s="134"/>
    <row r="217" ht="15.75" customHeight="1" s="134"/>
    <row r="218" ht="15.75" customHeight="1" s="134"/>
    <row r="219" ht="15.75" customHeight="1" s="134"/>
    <row r="220" ht="15.75" customHeight="1" s="134"/>
    <row r="221" ht="15.75" customHeight="1" s="134"/>
    <row r="222" ht="15.75" customHeight="1" s="134"/>
    <row r="223" ht="15.75" customHeight="1" s="134"/>
    <row r="224" ht="15.75" customHeight="1" s="134"/>
    <row r="225" ht="15.75" customHeight="1" s="134"/>
    <row r="226" ht="15.75" customHeight="1" s="134"/>
    <row r="227" ht="15.75" customHeight="1" s="134"/>
    <row r="228" ht="15.75" customHeight="1" s="134"/>
    <row r="229" ht="15.75" customHeight="1" s="134"/>
    <row r="230" ht="15.75" customHeight="1" s="134"/>
    <row r="231" ht="15.75" customHeight="1" s="134"/>
    <row r="232" ht="15.75" customHeight="1" s="134"/>
    <row r="233" ht="15.75" customHeight="1" s="134"/>
    <row r="234" ht="15.75" customHeight="1" s="134"/>
    <row r="235" ht="15.75" customHeight="1" s="134"/>
    <row r="236" ht="15.75" customHeight="1" s="134"/>
    <row r="237" ht="15.75" customHeight="1" s="134"/>
    <row r="238" ht="15.75" customHeight="1" s="134"/>
    <row r="239" ht="15.75" customHeight="1" s="134"/>
    <row r="240" ht="15.75" customHeight="1" s="134"/>
    <row r="241" ht="15.75" customHeight="1" s="134"/>
    <row r="242" ht="15.75" customHeight="1" s="134"/>
    <row r="243" ht="15.75" customHeight="1" s="134"/>
    <row r="244" ht="15.75" customHeight="1" s="134"/>
    <row r="245" ht="15.75" customHeight="1" s="134"/>
    <row r="246" ht="15.75" customHeight="1" s="134"/>
    <row r="247" ht="15.75" customHeight="1" s="134"/>
    <row r="248" ht="15.75" customHeight="1" s="134"/>
    <row r="249" ht="15.75" customHeight="1" s="134"/>
    <row r="250" ht="15.75" customHeight="1" s="134"/>
    <row r="251" ht="15.75" customHeight="1" s="134"/>
    <row r="252" ht="15.75" customHeight="1" s="134"/>
    <row r="253" ht="15.75" customHeight="1" s="134"/>
    <row r="254" ht="15.75" customHeight="1" s="134"/>
    <row r="255" ht="15.75" customHeight="1" s="134"/>
    <row r="256" ht="15.75" customHeight="1" s="134"/>
    <row r="257" ht="15.75" customHeight="1" s="134"/>
    <row r="258" ht="15.75" customHeight="1" s="134"/>
    <row r="259" ht="15.75" customHeight="1" s="134"/>
    <row r="260" ht="15.75" customHeight="1" s="134"/>
    <row r="261" ht="15.75" customHeight="1" s="134"/>
    <row r="262" ht="15.75" customHeight="1" s="134"/>
    <row r="263" ht="15.75" customHeight="1" s="134"/>
    <row r="264" ht="15.75" customHeight="1" s="134"/>
    <row r="265" ht="15.75" customHeight="1" s="134"/>
    <row r="266" ht="15.75" customHeight="1" s="134"/>
    <row r="267" ht="15.75" customHeight="1" s="134"/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134" min="1" max="1"/>
    <col width="44" customWidth="1" style="134" min="2" max="2"/>
    <col width="8.83203125" customWidth="1" style="134" min="3" max="14"/>
    <col width="32" customWidth="1" style="134" min="15" max="15"/>
    <col width="8.83203125" customWidth="1" style="134" min="16" max="26"/>
  </cols>
  <sheetData>
    <row r="1" ht="15.75" customHeight="1" s="134">
      <c r="A1" s="27" t="inlineStr">
        <is>
          <t>Fornitori ESCLUSI dalla cassa per scelta (is_excluded) — fuori dal saldo proiettato. NON sono un TODO: il motivo è in colonna Motivo.</t>
        </is>
      </c>
    </row>
    <row r="2" ht="15.75" customHeight="1" s="134">
      <c r="A2" s="27" t="inlineStr">
        <is>
          <t>Cod</t>
        </is>
      </c>
      <c r="B2" s="27" t="inlineStr">
        <is>
          <t>Nome (da CSV)</t>
        </is>
      </c>
      <c r="C2" s="27" t="inlineStr">
        <is>
          <t>GENNAIO</t>
        </is>
      </c>
      <c r="D2" s="27" t="inlineStr">
        <is>
          <t>FEBBRAIO</t>
        </is>
      </c>
      <c r="E2" s="27" t="inlineStr">
        <is>
          <t>MARZO</t>
        </is>
      </c>
      <c r="F2" s="27" t="inlineStr">
        <is>
          <t>APRILE</t>
        </is>
      </c>
      <c r="G2" s="27" t="inlineStr">
        <is>
          <t>MAGGIO</t>
        </is>
      </c>
      <c r="H2" s="27" t="inlineStr">
        <is>
          <t>GIUGNO</t>
        </is>
      </c>
      <c r="I2" s="27" t="inlineStr">
        <is>
          <t>LUGLIO</t>
        </is>
      </c>
      <c r="J2" s="27" t="inlineStr">
        <is>
          <t>AGOSTO</t>
        </is>
      </c>
      <c r="K2" s="27" t="inlineStr">
        <is>
          <t>SETTEMBRE</t>
        </is>
      </c>
      <c r="L2" s="27" t="inlineStr">
        <is>
          <t>OTTOBRE</t>
        </is>
      </c>
      <c r="M2" s="27" t="inlineStr">
        <is>
          <t>NOVEMBRE</t>
        </is>
      </c>
      <c r="N2" s="27" t="inlineStr">
        <is>
          <t>DICEMBRE</t>
        </is>
      </c>
      <c r="O2" s="27" t="inlineStr">
        <is>
          <t>Motivo</t>
        </is>
      </c>
    </row>
    <row r="3" ht="15.75" customHeight="1" s="134">
      <c r="A3" s="128" t="n">
        <v>27</v>
      </c>
      <c r="B3" s="128" t="inlineStr">
        <is>
          <t>AL MORO DI ROMAGNOLI ANDREA SAS</t>
        </is>
      </c>
      <c r="I3" s="129" t="n">
        <v>394.98</v>
      </c>
      <c r="O3" s="128" t="inlineStr">
        <is>
          <t>escluso da app cashflow</t>
        </is>
      </c>
    </row>
    <row r="4" ht="15.75" customHeight="1" s="134">
      <c r="A4" s="128" t="n">
        <v>1758</v>
      </c>
      <c r="B4" s="128" t="inlineStr">
        <is>
          <t>BRILY DI AVETA VINCENZO</t>
        </is>
      </c>
      <c r="H4" s="129" t="n">
        <v>14.23</v>
      </c>
      <c r="O4" s="128" t="inlineStr">
        <is>
          <t>escluso da app cashflow</t>
        </is>
      </c>
    </row>
    <row r="5" ht="15.75" customHeight="1" s="134">
      <c r="A5" s="128" t="n">
        <v>1765</v>
      </c>
      <c r="B5" s="128" t="inlineStr">
        <is>
          <t>Fercolor s.r.l.</t>
        </is>
      </c>
      <c r="H5" s="129" t="n">
        <v>54.39</v>
      </c>
      <c r="O5" s="128" t="inlineStr">
        <is>
          <t>escluso da app cashflow</t>
        </is>
      </c>
    </row>
    <row r="6" ht="15.75" customHeight="1" s="134">
      <c r="A6" s="128" t="n">
        <v>1745</v>
      </c>
      <c r="B6" s="128" t="inlineStr">
        <is>
          <t>POPPITI ALDO</t>
        </is>
      </c>
      <c r="H6" s="129" t="n">
        <v>19.61</v>
      </c>
      <c r="O6" s="128" t="inlineStr">
        <is>
          <t>escluso da app cashflow</t>
        </is>
      </c>
    </row>
    <row r="7" ht="15.75" customHeight="1" s="134">
      <c r="A7" s="128" t="n">
        <v>1755</v>
      </c>
      <c r="B7" s="128" t="inlineStr">
        <is>
          <t>VARZI GENERATION SRL</t>
        </is>
      </c>
      <c r="H7" s="129" t="n">
        <v>19.9</v>
      </c>
      <c r="O7" s="128" t="inlineStr">
        <is>
          <t>escluso da app cashflow</t>
        </is>
      </c>
    </row>
    <row r="8" ht="15.75" customHeight="1" s="134"/>
    <row r="9" ht="15.75" customHeight="1" s="134"/>
    <row r="10" ht="15.75" customHeight="1" s="134"/>
    <row r="11" ht="15.75" customHeight="1" s="134"/>
    <row r="12" ht="15.75" customHeight="1" s="134"/>
    <row r="13" ht="15.75" customHeight="1" s="134"/>
    <row r="14" ht="15.75" customHeight="1" s="134"/>
    <row r="15" ht="15.75" customHeight="1" s="134"/>
    <row r="16" ht="15.75" customHeight="1" s="134"/>
    <row r="17" ht="15.75" customHeight="1" s="134"/>
    <row r="18" ht="15.75" customHeight="1" s="134"/>
    <row r="19" ht="15.75" customHeight="1" s="134"/>
    <row r="20" ht="15.75" customHeight="1" s="134"/>
    <row r="21" ht="15.75" customHeight="1" s="134"/>
    <row r="22" ht="15.75" customHeight="1" s="134"/>
    <row r="23" ht="15.75" customHeight="1" s="134"/>
    <row r="24" ht="15.75" customHeight="1" s="134"/>
    <row r="25" ht="15.75" customHeight="1" s="134"/>
    <row r="26" ht="15.75" customHeight="1" s="134"/>
    <row r="27" ht="15.75" customHeight="1" s="134"/>
    <row r="28" ht="15.75" customHeight="1" s="134"/>
    <row r="29" ht="15.75" customHeight="1" s="134"/>
    <row r="30" ht="15.75" customHeight="1" s="134"/>
    <row r="31" ht="15.75" customHeight="1" s="134"/>
    <row r="32" ht="15.75" customHeight="1" s="134"/>
    <row r="33" ht="15.75" customHeight="1" s="134"/>
    <row r="34" ht="15.75" customHeight="1" s="134"/>
    <row r="35" ht="15.75" customHeight="1" s="134"/>
    <row r="36" ht="15.75" customHeight="1" s="134"/>
    <row r="37" ht="15.75" customHeight="1" s="134"/>
    <row r="38" ht="15.75" customHeight="1" s="134"/>
    <row r="39" ht="15.75" customHeight="1" s="134"/>
    <row r="40" ht="15.75" customHeight="1" s="134"/>
    <row r="41" ht="15.75" customHeight="1" s="134"/>
    <row r="42" ht="15.75" customHeight="1" s="134"/>
    <row r="43" ht="15.75" customHeight="1" s="134"/>
    <row r="44" ht="15.75" customHeight="1" s="134"/>
    <row r="45" ht="15.75" customHeight="1" s="134"/>
    <row r="46" ht="15.75" customHeight="1" s="134"/>
    <row r="47" ht="15.75" customHeight="1" s="134"/>
    <row r="48" ht="15.75" customHeight="1" s="134"/>
    <row r="49" ht="15.75" customHeight="1" s="134"/>
    <row r="50" ht="15.75" customHeight="1" s="134"/>
    <row r="51" ht="15.75" customHeight="1" s="134"/>
    <row r="52" ht="15.75" customHeight="1" s="134"/>
    <row r="53" ht="15.75" customHeight="1" s="134"/>
    <row r="54" ht="15.75" customHeight="1" s="134"/>
    <row r="55" ht="15.75" customHeight="1" s="134"/>
    <row r="56" ht="15.75" customHeight="1" s="134"/>
    <row r="57" ht="15.75" customHeight="1" s="134"/>
    <row r="58" ht="15.75" customHeight="1" s="134"/>
    <row r="59" ht="15.75" customHeight="1" s="134"/>
    <row r="60" ht="15.75" customHeight="1" s="134"/>
    <row r="61" ht="15.75" customHeight="1" s="134"/>
    <row r="62" ht="15.75" customHeight="1" s="134"/>
    <row r="63" ht="15.75" customHeight="1" s="134"/>
    <row r="64" ht="15.75" customHeight="1" s="134"/>
    <row r="65" ht="15.75" customHeight="1" s="134"/>
    <row r="66" ht="15.75" customHeight="1" s="134"/>
    <row r="67" ht="15.75" customHeight="1" s="134"/>
    <row r="68" ht="15.75" customHeight="1" s="134"/>
    <row r="69" ht="15.75" customHeight="1" s="134"/>
    <row r="70" ht="15.75" customHeight="1" s="134"/>
    <row r="71" ht="15.75" customHeight="1" s="134"/>
    <row r="72" ht="15.75" customHeight="1" s="134"/>
    <row r="73" ht="15.75" customHeight="1" s="134"/>
    <row r="74" ht="15.75" customHeight="1" s="134"/>
    <row r="75" ht="15.75" customHeight="1" s="134"/>
    <row r="76" ht="15.75" customHeight="1" s="134"/>
    <row r="77" ht="15.75" customHeight="1" s="134"/>
    <row r="78" ht="15.75" customHeight="1" s="134"/>
    <row r="79" ht="15.75" customHeight="1" s="134"/>
    <row r="80" ht="15.75" customHeight="1" s="134"/>
    <row r="81" ht="15.75" customHeight="1" s="134"/>
    <row r="82" ht="15.75" customHeight="1" s="134"/>
    <row r="83" ht="15.75" customHeight="1" s="134"/>
    <row r="84" ht="15.75" customHeight="1" s="134"/>
    <row r="85" ht="15.75" customHeight="1" s="134"/>
    <row r="86" ht="15.75" customHeight="1" s="134"/>
    <row r="87" ht="15.75" customHeight="1" s="134"/>
    <row r="88" ht="15.75" customHeight="1" s="134"/>
    <row r="89" ht="15.75" customHeight="1" s="134"/>
    <row r="90" ht="15.75" customHeight="1" s="134"/>
    <row r="91" ht="15.75" customHeight="1" s="134"/>
    <row r="92" ht="15.75" customHeight="1" s="134"/>
    <row r="93" ht="15.75" customHeight="1" s="134"/>
    <row r="94" ht="15.75" customHeight="1" s="134"/>
    <row r="95" ht="15.75" customHeight="1" s="134"/>
    <row r="96" ht="15.75" customHeight="1" s="134"/>
    <row r="97" ht="15.75" customHeight="1" s="134"/>
    <row r="98" ht="15.75" customHeight="1" s="134"/>
    <row r="99" ht="15.75" customHeight="1" s="134"/>
    <row r="100" ht="15.75" customHeight="1" s="134"/>
    <row r="101" ht="15.75" customHeight="1" s="134"/>
    <row r="102" ht="15.75" customHeight="1" s="134"/>
    <row r="103" ht="15.75" customHeight="1" s="134"/>
    <row r="104" ht="15.75" customHeight="1" s="134"/>
    <row r="105" ht="15.75" customHeight="1" s="134"/>
    <row r="106" ht="15.75" customHeight="1" s="134"/>
    <row r="107" ht="15.75" customHeight="1" s="134"/>
    <row r="108" ht="15.75" customHeight="1" s="134"/>
    <row r="109" ht="15.75" customHeight="1" s="134"/>
    <row r="110" ht="15.75" customHeight="1" s="134"/>
    <row r="111" ht="15.75" customHeight="1" s="134"/>
    <row r="112" ht="15.75" customHeight="1" s="134"/>
    <row r="113" ht="15.75" customHeight="1" s="134"/>
    <row r="114" ht="15.75" customHeight="1" s="134"/>
    <row r="115" ht="15.75" customHeight="1" s="134"/>
    <row r="116" ht="15.75" customHeight="1" s="134"/>
    <row r="117" ht="15.75" customHeight="1" s="134"/>
    <row r="118" ht="15.75" customHeight="1" s="134"/>
    <row r="119" ht="15.75" customHeight="1" s="134"/>
    <row r="120" ht="15.75" customHeight="1" s="134"/>
    <row r="121" ht="15.75" customHeight="1" s="134"/>
    <row r="122" ht="15.75" customHeight="1" s="134"/>
    <row r="123" ht="15.75" customHeight="1" s="134"/>
    <row r="124" ht="15.75" customHeight="1" s="134"/>
    <row r="125" ht="15.75" customHeight="1" s="134"/>
    <row r="126" ht="15.75" customHeight="1" s="134"/>
    <row r="127" ht="15.75" customHeight="1" s="134"/>
    <row r="128" ht="15.75" customHeight="1" s="134"/>
    <row r="129" ht="15.75" customHeight="1" s="134"/>
    <row r="130" ht="15.75" customHeight="1" s="134"/>
    <row r="131" ht="15.75" customHeight="1" s="134"/>
    <row r="132" ht="15.75" customHeight="1" s="134"/>
    <row r="133" ht="15.75" customHeight="1" s="134"/>
    <row r="134" ht="15.75" customHeight="1" s="134"/>
    <row r="135" ht="15.75" customHeight="1" s="134"/>
    <row r="136" ht="15.75" customHeight="1" s="134"/>
    <row r="137" ht="15.75" customHeight="1" s="134"/>
    <row r="138" ht="15.75" customHeight="1" s="134"/>
    <row r="139" ht="15.75" customHeight="1" s="134"/>
    <row r="140" ht="15.75" customHeight="1" s="134"/>
    <row r="141" ht="15.75" customHeight="1" s="134"/>
    <row r="142" ht="15.75" customHeight="1" s="134"/>
    <row r="143" ht="15.75" customHeight="1" s="134"/>
    <row r="144" ht="15.75" customHeight="1" s="134"/>
    <row r="145" ht="15.75" customHeight="1" s="134"/>
    <row r="146" ht="15.75" customHeight="1" s="134"/>
    <row r="147" ht="15.75" customHeight="1" s="134"/>
    <row r="148" ht="15.75" customHeight="1" s="134"/>
    <row r="149" ht="15.75" customHeight="1" s="134"/>
    <row r="150" ht="15.75" customHeight="1" s="134"/>
    <row r="151" ht="15.75" customHeight="1" s="134"/>
    <row r="152" ht="15.75" customHeight="1" s="134"/>
    <row r="153" ht="15.75" customHeight="1" s="134"/>
    <row r="154" ht="15.75" customHeight="1" s="134"/>
    <row r="155" ht="15.75" customHeight="1" s="134"/>
    <row r="156" ht="15.75" customHeight="1" s="134"/>
    <row r="157" ht="15.75" customHeight="1" s="134"/>
    <row r="158" ht="15.75" customHeight="1" s="134"/>
    <row r="159" ht="15.75" customHeight="1" s="134"/>
    <row r="160" ht="15.75" customHeight="1" s="134"/>
    <row r="161" ht="15.75" customHeight="1" s="134"/>
    <row r="162" ht="15.75" customHeight="1" s="134"/>
    <row r="163" ht="15.75" customHeight="1" s="134"/>
    <row r="164" ht="15.75" customHeight="1" s="134"/>
    <row r="165" ht="15.75" customHeight="1" s="134"/>
    <row r="166" ht="15.75" customHeight="1" s="134"/>
    <row r="167" ht="15.75" customHeight="1" s="134"/>
    <row r="168" ht="15.75" customHeight="1" s="134"/>
    <row r="169" ht="15.75" customHeight="1" s="134"/>
    <row r="170" ht="15.75" customHeight="1" s="134"/>
    <row r="171" ht="15.75" customHeight="1" s="134"/>
    <row r="172" ht="15.75" customHeight="1" s="134"/>
    <row r="173" ht="15.75" customHeight="1" s="134"/>
    <row r="174" ht="15.75" customHeight="1" s="134"/>
    <row r="175" ht="15.75" customHeight="1" s="134"/>
    <row r="176" ht="15.75" customHeight="1" s="134"/>
    <row r="177" ht="15.75" customHeight="1" s="134"/>
    <row r="178" ht="15.75" customHeight="1" s="134"/>
    <row r="179" ht="15.75" customHeight="1" s="134"/>
    <row r="180" ht="15.75" customHeight="1" s="134"/>
    <row r="181" ht="15.75" customHeight="1" s="134"/>
    <row r="182" ht="15.75" customHeight="1" s="134"/>
    <row r="183" ht="15.75" customHeight="1" s="134"/>
    <row r="184" ht="15.75" customHeight="1" s="134"/>
    <row r="185" ht="15.75" customHeight="1" s="134"/>
    <row r="186" ht="15.75" customHeight="1" s="134"/>
    <row r="187" ht="15.75" customHeight="1" s="134"/>
    <row r="188" ht="15.75" customHeight="1" s="134"/>
    <row r="189" ht="15.75" customHeight="1" s="134"/>
    <row r="190" ht="15.75" customHeight="1" s="134"/>
    <row r="191" ht="15.75" customHeight="1" s="134"/>
    <row r="192" ht="15.75" customHeight="1" s="134"/>
    <row r="193" ht="15.75" customHeight="1" s="134"/>
    <row r="194" ht="15.75" customHeight="1" s="134"/>
    <row r="195" ht="15.75" customHeight="1" s="134"/>
    <row r="196" ht="15.75" customHeight="1" s="134"/>
    <row r="197" ht="15.75" customHeight="1" s="134"/>
    <row r="198" ht="15.75" customHeight="1" s="134"/>
    <row r="199" ht="15.75" customHeight="1" s="134"/>
    <row r="200" ht="15.75" customHeight="1" s="134"/>
    <row r="201" ht="15.75" customHeight="1" s="134"/>
    <row r="202" ht="15.75" customHeight="1" s="134"/>
    <row r="203" ht="15.75" customHeight="1" s="134"/>
    <row r="204" ht="15.75" customHeight="1" s="134"/>
    <row r="205" ht="15.75" customHeight="1" s="134"/>
    <row r="206" ht="15.75" customHeight="1" s="134"/>
    <row r="207" ht="15.75" customHeight="1" s="134"/>
    <row r="208" ht="15.75" customHeight="1" s="134"/>
    <row r="209" ht="15.75" customHeight="1" s="134"/>
    <row r="210" ht="15.75" customHeight="1" s="134"/>
    <row r="211" ht="15.75" customHeight="1" s="134"/>
    <row r="212" ht="15.75" customHeight="1" s="134"/>
    <row r="213" ht="15.75" customHeight="1" s="134"/>
    <row r="214" ht="15.75" customHeight="1" s="134"/>
    <row r="215" ht="15.75" customHeight="1" s="134"/>
    <row r="216" ht="15.75" customHeight="1" s="134"/>
    <row r="217" ht="15.75" customHeight="1" s="134"/>
    <row r="218" ht="15.75" customHeight="1" s="134"/>
    <row r="219" ht="15.75" customHeight="1" s="134"/>
    <row r="220" ht="15.75" customHeight="1" s="134"/>
    <row r="221" ht="15.75" customHeight="1" s="134"/>
    <row r="222" ht="15.75" customHeight="1" s="134"/>
    <row r="223" ht="15.75" customHeight="1" s="134"/>
    <row r="224" ht="15.75" customHeight="1" s="134"/>
    <row r="225" ht="15.75" customHeight="1" s="134"/>
    <row r="226" ht="15.75" customHeight="1" s="134"/>
    <row r="227" ht="15.75" customHeight="1" s="134"/>
    <row r="228" ht="15.75" customHeight="1" s="134"/>
    <row r="229" ht="15.75" customHeight="1" s="134"/>
    <row r="230" ht="15.75" customHeight="1" s="134"/>
    <row r="231" ht="15.75" customHeight="1" s="134"/>
    <row r="232" ht="15.75" customHeight="1" s="134"/>
    <row r="233" ht="15.75" customHeight="1" s="134"/>
    <row r="234" ht="15.75" customHeight="1" s="134"/>
    <row r="235" ht="15.75" customHeight="1" s="134"/>
    <row r="236" ht="15.75" customHeight="1" s="134"/>
    <row r="237" ht="15.75" customHeight="1" s="134"/>
    <row r="238" ht="15.75" customHeight="1" s="134"/>
    <row r="239" ht="15.75" customHeight="1" s="134"/>
    <row r="240" ht="15.75" customHeight="1" s="134"/>
    <row r="241" ht="15.75" customHeight="1" s="134"/>
    <row r="242" ht="15.75" customHeight="1" s="134"/>
    <row r="243" ht="15.75" customHeight="1" s="134"/>
    <row r="244" ht="15.75" customHeight="1" s="134"/>
    <row r="245" ht="15.75" customHeight="1" s="134"/>
    <row r="246" ht="15.75" customHeight="1" s="134"/>
    <row r="247" ht="15.75" customHeight="1" s="134"/>
    <row r="248" ht="15.75" customHeight="1" s="134"/>
    <row r="249" ht="15.75" customHeight="1" s="134"/>
    <row r="250" ht="15.75" customHeight="1" s="134"/>
    <row r="251" ht="15.75" customHeight="1" s="134"/>
    <row r="252" ht="15.75" customHeight="1" s="134"/>
    <row r="253" ht="15.75" customHeight="1" s="134"/>
    <row r="254" ht="15.75" customHeight="1" s="134"/>
    <row r="255" ht="15.75" customHeight="1" s="134"/>
    <row r="256" ht="15.75" customHeight="1" s="134"/>
    <row r="257" ht="15.75" customHeight="1" s="134"/>
    <row r="258" ht="15.75" customHeight="1" s="134"/>
    <row r="259" ht="15.75" customHeight="1" s="134"/>
    <row r="260" ht="15.75" customHeight="1" s="134"/>
    <row r="261" ht="15.75" customHeight="1" s="134"/>
    <row r="262" ht="15.75" customHeight="1" s="134"/>
    <row r="263" ht="15.75" customHeight="1" s="134"/>
    <row r="264" ht="15.75" customHeight="1" s="134"/>
    <row r="265" ht="15.75" customHeight="1" s="134"/>
    <row r="266" ht="15.75" customHeight="1" s="134"/>
    <row r="267" ht="15.75" customHeight="1" s="134"/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134" min="1" max="1"/>
    <col width="44" customWidth="1" style="134" min="2" max="2"/>
    <col width="8.83203125" customWidth="1" style="134" min="3" max="3"/>
    <col hidden="1" width="13" customWidth="1" style="134" min="4" max="8"/>
    <col width="8.83203125" customWidth="1" style="134" min="9" max="26"/>
  </cols>
  <sheetData>
    <row r="1" ht="15.75" customHeight="1" s="134">
      <c r="A1" s="27" t="inlineStr">
        <is>
          <t>Fornitori NON mappati in d_fornitori.csv — assegnare una voce (hotelops fornitori) e rigenerare</t>
        </is>
      </c>
    </row>
    <row r="2" ht="15.75" customHeight="1" s="134">
      <c r="A2" s="27" t="inlineStr">
        <is>
          <t>Cod</t>
        </is>
      </c>
      <c r="B2" s="27" t="inlineStr">
        <is>
          <t>Nome (da export)</t>
        </is>
      </c>
      <c r="C2" s="27" t="inlineStr">
        <is>
          <t>GENNAIO</t>
        </is>
      </c>
      <c r="D2" s="27" t="inlineStr">
        <is>
          <t>FEBBRAIO</t>
        </is>
      </c>
      <c r="E2" s="27" t="inlineStr">
        <is>
          <t>MARZO</t>
        </is>
      </c>
      <c r="F2" s="27" t="inlineStr">
        <is>
          <t>APRILE</t>
        </is>
      </c>
      <c r="G2" s="27" t="inlineStr">
        <is>
          <t>MAGGIO</t>
        </is>
      </c>
      <c r="H2" s="27" t="inlineStr">
        <is>
          <t>GIUGNO</t>
        </is>
      </c>
      <c r="I2" s="27" t="inlineStr">
        <is>
          <t>LUGLIO</t>
        </is>
      </c>
      <c r="J2" s="27" t="inlineStr">
        <is>
          <t>AGOSTO</t>
        </is>
      </c>
      <c r="K2" s="27" t="inlineStr">
        <is>
          <t>SETTEMBRE</t>
        </is>
      </c>
      <c r="L2" s="27" t="inlineStr">
        <is>
          <t>OTTOBRE</t>
        </is>
      </c>
      <c r="M2" s="27" t="inlineStr">
        <is>
          <t>NOVEMBRE</t>
        </is>
      </c>
      <c r="N2" s="27" t="inlineStr">
        <is>
          <t>DICEMBRE</t>
        </is>
      </c>
    </row>
    <row r="3" ht="15.75" customHeight="1" s="134">
      <c r="A3" s="128" t="n">
        <v>648</v>
      </c>
      <c r="B3" s="128" t="inlineStr">
        <is>
          <t>ALBA NEON S.R.L.</t>
        </is>
      </c>
      <c r="I3" s="129" t="n">
        <v>976</v>
      </c>
    </row>
    <row r="4" ht="15.75" customHeight="1" s="134">
      <c r="A4" s="128" t="n">
        <v>949</v>
      </c>
      <c r="B4" s="128" t="inlineStr">
        <is>
          <t>ASSOCIAZIONE SOUL FOOD</t>
        </is>
      </c>
      <c r="I4" s="129" t="n">
        <v>1490</v>
      </c>
    </row>
    <row r="5" ht="15.75" customHeight="1" s="134">
      <c r="A5" s="128" t="n">
        <v>1721</v>
      </c>
      <c r="B5" s="128" t="inlineStr">
        <is>
          <t>LEIDIVA DI SEPE ROSARIO</t>
        </is>
      </c>
      <c r="I5" s="129" t="n">
        <v>507.52</v>
      </c>
    </row>
    <row r="6" ht="15.75" customHeight="1" s="134"/>
    <row r="7" ht="15.75" customHeight="1" s="134"/>
    <row r="8" ht="15.75" customHeight="1" s="134"/>
    <row r="9" ht="15.75" customHeight="1" s="134"/>
    <row r="10" ht="15.75" customHeight="1" s="134"/>
    <row r="11" ht="15.75" customHeight="1" s="134"/>
    <row r="12" ht="15.75" customHeight="1" s="134"/>
    <row r="13" ht="15.75" customHeight="1" s="134"/>
    <row r="14" ht="15.75" customHeight="1" s="134"/>
    <row r="15" ht="15.75" customHeight="1" s="134"/>
    <row r="16" ht="15.75" customHeight="1" s="134"/>
    <row r="17" ht="15.75" customHeight="1" s="134"/>
    <row r="18" ht="15.75" customHeight="1" s="134"/>
    <row r="19" ht="15.75" customHeight="1" s="134"/>
    <row r="20" ht="15.75" customHeight="1" s="134"/>
    <row r="21" ht="15.75" customHeight="1" s="134"/>
    <row r="22" ht="15.75" customHeight="1" s="134"/>
    <row r="23" ht="15.75" customHeight="1" s="134"/>
    <row r="24" ht="15.75" customHeight="1" s="134"/>
    <row r="25" ht="15.75" customHeight="1" s="134"/>
    <row r="26" ht="15.75" customHeight="1" s="134"/>
    <row r="27" ht="15.75" customHeight="1" s="134"/>
    <row r="28" ht="15.75" customHeight="1" s="134"/>
    <row r="29" ht="15.75" customHeight="1" s="134"/>
    <row r="30" ht="15.75" customHeight="1" s="134"/>
    <row r="31" ht="15.75" customHeight="1" s="134"/>
    <row r="32" ht="15.75" customHeight="1" s="134"/>
    <row r="33" ht="15.75" customHeight="1" s="134"/>
    <row r="34" ht="15.75" customHeight="1" s="134"/>
    <row r="35" ht="15.75" customHeight="1" s="134"/>
    <row r="36" ht="15.75" customHeight="1" s="134"/>
    <row r="37" ht="15.75" customHeight="1" s="134"/>
    <row r="38" ht="15.75" customHeight="1" s="134"/>
    <row r="39" ht="15.75" customHeight="1" s="134"/>
    <row r="40" ht="15.75" customHeight="1" s="134"/>
    <row r="41" ht="15.75" customHeight="1" s="134"/>
    <row r="42" ht="15.75" customHeight="1" s="134"/>
    <row r="43" ht="15.75" customHeight="1" s="134"/>
    <row r="44" ht="15.75" customHeight="1" s="134"/>
    <row r="45" ht="15.75" customHeight="1" s="134"/>
    <row r="46" ht="15.75" customHeight="1" s="134"/>
    <row r="47" ht="15.75" customHeight="1" s="134"/>
    <row r="48" ht="15.75" customHeight="1" s="134"/>
    <row r="49" ht="15.75" customHeight="1" s="134"/>
    <row r="50" ht="15.75" customHeight="1" s="134"/>
    <row r="51" ht="15.75" customHeight="1" s="134"/>
    <row r="52" ht="15.75" customHeight="1" s="134"/>
    <row r="53" ht="15.75" customHeight="1" s="134"/>
    <row r="54" ht="15.75" customHeight="1" s="134"/>
    <row r="55" ht="15.75" customHeight="1" s="134"/>
    <row r="56" ht="15.75" customHeight="1" s="134"/>
    <row r="57" ht="15.75" customHeight="1" s="134"/>
    <row r="58" ht="15.75" customHeight="1" s="134"/>
    <row r="59" ht="15.75" customHeight="1" s="134"/>
    <row r="60" ht="15.75" customHeight="1" s="134"/>
    <row r="61" ht="15.75" customHeight="1" s="134"/>
    <row r="62" ht="15.75" customHeight="1" s="134"/>
    <row r="63" ht="15.75" customHeight="1" s="134"/>
    <row r="64" ht="15.75" customHeight="1" s="134"/>
    <row r="65" ht="15.75" customHeight="1" s="134"/>
    <row r="66" ht="15.75" customHeight="1" s="134"/>
    <row r="67" ht="15.75" customHeight="1" s="134"/>
    <row r="68" ht="15.75" customHeight="1" s="134"/>
    <row r="69" ht="15.75" customHeight="1" s="134"/>
    <row r="70" ht="15.75" customHeight="1" s="134"/>
    <row r="71" ht="15.75" customHeight="1" s="134"/>
    <row r="72" ht="15.75" customHeight="1" s="134"/>
    <row r="73" ht="15.75" customHeight="1" s="134"/>
    <row r="74" ht="15.75" customHeight="1" s="134"/>
    <row r="75" ht="15.75" customHeight="1" s="134"/>
    <row r="76" ht="15.75" customHeight="1" s="134"/>
    <row r="77" ht="15.75" customHeight="1" s="134"/>
    <row r="78" ht="15.75" customHeight="1" s="134"/>
    <row r="79" ht="15.75" customHeight="1" s="134"/>
    <row r="80" ht="15.75" customHeight="1" s="134"/>
    <row r="81" ht="15.75" customHeight="1" s="134"/>
    <row r="82" ht="15.75" customHeight="1" s="134"/>
    <row r="83" ht="15.75" customHeight="1" s="134"/>
    <row r="84" ht="15.75" customHeight="1" s="134"/>
    <row r="85" ht="15.75" customHeight="1" s="134"/>
    <row r="86" ht="15.75" customHeight="1" s="134"/>
    <row r="87" ht="15.75" customHeight="1" s="134"/>
    <row r="88" ht="15.75" customHeight="1" s="134"/>
    <row r="89" ht="15.75" customHeight="1" s="134"/>
    <row r="90" ht="15.75" customHeight="1" s="134"/>
    <row r="91" ht="15.75" customHeight="1" s="134"/>
    <row r="92" ht="15.75" customHeight="1" s="134"/>
    <row r="93" ht="15.75" customHeight="1" s="134"/>
    <row r="94" ht="15.75" customHeight="1" s="134"/>
    <row r="95" ht="15.75" customHeight="1" s="134"/>
    <row r="96" ht="15.75" customHeight="1" s="134"/>
    <row r="97" ht="15.75" customHeight="1" s="134"/>
    <row r="98" ht="15.75" customHeight="1" s="134"/>
    <row r="99" ht="15.75" customHeight="1" s="134"/>
    <row r="100" ht="15.75" customHeight="1" s="134"/>
    <row r="101" ht="15.75" customHeight="1" s="134"/>
    <row r="102" ht="15.75" customHeight="1" s="134"/>
    <row r="103" ht="15.75" customHeight="1" s="134"/>
    <row r="104" ht="15.75" customHeight="1" s="134"/>
    <row r="105" ht="15.75" customHeight="1" s="134"/>
    <row r="106" ht="15.75" customHeight="1" s="134"/>
    <row r="107" ht="15.75" customHeight="1" s="134"/>
    <row r="108" ht="15.75" customHeight="1" s="134"/>
    <row r="109" ht="15.75" customHeight="1" s="134"/>
    <row r="110" ht="15.75" customHeight="1" s="134"/>
    <row r="111" ht="15.75" customHeight="1" s="134"/>
    <row r="112" ht="15.75" customHeight="1" s="134"/>
    <row r="113" ht="15.75" customHeight="1" s="134"/>
    <row r="114" ht="15.75" customHeight="1" s="134"/>
    <row r="115" ht="15.75" customHeight="1" s="134"/>
    <row r="116" ht="15.75" customHeight="1" s="134"/>
    <row r="117" ht="15.75" customHeight="1" s="134"/>
    <row r="118" ht="15.75" customHeight="1" s="134"/>
    <row r="119" ht="15.75" customHeight="1" s="134"/>
    <row r="120" ht="15.75" customHeight="1" s="134"/>
    <row r="121" ht="15.75" customHeight="1" s="134"/>
    <row r="122" ht="15.75" customHeight="1" s="134"/>
    <row r="123" ht="15.75" customHeight="1" s="134"/>
    <row r="124" ht="15.75" customHeight="1" s="134"/>
    <row r="125" ht="15.75" customHeight="1" s="134"/>
    <row r="126" ht="15.75" customHeight="1" s="134"/>
    <row r="127" ht="15.75" customHeight="1" s="134"/>
    <row r="128" ht="15.75" customHeight="1" s="134"/>
    <row r="129" ht="15.75" customHeight="1" s="134"/>
    <row r="130" ht="15.75" customHeight="1" s="134"/>
    <row r="131" ht="15.75" customHeight="1" s="134"/>
    <row r="132" ht="15.75" customHeight="1" s="134"/>
    <row r="133" ht="15.75" customHeight="1" s="134"/>
    <row r="134" ht="15.75" customHeight="1" s="134"/>
    <row r="135" ht="15.75" customHeight="1" s="134"/>
    <row r="136" ht="15.75" customHeight="1" s="134"/>
    <row r="137" ht="15.75" customHeight="1" s="134"/>
    <row r="138" ht="15.75" customHeight="1" s="134"/>
    <row r="139" ht="15.75" customHeight="1" s="134"/>
    <row r="140" ht="15.75" customHeight="1" s="134"/>
    <row r="141" ht="15.75" customHeight="1" s="134"/>
    <row r="142" ht="15.75" customHeight="1" s="134"/>
    <row r="143" ht="15.75" customHeight="1" s="134"/>
    <row r="144" ht="15.75" customHeight="1" s="134"/>
    <row r="145" ht="15.75" customHeight="1" s="134"/>
    <row r="146" ht="15.75" customHeight="1" s="134"/>
    <row r="147" ht="15.75" customHeight="1" s="134"/>
    <row r="148" ht="15.75" customHeight="1" s="134"/>
    <row r="149" ht="15.75" customHeight="1" s="134"/>
    <row r="150" ht="15.75" customHeight="1" s="134"/>
    <row r="151" ht="15.75" customHeight="1" s="134"/>
    <row r="152" ht="15.75" customHeight="1" s="134"/>
    <row r="153" ht="15.75" customHeight="1" s="134"/>
    <row r="154" ht="15.75" customHeight="1" s="134"/>
    <row r="155" ht="15.75" customHeight="1" s="134"/>
    <row r="156" ht="15.75" customHeight="1" s="134"/>
    <row r="157" ht="15.75" customHeight="1" s="134"/>
    <row r="158" ht="15.75" customHeight="1" s="134"/>
    <row r="159" ht="15.75" customHeight="1" s="134"/>
    <row r="160" ht="15.75" customHeight="1" s="134"/>
    <row r="161" ht="15.75" customHeight="1" s="134"/>
    <row r="162" ht="15.75" customHeight="1" s="134"/>
    <row r="163" ht="15.75" customHeight="1" s="134"/>
    <row r="164" ht="15.75" customHeight="1" s="134"/>
    <row r="165" ht="15.75" customHeight="1" s="134"/>
    <row r="166" ht="15.75" customHeight="1" s="134"/>
    <row r="167" ht="15.75" customHeight="1" s="134"/>
    <row r="168" ht="15.75" customHeight="1" s="134"/>
    <row r="169" ht="15.75" customHeight="1" s="134"/>
    <row r="170" ht="15.75" customHeight="1" s="134"/>
    <row r="171" ht="15.75" customHeight="1" s="134"/>
    <row r="172" ht="15.75" customHeight="1" s="134"/>
    <row r="173" ht="15.75" customHeight="1" s="134"/>
    <row r="174" ht="15.75" customHeight="1" s="134"/>
    <row r="175" ht="15.75" customHeight="1" s="134"/>
    <row r="176" ht="15.75" customHeight="1" s="134"/>
    <row r="177" ht="15.75" customHeight="1" s="134"/>
    <row r="178" ht="15.75" customHeight="1" s="134"/>
    <row r="179" ht="15.75" customHeight="1" s="134"/>
    <row r="180" ht="15.75" customHeight="1" s="134"/>
    <row r="181" ht="15.75" customHeight="1" s="134"/>
    <row r="182" ht="15.75" customHeight="1" s="134"/>
    <row r="183" ht="15.75" customHeight="1" s="134"/>
    <row r="184" ht="15.75" customHeight="1" s="134"/>
    <row r="185" ht="15.75" customHeight="1" s="134"/>
    <row r="186" ht="15.75" customHeight="1" s="134"/>
    <row r="187" ht="15.75" customHeight="1" s="134"/>
    <row r="188" ht="15.75" customHeight="1" s="134"/>
    <row r="189" ht="15.75" customHeight="1" s="134"/>
    <row r="190" ht="15.75" customHeight="1" s="134"/>
    <row r="191" ht="15.75" customHeight="1" s="134"/>
    <row r="192" ht="15.75" customHeight="1" s="134"/>
    <row r="193" ht="15.75" customHeight="1" s="134"/>
    <row r="194" ht="15.75" customHeight="1" s="134"/>
    <row r="195" ht="15.75" customHeight="1" s="134"/>
    <row r="196" ht="15.75" customHeight="1" s="134"/>
    <row r="197" ht="15.75" customHeight="1" s="134"/>
    <row r="198" ht="15.75" customHeight="1" s="134"/>
    <row r="199" ht="15.75" customHeight="1" s="134"/>
    <row r="200" ht="15.75" customHeight="1" s="134"/>
    <row r="201" ht="15.75" customHeight="1" s="134"/>
    <row r="202" ht="15.75" customHeight="1" s="134"/>
    <row r="203" ht="15.75" customHeight="1" s="134"/>
    <row r="204" ht="15.75" customHeight="1" s="134"/>
    <row r="205" ht="15.75" customHeight="1" s="134"/>
    <row r="206" ht="15.75" customHeight="1" s="134"/>
    <row r="207" ht="15.75" customHeight="1" s="134"/>
    <row r="208" ht="15.75" customHeight="1" s="134"/>
    <row r="209" ht="15.75" customHeight="1" s="134"/>
    <row r="210" ht="15.75" customHeight="1" s="134"/>
    <row r="211" ht="15.75" customHeight="1" s="134"/>
    <row r="212" ht="15.75" customHeight="1" s="134"/>
    <row r="213" ht="15.75" customHeight="1" s="134"/>
    <row r="214" ht="15.75" customHeight="1" s="134"/>
    <row r="215" ht="15.75" customHeight="1" s="134"/>
    <row r="216" ht="15.75" customHeight="1" s="134"/>
    <row r="217" ht="15.75" customHeight="1" s="134"/>
    <row r="218" ht="15.75" customHeight="1" s="134"/>
    <row r="219" ht="15.75" customHeight="1" s="134"/>
    <row r="220" ht="15.75" customHeight="1" s="134"/>
    <row r="221" ht="15.75" customHeight="1" s="134"/>
    <row r="222" ht="15.75" customHeight="1" s="134"/>
    <row r="223" ht="15.75" customHeight="1" s="134"/>
    <row r="224" ht="15.75" customHeight="1" s="134"/>
    <row r="225" ht="15.75" customHeight="1" s="134"/>
    <row r="226" ht="15.75" customHeight="1" s="134"/>
    <row r="227" ht="15.75" customHeight="1" s="134"/>
    <row r="228" ht="15.75" customHeight="1" s="134"/>
    <row r="229" ht="15.75" customHeight="1" s="134"/>
    <row r="230" ht="15.75" customHeight="1" s="134"/>
    <row r="231" ht="15.75" customHeight="1" s="134"/>
    <row r="232" ht="15.75" customHeight="1" s="134"/>
    <row r="233" ht="15.75" customHeight="1" s="134"/>
    <row r="234" ht="15.75" customHeight="1" s="134"/>
    <row r="235" ht="15.75" customHeight="1" s="134"/>
    <row r="236" ht="15.75" customHeight="1" s="134"/>
    <row r="237" ht="15.75" customHeight="1" s="134"/>
    <row r="238" ht="15.75" customHeight="1" s="134"/>
    <row r="239" ht="15.75" customHeight="1" s="134"/>
    <row r="240" ht="15.75" customHeight="1" s="134"/>
    <row r="241" ht="15.75" customHeight="1" s="134"/>
    <row r="242" ht="15.75" customHeight="1" s="134"/>
    <row r="243" ht="15.75" customHeight="1" s="134"/>
    <row r="244" ht="15.75" customHeight="1" s="134"/>
    <row r="245" ht="15.75" customHeight="1" s="134"/>
    <row r="246" ht="15.75" customHeight="1" s="134"/>
    <row r="247" ht="15.75" customHeight="1" s="134"/>
    <row r="248" ht="15.75" customHeight="1" s="134"/>
    <row r="249" ht="15.75" customHeight="1" s="134"/>
    <row r="250" ht="15.75" customHeight="1" s="134"/>
    <row r="251" ht="15.75" customHeight="1" s="134"/>
    <row r="252" ht="15.75" customHeight="1" s="134"/>
    <row r="253" ht="15.75" customHeight="1" s="134"/>
    <row r="254" ht="15.75" customHeight="1" s="134"/>
    <row r="255" ht="15.75" customHeight="1" s="134"/>
    <row r="256" ht="15.75" customHeight="1" s="134"/>
    <row r="257" ht="15.75" customHeight="1" s="134"/>
    <row r="258" ht="15.75" customHeight="1" s="134"/>
    <row r="259" ht="15.75" customHeight="1" s="134"/>
    <row r="260" ht="15.75" customHeight="1" s="134"/>
    <row r="261" ht="15.75" customHeight="1" s="134"/>
    <row r="262" ht="15.75" customHeight="1" s="134"/>
    <row r="263" ht="15.75" customHeight="1" s="134"/>
    <row r="264" ht="15.75" customHeight="1" s="134"/>
    <row r="265" ht="15.75" customHeight="1" s="134"/>
    <row r="266" ht="15.75" customHeight="1" s="134"/>
    <row r="267" ht="15.75" customHeight="1" s="134"/>
    <row r="268" ht="15.75" customHeight="1" s="134"/>
    <row r="269" ht="15.75" customHeight="1" s="134"/>
    <row r="270" ht="15.75" customHeight="1" s="134"/>
    <row r="271" ht="15.75" customHeight="1" s="134"/>
    <row r="272" ht="15.75" customHeight="1" s="134"/>
    <row r="273" ht="15.75" customHeight="1" s="134"/>
    <row r="274" ht="15.75" customHeight="1" s="134"/>
    <row r="275" ht="15.75" customHeight="1" s="134"/>
    <row r="276" ht="15.75" customHeight="1" s="134"/>
    <row r="277" ht="15.75" customHeight="1" s="134"/>
    <row r="278" ht="15.75" customHeight="1" s="134"/>
    <row r="279" ht="15.75" customHeight="1" s="134"/>
    <row r="280" ht="15.75" customHeight="1" s="134"/>
    <row r="281" ht="15.75" customHeight="1" s="134"/>
    <row r="282" ht="15.75" customHeight="1" s="134"/>
    <row r="283" ht="15.75" customHeight="1" s="134"/>
    <row r="284" ht="15.75" customHeight="1" s="134"/>
    <row r="285" ht="15.75" customHeight="1" s="134"/>
    <row r="286" ht="15.75" customHeight="1" s="134"/>
    <row r="287" ht="15.75" customHeight="1" s="134"/>
    <row r="288" ht="15.75" customHeight="1" s="134"/>
    <row r="289" ht="15.75" customHeight="1" s="134"/>
    <row r="290" ht="15.75" customHeight="1" s="134"/>
    <row r="291" ht="15.75" customHeight="1" s="134"/>
    <row r="292" ht="15.75" customHeight="1" s="134"/>
    <row r="293" ht="15.75" customHeight="1" s="134"/>
    <row r="294" ht="15.75" customHeight="1" s="134"/>
    <row r="295" ht="15.75" customHeight="1" s="134"/>
    <row r="296" ht="15.75" customHeight="1" s="134"/>
    <row r="297" ht="15.75" customHeight="1" s="134"/>
    <row r="298" ht="15.75" customHeight="1" s="134"/>
    <row r="299" ht="15.75" customHeight="1" s="134"/>
    <row r="300" ht="15.75" customHeight="1" s="134"/>
    <row r="301" ht="15.75" customHeight="1" s="134"/>
    <row r="302" ht="15.75" customHeight="1" s="134"/>
    <row r="303" ht="15.75" customHeight="1" s="134"/>
    <row r="304" ht="15.75" customHeight="1" s="134"/>
    <row r="305" ht="15.75" customHeight="1" s="134"/>
    <row r="306" ht="15.75" customHeight="1" s="134"/>
    <row r="307" ht="15.75" customHeight="1" s="134"/>
    <row r="308" ht="15.75" customHeight="1" s="134"/>
    <row r="309" ht="15.75" customHeight="1" s="134"/>
    <row r="310" ht="15.75" customHeight="1" s="134"/>
    <row r="311" ht="15.75" customHeight="1" s="134"/>
    <row r="312" ht="15.75" customHeight="1" s="134"/>
    <row r="313" ht="15.75" customHeight="1" s="134"/>
    <row r="314" ht="15.75" customHeight="1" s="134"/>
    <row r="315" ht="15.75" customHeight="1" s="134"/>
    <row r="316" ht="15.75" customHeight="1" s="134"/>
    <row r="317" ht="15.75" customHeight="1" s="134"/>
    <row r="318" ht="15.75" customHeight="1" s="134"/>
    <row r="319" ht="15.75" customHeight="1" s="134"/>
    <row r="320" ht="15.75" customHeight="1" s="134"/>
    <row r="321" ht="15.75" customHeight="1" s="134"/>
    <row r="322" ht="15.75" customHeight="1" s="134"/>
    <row r="323" ht="15.75" customHeight="1" s="134"/>
    <row r="324" ht="15.75" customHeight="1" s="134"/>
    <row r="325" ht="15.75" customHeight="1" s="134"/>
    <row r="326" ht="15.75" customHeight="1" s="134"/>
    <row r="327" ht="15.75" customHeight="1" s="134"/>
    <row r="328" ht="15.75" customHeight="1" s="134"/>
    <row r="329" ht="15.75" customHeight="1" s="134"/>
    <row r="330" ht="15.75" customHeight="1" s="134"/>
    <row r="331" ht="15.75" customHeight="1" s="134"/>
    <row r="332" ht="15.75" customHeight="1" s="134"/>
    <row r="333" ht="15.75" customHeight="1" s="134"/>
    <row r="334" ht="15.75" customHeight="1" s="134"/>
    <row r="335" ht="15.75" customHeight="1" s="134"/>
    <row r="336" ht="15.75" customHeight="1" s="134"/>
    <row r="337" ht="15.75" customHeight="1" s="134"/>
    <row r="338" ht="15.75" customHeight="1" s="134"/>
    <row r="339" ht="15.75" customHeight="1" s="134"/>
    <row r="340" ht="15.75" customHeight="1" s="134"/>
    <row r="341" ht="15.75" customHeight="1" s="134"/>
    <row r="342" ht="15.75" customHeight="1" s="134"/>
    <row r="343" ht="15.75" customHeight="1" s="134"/>
    <row r="344" ht="15.75" customHeight="1" s="134"/>
    <row r="345" ht="15.75" customHeight="1" s="134"/>
    <row r="346" ht="15.75" customHeight="1" s="134"/>
    <row r="347" ht="15.75" customHeight="1" s="134"/>
    <row r="348" ht="15.75" customHeight="1" s="134"/>
    <row r="349" ht="15.75" customHeight="1" s="134"/>
    <row r="350" ht="15.75" customHeight="1" s="134"/>
    <row r="351" ht="15.75" customHeight="1" s="134"/>
    <row r="352" ht="15.75" customHeight="1" s="134"/>
    <row r="353" ht="15.75" customHeight="1" s="134"/>
    <row r="354" ht="15.75" customHeight="1" s="134"/>
    <row r="355" ht="15.75" customHeight="1" s="134"/>
    <row r="356" ht="15.75" customHeight="1" s="134"/>
    <row r="357" ht="15.75" customHeight="1" s="134"/>
    <row r="358" ht="15.75" customHeight="1" s="134"/>
    <row r="359" ht="15.75" customHeight="1" s="134"/>
    <row r="360" ht="15.75" customHeight="1" s="134"/>
    <row r="361" ht="15.75" customHeight="1" s="134"/>
    <row r="362" ht="15.75" customHeight="1" s="134"/>
    <row r="363" ht="15.75" customHeight="1" s="134"/>
    <row r="364" ht="15.75" customHeight="1" s="134"/>
    <row r="365" ht="15.75" customHeight="1" s="134"/>
    <row r="366" ht="15.75" customHeight="1" s="134"/>
    <row r="367" ht="15.75" customHeight="1" s="134"/>
    <row r="368" ht="15.75" customHeight="1" s="134"/>
    <row r="369" ht="15.75" customHeight="1" s="134"/>
    <row r="370" ht="15.75" customHeight="1" s="134"/>
    <row r="371" ht="15.75" customHeight="1" s="134"/>
    <row r="372" ht="15.75" customHeight="1" s="134"/>
    <row r="373" ht="15.75" customHeight="1" s="134"/>
    <row r="374" ht="15.75" customHeight="1" s="134"/>
    <row r="375" ht="15.75" customHeight="1" s="134"/>
    <row r="376" ht="15.75" customHeight="1" s="134"/>
    <row r="377" ht="15.75" customHeight="1" s="134"/>
    <row r="378" ht="15.75" customHeight="1" s="134"/>
    <row r="379" ht="15.75" customHeight="1" s="134"/>
    <row r="380" ht="15.75" customHeight="1" s="134"/>
    <row r="381" ht="15.75" customHeight="1" s="134"/>
    <row r="382" ht="15.75" customHeight="1" s="134"/>
    <row r="383" ht="15.75" customHeight="1" s="134"/>
    <row r="384" ht="15.75" customHeight="1" s="134"/>
    <row r="385" ht="15.75" customHeight="1" s="134"/>
    <row r="386" ht="15.75" customHeight="1" s="134"/>
    <row r="387" ht="15.75" customHeight="1" s="134"/>
    <row r="388" ht="15.75" customHeight="1" s="134"/>
    <row r="389" ht="15.75" customHeight="1" s="134"/>
    <row r="390" ht="15.75" customHeight="1" s="134"/>
    <row r="391" ht="15.75" customHeight="1" s="134"/>
    <row r="392" ht="15.75" customHeight="1" s="134"/>
    <row r="393" ht="15.75" customHeight="1" s="134"/>
    <row r="394" ht="15.75" customHeight="1" s="134"/>
    <row r="395" ht="15.75" customHeight="1" s="134"/>
    <row r="396" ht="15.75" customHeight="1" s="134"/>
    <row r="397" ht="15.75" customHeight="1" s="134"/>
    <row r="398" ht="15.75" customHeight="1" s="134"/>
    <row r="399" ht="15.75" customHeight="1" s="134"/>
    <row r="400" ht="15.75" customHeight="1" s="134"/>
    <row r="401" ht="15.75" customHeight="1" s="134"/>
    <row r="402" ht="15.75" customHeight="1" s="134"/>
    <row r="403" ht="15.75" customHeight="1" s="134"/>
    <row r="404" ht="15.75" customHeight="1" s="134"/>
    <row r="405" ht="15.75" customHeight="1" s="134"/>
    <row r="406" ht="15.75" customHeight="1" s="134"/>
    <row r="407" ht="15.75" customHeight="1" s="134"/>
    <row r="408" ht="15.75" customHeight="1" s="134"/>
    <row r="409" ht="15.75" customHeight="1" s="134"/>
    <row r="410" ht="15.75" customHeight="1" s="134"/>
    <row r="411" ht="15.75" customHeight="1" s="134"/>
    <row r="412" ht="15.75" customHeight="1" s="134"/>
    <row r="413" ht="15.75" customHeight="1" s="134"/>
    <row r="414" ht="15.75" customHeight="1" s="134"/>
    <row r="415" ht="15.75" customHeight="1" s="134"/>
    <row r="416" ht="15.75" customHeight="1" s="134"/>
    <row r="417" ht="15.75" customHeight="1" s="134"/>
    <row r="418" ht="15.75" customHeight="1" s="134"/>
    <row r="419" ht="15.75" customHeight="1" s="134"/>
    <row r="420" ht="15.75" customHeight="1" s="134"/>
    <row r="421" ht="15.75" customHeight="1" s="134"/>
    <row r="422" ht="15.75" customHeight="1" s="134"/>
    <row r="423" ht="15.75" customHeight="1" s="134"/>
    <row r="424" ht="15.75" customHeight="1" s="134"/>
    <row r="425" ht="15.75" customHeight="1" s="134"/>
    <row r="426" ht="15.75" customHeight="1" s="134"/>
    <row r="427" ht="15.75" customHeight="1" s="134"/>
    <row r="428" ht="15.75" customHeight="1" s="134"/>
    <row r="429" ht="15.75" customHeight="1" s="134"/>
    <row r="430" ht="15.75" customHeight="1" s="134"/>
    <row r="431" ht="15.75" customHeight="1" s="134"/>
    <row r="432" ht="15.75" customHeight="1" s="134"/>
    <row r="433" ht="15.75" customHeight="1" s="134"/>
    <row r="434" ht="15.75" customHeight="1" s="134"/>
    <row r="435" ht="15.75" customHeight="1" s="134"/>
    <row r="436" ht="15.75" customHeight="1" s="134"/>
    <row r="437" ht="15.75" customHeight="1" s="134"/>
    <row r="438" ht="15.75" customHeight="1" s="134"/>
    <row r="439" ht="15.75" customHeight="1" s="134"/>
    <row r="440" ht="15.75" customHeight="1" s="134"/>
    <row r="441" ht="15.75" customHeight="1" s="134"/>
    <row r="442" ht="15.75" customHeight="1" s="134"/>
    <row r="443" ht="15.75" customHeight="1" s="134"/>
    <row r="444" ht="15.75" customHeight="1" s="134"/>
    <row r="445" ht="15.75" customHeight="1" s="134"/>
    <row r="446" ht="15.75" customHeight="1" s="134"/>
    <row r="447" ht="15.75" customHeight="1" s="134"/>
    <row r="448" ht="15.75" customHeight="1" s="134"/>
    <row r="449" ht="15.75" customHeight="1" s="134"/>
    <row r="450" ht="15.75" customHeight="1" s="134"/>
    <row r="451" ht="15.75" customHeight="1" s="134"/>
    <row r="452" ht="15.75" customHeight="1" s="134"/>
    <row r="453" ht="15.75" customHeight="1" s="134"/>
    <row r="454" ht="15.75" customHeight="1" s="134"/>
    <row r="455" ht="15.75" customHeight="1" s="134"/>
    <row r="456" ht="15.75" customHeight="1" s="134"/>
    <row r="457" ht="15.75" customHeight="1" s="134"/>
    <row r="458" ht="15.75" customHeight="1" s="134"/>
    <row r="459" ht="15.75" customHeight="1" s="134"/>
    <row r="460" ht="15.75" customHeight="1" s="134"/>
    <row r="461" ht="15.75" customHeight="1" s="134"/>
    <row r="462" ht="15.75" customHeight="1" s="134"/>
    <row r="463" ht="15.75" customHeight="1" s="134"/>
    <row r="464" ht="15.75" customHeight="1" s="134"/>
    <row r="465" ht="15.75" customHeight="1" s="134"/>
    <row r="466" ht="15.75" customHeight="1" s="134"/>
    <row r="467" ht="15.75" customHeight="1" s="134"/>
    <row r="468" ht="15.75" customHeight="1" s="134"/>
    <row r="469" ht="15.75" customHeight="1" s="134"/>
    <row r="470" ht="15.75" customHeight="1" s="134"/>
    <row r="471" ht="15.75" customHeight="1" s="134"/>
    <row r="472" ht="15.75" customHeight="1" s="134"/>
    <row r="473" ht="15.75" customHeight="1" s="134"/>
    <row r="474" ht="15.75" customHeight="1" s="134"/>
    <row r="475" ht="15.75" customHeight="1" s="134"/>
    <row r="476" ht="15.75" customHeight="1" s="134"/>
    <row r="477" ht="15.75" customHeight="1" s="134"/>
    <row r="478" ht="15.75" customHeight="1" s="134"/>
    <row r="479" ht="15.75" customHeight="1" s="134"/>
    <row r="480" ht="15.75" customHeight="1" s="134"/>
    <row r="481" ht="15.75" customHeight="1" s="134"/>
    <row r="482" ht="15.75" customHeight="1" s="134"/>
    <row r="483" ht="15.75" customHeight="1" s="134"/>
    <row r="484" ht="15.75" customHeight="1" s="134"/>
    <row r="485" ht="15.75" customHeight="1" s="134"/>
    <row r="486" ht="15.75" customHeight="1" s="134"/>
    <row r="487" ht="15.75" customHeight="1" s="134"/>
    <row r="488" ht="15.75" customHeight="1" s="134"/>
    <row r="489" ht="15.75" customHeight="1" s="134"/>
    <row r="490" ht="15.75" customHeight="1" s="134"/>
    <row r="491" ht="15.75" customHeight="1" s="134"/>
    <row r="492" ht="15.75" customHeight="1" s="134"/>
    <row r="493" ht="15.75" customHeight="1" s="134"/>
    <row r="494" ht="15.75" customHeight="1" s="134"/>
    <row r="495" ht="15.75" customHeight="1" s="134"/>
    <row r="496" ht="15.75" customHeight="1" s="134"/>
    <row r="497" ht="15.75" customHeight="1" s="134"/>
    <row r="498" ht="15.75" customHeight="1" s="134"/>
    <row r="499" ht="15.75" customHeight="1" s="134"/>
    <row r="500" ht="15.75" customHeight="1" s="134"/>
    <row r="501" ht="15.75" customHeight="1" s="134"/>
    <row r="502" ht="15.75" customHeight="1" s="134"/>
    <row r="503" ht="15.75" customHeight="1" s="134"/>
    <row r="504" ht="15.75" customHeight="1" s="134"/>
    <row r="505" ht="15.75" customHeight="1" s="134"/>
    <row r="506" ht="15.75" customHeight="1" s="134"/>
    <row r="507" ht="15.75" customHeight="1" s="134"/>
    <row r="508" ht="15.75" customHeight="1" s="134"/>
    <row r="509" ht="15.75" customHeight="1" s="134"/>
    <row r="510" ht="15.75" customHeight="1" s="134"/>
    <row r="511" ht="15.75" customHeight="1" s="134"/>
    <row r="512" ht="15.75" customHeight="1" s="134"/>
    <row r="513" ht="15.75" customHeight="1" s="134"/>
    <row r="514" ht="15.75" customHeight="1" s="134"/>
    <row r="515" ht="15.75" customHeight="1" s="134"/>
    <row r="516" ht="15.75" customHeight="1" s="134"/>
    <row r="517" ht="15.75" customHeight="1" s="134"/>
    <row r="518" ht="15.75" customHeight="1" s="134"/>
    <row r="519" ht="15.75" customHeight="1" s="134"/>
    <row r="520" ht="15.75" customHeight="1" s="134"/>
    <row r="521" ht="15.75" customHeight="1" s="134"/>
    <row r="522" ht="15.75" customHeight="1" s="134"/>
    <row r="523" ht="15.75" customHeight="1" s="134"/>
    <row r="524" ht="15.75" customHeight="1" s="134"/>
    <row r="525" ht="15.75" customHeight="1" s="134"/>
    <row r="526" ht="15.75" customHeight="1" s="134"/>
    <row r="527" ht="15.75" customHeight="1" s="134"/>
    <row r="528" ht="15.75" customHeight="1" s="134"/>
    <row r="529" ht="15.75" customHeight="1" s="134"/>
    <row r="530" ht="15.75" customHeight="1" s="134"/>
    <row r="531" ht="15.75" customHeight="1" s="134"/>
    <row r="532" ht="15.75" customHeight="1" s="134"/>
    <row r="533" ht="15.75" customHeight="1" s="134"/>
    <row r="534" ht="15.75" customHeight="1" s="134"/>
    <row r="535" ht="15.75" customHeight="1" s="134"/>
    <row r="536" ht="15.75" customHeight="1" s="134"/>
    <row r="537" ht="15.75" customHeight="1" s="134"/>
    <row r="538" ht="15.75" customHeight="1" s="134"/>
    <row r="539" ht="15.75" customHeight="1" s="134"/>
    <row r="540" ht="15.75" customHeight="1" s="134"/>
    <row r="541" ht="15.75" customHeight="1" s="134"/>
    <row r="542" ht="15.75" customHeight="1" s="134"/>
    <row r="543" ht="15.75" customHeight="1" s="134"/>
    <row r="544" ht="15.75" customHeight="1" s="134"/>
    <row r="545" ht="15.75" customHeight="1" s="134"/>
    <row r="546" ht="15.75" customHeight="1" s="134"/>
    <row r="547" ht="15.75" customHeight="1" s="134"/>
    <row r="548" ht="15.75" customHeight="1" s="134"/>
    <row r="549" ht="15.75" customHeight="1" s="134"/>
    <row r="550" ht="15.75" customHeight="1" s="134"/>
    <row r="551" ht="15.75" customHeight="1" s="134"/>
    <row r="552" ht="15.75" customHeight="1" s="134"/>
    <row r="553" ht="15.75" customHeight="1" s="134"/>
    <row r="554" ht="15.75" customHeight="1" s="134"/>
    <row r="555" ht="15.75" customHeight="1" s="134"/>
    <row r="556" ht="15.75" customHeight="1" s="134"/>
    <row r="557" ht="15.75" customHeight="1" s="134"/>
    <row r="558" ht="15.75" customHeight="1" s="134"/>
    <row r="559" ht="15.75" customHeight="1" s="134"/>
    <row r="560" ht="15.75" customHeight="1" s="134"/>
    <row r="561" ht="15.75" customHeight="1" s="134"/>
    <row r="562" ht="15.75" customHeight="1" s="134"/>
    <row r="563" ht="15.75" customHeight="1" s="134"/>
    <row r="564" ht="15.75" customHeight="1" s="134"/>
    <row r="565" ht="15.75" customHeight="1" s="134"/>
    <row r="566" ht="15.75" customHeight="1" s="134"/>
    <row r="567" ht="15.75" customHeight="1" s="134"/>
    <row r="568" ht="15.75" customHeight="1" s="134"/>
    <row r="569" ht="15.75" customHeight="1" s="134"/>
    <row r="570" ht="15.75" customHeight="1" s="134"/>
    <row r="571" ht="15.75" customHeight="1" s="134"/>
    <row r="572" ht="15.75" customHeight="1" s="134"/>
    <row r="573" ht="15.75" customHeight="1" s="134"/>
    <row r="574" ht="15.75" customHeight="1" s="134"/>
    <row r="575" ht="15.75" customHeight="1" s="134"/>
    <row r="576" ht="15.75" customHeight="1" s="134"/>
    <row r="577" ht="15.75" customHeight="1" s="134"/>
    <row r="578" ht="15.75" customHeight="1" s="134"/>
    <row r="579" ht="15.75" customHeight="1" s="134"/>
    <row r="580" ht="15.75" customHeight="1" s="134"/>
    <row r="581" ht="15.75" customHeight="1" s="134"/>
    <row r="582" ht="15.75" customHeight="1" s="134"/>
    <row r="583" ht="15.75" customHeight="1" s="134"/>
    <row r="584" ht="15.75" customHeight="1" s="134"/>
    <row r="585" ht="15.75" customHeight="1" s="134"/>
    <row r="586" ht="15.75" customHeight="1" s="134"/>
    <row r="587" ht="15.75" customHeight="1" s="134"/>
    <row r="588" ht="15.75" customHeight="1" s="134"/>
    <row r="589" ht="15.75" customHeight="1" s="134"/>
    <row r="590" ht="15.75" customHeight="1" s="134"/>
    <row r="591" ht="15.75" customHeight="1" s="134"/>
    <row r="592" ht="15.75" customHeight="1" s="134"/>
    <row r="593" ht="15.75" customHeight="1" s="134"/>
    <row r="594" ht="15.75" customHeight="1" s="134"/>
    <row r="595" ht="15.75" customHeight="1" s="134"/>
    <row r="596" ht="15.75" customHeight="1" s="134"/>
    <row r="597" ht="15.75" customHeight="1" s="134"/>
    <row r="598" ht="15.75" customHeight="1" s="134"/>
    <row r="599" ht="15.75" customHeight="1" s="134"/>
    <row r="600" ht="15.75" customHeight="1" s="134"/>
    <row r="601" ht="15.75" customHeight="1" s="134"/>
    <row r="602" ht="15.75" customHeight="1" s="134"/>
    <row r="603" ht="15.75" customHeight="1" s="134"/>
    <row r="604" ht="15.75" customHeight="1" s="134"/>
    <row r="605" ht="15.75" customHeight="1" s="134"/>
    <row r="606" ht="15.75" customHeight="1" s="134"/>
    <row r="607" ht="15.75" customHeight="1" s="134"/>
    <row r="608" ht="15.75" customHeight="1" s="134"/>
    <row r="609" ht="15.75" customHeight="1" s="134"/>
    <row r="610" ht="15.75" customHeight="1" s="134"/>
    <row r="611" ht="15.75" customHeight="1" s="134"/>
    <row r="612" ht="15.75" customHeight="1" s="134"/>
    <row r="613" ht="15.75" customHeight="1" s="134"/>
    <row r="614" ht="15.75" customHeight="1" s="134"/>
    <row r="615" ht="15.75" customHeight="1" s="134"/>
    <row r="616" ht="15.75" customHeight="1" s="134"/>
    <row r="617" ht="15.75" customHeight="1" s="134"/>
    <row r="618" ht="15.75" customHeight="1" s="134"/>
    <row r="619" ht="15.75" customHeight="1" s="134"/>
    <row r="620" ht="15.75" customHeight="1" s="134"/>
    <row r="621" ht="15.75" customHeight="1" s="134"/>
    <row r="622" ht="15.75" customHeight="1" s="134"/>
    <row r="623" ht="15.75" customHeight="1" s="134"/>
    <row r="624" ht="15.75" customHeight="1" s="134"/>
    <row r="625" ht="15.75" customHeight="1" s="134"/>
    <row r="626" ht="15.75" customHeight="1" s="134"/>
    <row r="627" ht="15.75" customHeight="1" s="134"/>
    <row r="628" ht="15.75" customHeight="1" s="134"/>
    <row r="629" ht="15.75" customHeight="1" s="134"/>
    <row r="630" ht="15.75" customHeight="1" s="134"/>
    <row r="631" ht="15.75" customHeight="1" s="134"/>
    <row r="632" ht="15.75" customHeight="1" s="134"/>
    <row r="633" ht="15.75" customHeight="1" s="134"/>
    <row r="634" ht="15.75" customHeight="1" s="134"/>
    <row r="635" ht="15.75" customHeight="1" s="134"/>
    <row r="636" ht="15.75" customHeight="1" s="134"/>
    <row r="637" ht="15.75" customHeight="1" s="134"/>
    <row r="638" ht="15.75" customHeight="1" s="134"/>
    <row r="639" ht="15.75" customHeight="1" s="134"/>
    <row r="640" ht="15.75" customHeight="1" s="134"/>
    <row r="641" ht="15.75" customHeight="1" s="134"/>
    <row r="642" ht="15.75" customHeight="1" s="134"/>
    <row r="643" ht="15.75" customHeight="1" s="134"/>
    <row r="644" ht="15.75" customHeight="1" s="134"/>
    <row r="645" ht="15.75" customHeight="1" s="134"/>
    <row r="646" ht="15.75" customHeight="1" s="134"/>
    <row r="647" ht="15.75" customHeight="1" s="134"/>
    <row r="648" ht="15.75" customHeight="1" s="134"/>
    <row r="649" ht="15.75" customHeight="1" s="134"/>
    <row r="650" ht="15.75" customHeight="1" s="134"/>
    <row r="651" ht="15.75" customHeight="1" s="134"/>
    <row r="652" ht="15.75" customHeight="1" s="134"/>
    <row r="653" ht="15.75" customHeight="1" s="134"/>
    <row r="654" ht="15.75" customHeight="1" s="134"/>
    <row r="655" ht="15.75" customHeight="1" s="134"/>
    <row r="656" ht="15.75" customHeight="1" s="134"/>
    <row r="657" ht="15.75" customHeight="1" s="134"/>
    <row r="658" ht="15.75" customHeight="1" s="134"/>
    <row r="659" ht="15.75" customHeight="1" s="134"/>
    <row r="660" ht="15.75" customHeight="1" s="134"/>
    <row r="661" ht="15.75" customHeight="1" s="134"/>
    <row r="662" ht="15.75" customHeight="1" s="134"/>
    <row r="663" ht="15.75" customHeight="1" s="134"/>
    <row r="664" ht="15.75" customHeight="1" s="134"/>
    <row r="665" ht="15.75" customHeight="1" s="134"/>
    <row r="666" ht="15.75" customHeight="1" s="134"/>
    <row r="667" ht="15.75" customHeight="1" s="134"/>
    <row r="668" ht="15.75" customHeight="1" s="134"/>
    <row r="669" ht="15.75" customHeight="1" s="134"/>
    <row r="670" ht="15.75" customHeight="1" s="134"/>
    <row r="671" ht="15.75" customHeight="1" s="134"/>
    <row r="672" ht="15.75" customHeight="1" s="134"/>
    <row r="673" ht="15.75" customHeight="1" s="134"/>
    <row r="674" ht="15.75" customHeight="1" s="134"/>
    <row r="675" ht="15.75" customHeight="1" s="134"/>
    <row r="676" ht="15.75" customHeight="1" s="134"/>
    <row r="677" ht="15.75" customHeight="1" s="134"/>
    <row r="678" ht="15.75" customHeight="1" s="134"/>
    <row r="679" ht="15.75" customHeight="1" s="134"/>
    <row r="680" ht="15.75" customHeight="1" s="134"/>
    <row r="681" ht="15.75" customHeight="1" s="134"/>
    <row r="682" ht="15.75" customHeight="1" s="134"/>
    <row r="683" ht="15.75" customHeight="1" s="134"/>
    <row r="684" ht="15.75" customHeight="1" s="134"/>
    <row r="685" ht="15.75" customHeight="1" s="134"/>
    <row r="686" ht="15.75" customHeight="1" s="134"/>
    <row r="687" ht="15.75" customHeight="1" s="134"/>
    <row r="688" ht="15.75" customHeight="1" s="134"/>
    <row r="689" ht="15.75" customHeight="1" s="134"/>
    <row r="690" ht="15.75" customHeight="1" s="134"/>
    <row r="691" ht="15.75" customHeight="1" s="134"/>
    <row r="692" ht="15.75" customHeight="1" s="134"/>
    <row r="693" ht="15.75" customHeight="1" s="134"/>
    <row r="694" ht="15.75" customHeight="1" s="134"/>
    <row r="695" ht="15.75" customHeight="1" s="134"/>
    <row r="696" ht="15.75" customHeight="1" s="134"/>
    <row r="697" ht="15.75" customHeight="1" s="134"/>
    <row r="698" ht="15.75" customHeight="1" s="134"/>
    <row r="699" ht="15.75" customHeight="1" s="134"/>
    <row r="700" ht="15.75" customHeight="1" s="134"/>
    <row r="701" ht="15.75" customHeight="1" s="134"/>
    <row r="702" ht="15.75" customHeight="1" s="134"/>
    <row r="703" ht="15.75" customHeight="1" s="134"/>
    <row r="704" ht="15.75" customHeight="1" s="134"/>
    <row r="705" ht="15.75" customHeight="1" s="134"/>
    <row r="706" ht="15.75" customHeight="1" s="134"/>
    <row r="707" ht="15.75" customHeight="1" s="134"/>
    <row r="708" ht="15.75" customHeight="1" s="134"/>
    <row r="709" ht="15.75" customHeight="1" s="134"/>
    <row r="710" ht="15.75" customHeight="1" s="134"/>
    <row r="711" ht="15.75" customHeight="1" s="134"/>
    <row r="712" ht="15.75" customHeight="1" s="134"/>
    <row r="713" ht="15.75" customHeight="1" s="134"/>
    <row r="714" ht="15.75" customHeight="1" s="134"/>
    <row r="715" ht="15.75" customHeight="1" s="134"/>
    <row r="716" ht="15.75" customHeight="1" s="134"/>
    <row r="717" ht="15.75" customHeight="1" s="134"/>
    <row r="718" ht="15.75" customHeight="1" s="134"/>
    <row r="719" ht="15.75" customHeight="1" s="134"/>
    <row r="720" ht="15.75" customHeight="1" s="134"/>
    <row r="721" ht="15.75" customHeight="1" s="134"/>
    <row r="722" ht="15.75" customHeight="1" s="134"/>
    <row r="723" ht="15.75" customHeight="1" s="134"/>
    <row r="724" ht="15.75" customHeight="1" s="134"/>
    <row r="725" ht="15.75" customHeight="1" s="134"/>
    <row r="726" ht="15.75" customHeight="1" s="134"/>
    <row r="727" ht="15.75" customHeight="1" s="134"/>
    <row r="728" ht="15.75" customHeight="1" s="134"/>
    <row r="729" ht="15.75" customHeight="1" s="134"/>
    <row r="730" ht="15.75" customHeight="1" s="134"/>
    <row r="731" ht="15.75" customHeight="1" s="134"/>
    <row r="732" ht="15.75" customHeight="1" s="134"/>
    <row r="733" ht="15.75" customHeight="1" s="134"/>
    <row r="734" ht="15.75" customHeight="1" s="134"/>
    <row r="735" ht="15.75" customHeight="1" s="134"/>
    <row r="736" ht="15.75" customHeight="1" s="134"/>
    <row r="737" ht="15.75" customHeight="1" s="134"/>
    <row r="738" ht="15.75" customHeight="1" s="134"/>
    <row r="739" ht="15.75" customHeight="1" s="134"/>
    <row r="740" ht="15.75" customHeight="1" s="134"/>
    <row r="741" ht="15.75" customHeight="1" s="134"/>
    <row r="742" ht="15.75" customHeight="1" s="134"/>
    <row r="743" ht="15.75" customHeight="1" s="134"/>
    <row r="744" ht="15.75" customHeight="1" s="134"/>
    <row r="745" ht="15.75" customHeight="1" s="134"/>
    <row r="746" ht="15.75" customHeight="1" s="134"/>
    <row r="747" ht="15.75" customHeight="1" s="134"/>
    <row r="748" ht="15.75" customHeight="1" s="134"/>
    <row r="749" ht="15.75" customHeight="1" s="134"/>
    <row r="750" ht="15.75" customHeight="1" s="134"/>
    <row r="751" ht="15.75" customHeight="1" s="134"/>
    <row r="752" ht="15.75" customHeight="1" s="134"/>
    <row r="753" ht="15.75" customHeight="1" s="134"/>
    <row r="754" ht="15.75" customHeight="1" s="134"/>
    <row r="755" ht="15.75" customHeight="1" s="134"/>
    <row r="756" ht="15.75" customHeight="1" s="134"/>
    <row r="757" ht="15.75" customHeight="1" s="134"/>
    <row r="758" ht="15.75" customHeight="1" s="134"/>
    <row r="759" ht="15.75" customHeight="1" s="134"/>
    <row r="760" ht="15.75" customHeight="1" s="134"/>
    <row r="761" ht="15.75" customHeight="1" s="134"/>
    <row r="762" ht="15.75" customHeight="1" s="134"/>
    <row r="763" ht="15.75" customHeight="1" s="134"/>
    <row r="764" ht="15.75" customHeight="1" s="134"/>
    <row r="765" ht="15.75" customHeight="1" s="134"/>
    <row r="766" ht="15.75" customHeight="1" s="134"/>
    <row r="767" ht="15.75" customHeight="1" s="134"/>
    <row r="768" ht="15.75" customHeight="1" s="134"/>
    <row r="769" ht="15.75" customHeight="1" s="134"/>
    <row r="770" ht="15.75" customHeight="1" s="134"/>
    <row r="771" ht="15.75" customHeight="1" s="134"/>
    <row r="772" ht="15.75" customHeight="1" s="134"/>
    <row r="773" ht="15.75" customHeight="1" s="134"/>
    <row r="774" ht="15.75" customHeight="1" s="134"/>
    <row r="775" ht="15.75" customHeight="1" s="134"/>
    <row r="776" ht="15.75" customHeight="1" s="134"/>
    <row r="777" ht="15.75" customHeight="1" s="134"/>
    <row r="778" ht="15.75" customHeight="1" s="134"/>
    <row r="779" ht="15.75" customHeight="1" s="134"/>
    <row r="780" ht="15.75" customHeight="1" s="134"/>
    <row r="781" ht="15.75" customHeight="1" s="134"/>
    <row r="782" ht="15.75" customHeight="1" s="134"/>
    <row r="783" ht="15.75" customHeight="1" s="134"/>
    <row r="784" ht="15.75" customHeight="1" s="134"/>
    <row r="785" ht="15.75" customHeight="1" s="134"/>
    <row r="786" ht="15.75" customHeight="1" s="134"/>
    <row r="787" ht="15.75" customHeight="1" s="134"/>
    <row r="788" ht="15.75" customHeight="1" s="134"/>
    <row r="789" ht="15.75" customHeight="1" s="134"/>
    <row r="790" ht="15.75" customHeight="1" s="134"/>
    <row r="791" ht="15.75" customHeight="1" s="134"/>
    <row r="792" ht="15.75" customHeight="1" s="134"/>
    <row r="793" ht="15.75" customHeight="1" s="134"/>
    <row r="794" ht="15.75" customHeight="1" s="134"/>
    <row r="795" ht="15.75" customHeight="1" s="134"/>
    <row r="796" ht="15.75" customHeight="1" s="134"/>
    <row r="797" ht="15.75" customHeight="1" s="134"/>
    <row r="798" ht="15.75" customHeight="1" s="134"/>
    <row r="799" ht="15.75" customHeight="1" s="134"/>
    <row r="800" ht="15.75" customHeight="1" s="134"/>
    <row r="801" ht="15.75" customHeight="1" s="134"/>
    <row r="802" ht="15.75" customHeight="1" s="134"/>
    <row r="803" ht="15.75" customHeight="1" s="134"/>
    <row r="804" ht="15.75" customHeight="1" s="134"/>
    <row r="805" ht="15.75" customHeight="1" s="134"/>
    <row r="806" ht="15.75" customHeight="1" s="134"/>
    <row r="807" ht="15.75" customHeight="1" s="134"/>
    <row r="808" ht="15.75" customHeight="1" s="134"/>
    <row r="809" ht="15.75" customHeight="1" s="134"/>
    <row r="810" ht="15.75" customHeight="1" s="134"/>
    <row r="811" ht="15.75" customHeight="1" s="134"/>
    <row r="812" ht="15.75" customHeight="1" s="134"/>
    <row r="813" ht="15.75" customHeight="1" s="134"/>
    <row r="814" ht="15.75" customHeight="1" s="134"/>
    <row r="815" ht="15.75" customHeight="1" s="134"/>
    <row r="816" ht="15.75" customHeight="1" s="134"/>
    <row r="817" ht="15.75" customHeight="1" s="134"/>
    <row r="818" ht="15.75" customHeight="1" s="134"/>
    <row r="819" ht="15.75" customHeight="1" s="134"/>
    <row r="820" ht="15.75" customHeight="1" s="134"/>
    <row r="821" ht="15.75" customHeight="1" s="134"/>
    <row r="822" ht="15.75" customHeight="1" s="134"/>
    <row r="823" ht="15.75" customHeight="1" s="134"/>
    <row r="824" ht="15.75" customHeight="1" s="134"/>
    <row r="825" ht="15.75" customHeight="1" s="134"/>
    <row r="826" ht="15.75" customHeight="1" s="134"/>
    <row r="827" ht="15.75" customHeight="1" s="134"/>
    <row r="828" ht="15.75" customHeight="1" s="134"/>
    <row r="829" ht="15.75" customHeight="1" s="134"/>
    <row r="830" ht="15.75" customHeight="1" s="134"/>
    <row r="831" ht="15.75" customHeight="1" s="134"/>
    <row r="832" ht="15.75" customHeight="1" s="134"/>
    <row r="833" ht="15.75" customHeight="1" s="134"/>
    <row r="834" ht="15.75" customHeight="1" s="134"/>
    <row r="835" ht="15.75" customHeight="1" s="134"/>
    <row r="836" ht="15.75" customHeight="1" s="134"/>
    <row r="837" ht="15.75" customHeight="1" s="134"/>
    <row r="838" ht="15.75" customHeight="1" s="134"/>
    <row r="839" ht="15.75" customHeight="1" s="134"/>
    <row r="840" ht="15.75" customHeight="1" s="134"/>
    <row r="841" ht="15.75" customHeight="1" s="134"/>
    <row r="842" ht="15.75" customHeight="1" s="134"/>
    <row r="843" ht="15.75" customHeight="1" s="134"/>
    <row r="844" ht="15.75" customHeight="1" s="134"/>
    <row r="845" ht="15.75" customHeight="1" s="134"/>
    <row r="846" ht="15.75" customHeight="1" s="134"/>
    <row r="847" ht="15.75" customHeight="1" s="134"/>
    <row r="848" ht="15.75" customHeight="1" s="134"/>
    <row r="849" ht="15.75" customHeight="1" s="134"/>
    <row r="850" ht="15.75" customHeight="1" s="134"/>
    <row r="851" ht="15.75" customHeight="1" s="134"/>
    <row r="852" ht="15.75" customHeight="1" s="134"/>
    <row r="853" ht="15.75" customHeight="1" s="134"/>
    <row r="854" ht="15.75" customHeight="1" s="134"/>
    <row r="855" ht="15.75" customHeight="1" s="134"/>
    <row r="856" ht="15.75" customHeight="1" s="134"/>
    <row r="857" ht="15.75" customHeight="1" s="134"/>
    <row r="858" ht="15.75" customHeight="1" s="134"/>
    <row r="859" ht="15.75" customHeight="1" s="134"/>
    <row r="860" ht="15.75" customHeight="1" s="134"/>
    <row r="861" ht="15.75" customHeight="1" s="134"/>
    <row r="862" ht="15.75" customHeight="1" s="134"/>
    <row r="863" ht="15.75" customHeight="1" s="134"/>
    <row r="864" ht="15.75" customHeight="1" s="134"/>
    <row r="865" ht="15.75" customHeight="1" s="134"/>
    <row r="866" ht="15.75" customHeight="1" s="134"/>
    <row r="867" ht="15.75" customHeight="1" s="134"/>
    <row r="868" ht="15.75" customHeight="1" s="134"/>
    <row r="869" ht="15.75" customHeight="1" s="134"/>
    <row r="870" ht="15.75" customHeight="1" s="134"/>
    <row r="871" ht="15.75" customHeight="1" s="134"/>
    <row r="872" ht="15.75" customHeight="1" s="134"/>
    <row r="873" ht="15.75" customHeight="1" s="134"/>
    <row r="874" ht="15.75" customHeight="1" s="134"/>
    <row r="875" ht="15.75" customHeight="1" s="134"/>
    <row r="876" ht="15.75" customHeight="1" s="134"/>
    <row r="877" ht="15.75" customHeight="1" s="134"/>
    <row r="878" ht="15.75" customHeight="1" s="134"/>
    <row r="879" ht="15.75" customHeight="1" s="134"/>
    <row r="880" ht="15.75" customHeight="1" s="134"/>
    <row r="881" ht="15.75" customHeight="1" s="134"/>
    <row r="882" ht="15.75" customHeight="1" s="134"/>
    <row r="883" ht="15.75" customHeight="1" s="134"/>
    <row r="884" ht="15.75" customHeight="1" s="134"/>
    <row r="885" ht="15.75" customHeight="1" s="134"/>
    <row r="886" ht="15.75" customHeight="1" s="134"/>
    <row r="887" ht="15.75" customHeight="1" s="134"/>
    <row r="888" ht="15.75" customHeight="1" s="134"/>
    <row r="889" ht="15.75" customHeight="1" s="134"/>
    <row r="890" ht="15.75" customHeight="1" s="134"/>
    <row r="891" ht="15.75" customHeight="1" s="134"/>
    <row r="892" ht="15.75" customHeight="1" s="134"/>
    <row r="893" ht="15.75" customHeight="1" s="134"/>
    <row r="894" ht="15.75" customHeight="1" s="134"/>
    <row r="895" ht="15.75" customHeight="1" s="134"/>
    <row r="896" ht="15.75" customHeight="1" s="134"/>
    <row r="897" ht="15.75" customHeight="1" s="134"/>
    <row r="898" ht="15.75" customHeight="1" s="134"/>
    <row r="899" ht="15.75" customHeight="1" s="134"/>
    <row r="900" ht="15.75" customHeight="1" s="134"/>
    <row r="901" ht="15.75" customHeight="1" s="134"/>
    <row r="902" ht="15.75" customHeight="1" s="134"/>
    <row r="903" ht="15.75" customHeight="1" s="134"/>
    <row r="904" ht="15.75" customHeight="1" s="134"/>
    <row r="905" ht="15.75" customHeight="1" s="134"/>
    <row r="906" ht="15.75" customHeight="1" s="134"/>
    <row r="907" ht="15.75" customHeight="1" s="134"/>
    <row r="908" ht="15.75" customHeight="1" s="134"/>
    <row r="909" ht="15.75" customHeight="1" s="134"/>
    <row r="910" ht="15.75" customHeight="1" s="134"/>
    <row r="911" ht="15.75" customHeight="1" s="134"/>
    <row r="912" ht="15.75" customHeight="1" s="134"/>
    <row r="913" ht="15.75" customHeight="1" s="134"/>
    <row r="914" ht="15.75" customHeight="1" s="134"/>
    <row r="915" ht="15.75" customHeight="1" s="134"/>
    <row r="916" ht="15.75" customHeight="1" s="134"/>
    <row r="917" ht="15.75" customHeight="1" s="134"/>
    <row r="918" ht="15.75" customHeight="1" s="134"/>
    <row r="919" ht="15.75" customHeight="1" s="134"/>
    <row r="920" ht="15.75" customHeight="1" s="134"/>
    <row r="921" ht="15.75" customHeight="1" s="134"/>
    <row r="922" ht="15.75" customHeight="1" s="134"/>
    <row r="923" ht="15.75" customHeight="1" s="134"/>
    <row r="924" ht="15.75" customHeight="1" s="134"/>
    <row r="925" ht="15.75" customHeight="1" s="134"/>
    <row r="926" ht="15.75" customHeight="1" s="134"/>
    <row r="927" ht="15.75" customHeight="1" s="134"/>
    <row r="928" ht="15.75" customHeight="1" s="134"/>
    <row r="929" ht="15.75" customHeight="1" s="134"/>
    <row r="930" ht="15.75" customHeight="1" s="134"/>
    <row r="931" ht="15.75" customHeight="1" s="134"/>
    <row r="932" ht="15.75" customHeight="1" s="134"/>
    <row r="933" ht="15.75" customHeight="1" s="134"/>
    <row r="934" ht="15.75" customHeight="1" s="134"/>
    <row r="935" ht="15.75" customHeight="1" s="134"/>
    <row r="936" ht="15.75" customHeight="1" s="134"/>
    <row r="937" ht="15.75" customHeight="1" s="134"/>
    <row r="938" ht="15.75" customHeight="1" s="134"/>
    <row r="939" ht="15.75" customHeight="1" s="134"/>
    <row r="940" ht="15.75" customHeight="1" s="134"/>
    <row r="941" ht="15.75" customHeight="1" s="134"/>
    <row r="942" ht="15.75" customHeight="1" s="134"/>
    <row r="943" ht="15.75" customHeight="1" s="134"/>
    <row r="944" ht="15.75" customHeight="1" s="134"/>
    <row r="945" ht="15.75" customHeight="1" s="134"/>
    <row r="946" ht="15.75" customHeight="1" s="134"/>
    <row r="947" ht="15.75" customHeight="1" s="134"/>
    <row r="948" ht="15.75" customHeight="1" s="134"/>
    <row r="949" ht="15.75" customHeight="1" s="134"/>
    <row r="950" ht="15.75" customHeight="1" s="134"/>
    <row r="951" ht="15.75" customHeight="1" s="134"/>
    <row r="952" ht="15.75" customHeight="1" s="134"/>
    <row r="953" ht="15.75" customHeight="1" s="134"/>
    <row r="954" ht="15.75" customHeight="1" s="134"/>
    <row r="955" ht="15.75" customHeight="1" s="134"/>
    <row r="956" ht="15.75" customHeight="1" s="134"/>
    <row r="957" ht="15.75" customHeight="1" s="134"/>
    <row r="958" ht="15.75" customHeight="1" s="134"/>
    <row r="959" ht="15.75" customHeight="1" s="134"/>
    <row r="960" ht="15.75" customHeight="1" s="134"/>
    <row r="961" ht="15.75" customHeight="1" s="134"/>
    <row r="962" ht="15.75" customHeight="1" s="134"/>
    <row r="963" ht="15.75" customHeight="1" s="134"/>
    <row r="964" ht="15.75" customHeight="1" s="134"/>
    <row r="965" ht="15.75" customHeight="1" s="134"/>
    <row r="966" ht="15.75" customHeight="1" s="134"/>
    <row r="967" ht="15.75" customHeight="1" s="134"/>
    <row r="968" ht="15.75" customHeight="1" s="134"/>
    <row r="969" ht="15.75" customHeight="1" s="134"/>
    <row r="970" ht="15.75" customHeight="1" s="134"/>
    <row r="971" ht="15.75" customHeight="1" s="134"/>
    <row r="972" ht="15.75" customHeight="1" s="134"/>
    <row r="973" ht="15.75" customHeight="1" s="134"/>
    <row r="974" ht="15.75" customHeight="1" s="134"/>
    <row r="975" ht="15.75" customHeight="1" s="134"/>
    <row r="976" ht="15.75" customHeight="1" s="134"/>
    <row r="977" ht="15.75" customHeight="1" s="134"/>
    <row r="978" ht="15.75" customHeight="1" s="134"/>
    <row r="979" ht="15.75" customHeight="1" s="134"/>
    <row r="980" ht="15.75" customHeight="1" s="134"/>
    <row r="981" ht="15.75" customHeight="1" s="134"/>
    <row r="982" ht="15.75" customHeight="1" s="134"/>
    <row r="983" ht="15.75" customHeight="1" s="134"/>
    <row r="984" ht="15.75" customHeight="1" s="134"/>
    <row r="985" ht="15.75" customHeight="1" s="134"/>
    <row r="986" ht="15.75" customHeight="1" s="134"/>
    <row r="987" ht="15.75" customHeight="1" s="134"/>
    <row r="988" ht="15.75" customHeight="1" s="134"/>
    <row r="989" ht="15.75" customHeight="1" s="134"/>
    <row r="990" ht="15.75" customHeight="1" s="134"/>
    <row r="991" ht="15.75" customHeight="1" s="134"/>
    <row r="992" ht="15.75" customHeight="1" s="134"/>
    <row r="993" ht="15.75" customHeight="1" s="134"/>
    <row r="994" ht="15.75" customHeight="1" s="134"/>
    <row r="995" ht="15.75" customHeight="1" s="134"/>
    <row r="996" ht="15.75" customHeight="1" s="134"/>
    <row r="997" ht="15.75" customHeight="1" s="134"/>
    <row r="998" ht="15.75" customHeight="1" s="134"/>
    <row r="999" ht="15.75" customHeight="1" s="134"/>
    <row r="1000" ht="15.75" customHeight="1" s="134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44" customWidth="1" style="134" min="2" max="2"/>
  </cols>
  <sheetData>
    <row r="1">
      <c r="A1" s="166" t="inlineStr">
        <is>
          <t>Fornitori NON mappati in d_fornitori.csv — assegnare una voce (hotelops fornitori) e rigenerare</t>
        </is>
      </c>
    </row>
    <row r="2">
      <c r="A2" s="166" t="inlineStr">
        <is>
          <t>Cod</t>
        </is>
      </c>
      <c r="B2" s="166" t="inlineStr">
        <is>
          <t>Nome (da export)</t>
        </is>
      </c>
      <c r="C2" s="166" t="inlineStr">
        <is>
          <t>GENNAIO</t>
        </is>
      </c>
      <c r="D2" s="166" t="inlineStr">
        <is>
          <t>FEBBRAIO</t>
        </is>
      </c>
      <c r="E2" s="166" t="inlineStr">
        <is>
          <t>MARZO</t>
        </is>
      </c>
      <c r="F2" s="166" t="inlineStr">
        <is>
          <t>APRILE</t>
        </is>
      </c>
      <c r="G2" s="166" t="inlineStr">
        <is>
          <t>MAGGIO</t>
        </is>
      </c>
      <c r="H2" s="166" t="inlineStr">
        <is>
          <t>GIUGNO</t>
        </is>
      </c>
      <c r="I2" s="166" t="inlineStr">
        <is>
          <t>LUGLIO</t>
        </is>
      </c>
      <c r="J2" s="166" t="inlineStr">
        <is>
          <t>AGOSTO</t>
        </is>
      </c>
      <c r="K2" s="166" t="inlineStr">
        <is>
          <t>SETTEMBRE</t>
        </is>
      </c>
      <c r="L2" s="166" t="inlineStr">
        <is>
          <t>OTTOBRE</t>
        </is>
      </c>
      <c r="M2" s="166" t="inlineStr">
        <is>
          <t>NOVEMBRE</t>
        </is>
      </c>
      <c r="N2" s="166" t="inlineStr">
        <is>
          <t>DICEMBRE</t>
        </is>
      </c>
    </row>
    <row r="3">
      <c r="A3" t="n">
        <v>648</v>
      </c>
      <c r="B3" t="inlineStr">
        <is>
          <t>ALBA NEON S.R.L. VIA CAVONE DEGLI SBIRRI 24</t>
        </is>
      </c>
      <c r="I3" s="167" t="n">
        <v>976</v>
      </c>
    </row>
    <row r="4">
      <c r="A4" t="n">
        <v>949</v>
      </c>
      <c r="B4" t="inlineStr">
        <is>
          <t>ASSOCIAZIONE SOUL FOOD VIA FERRERIA 120</t>
        </is>
      </c>
      <c r="I4" s="167" t="n">
        <v>1490</v>
      </c>
    </row>
    <row r="5">
      <c r="A5" t="n">
        <v>1829</v>
      </c>
      <c r="B5" t="inlineStr">
        <is>
          <t>atelier tessuti &amp; arredo srls via olivella 24</t>
        </is>
      </c>
      <c r="J5" s="167" t="n">
        <v>5368</v>
      </c>
    </row>
    <row r="6">
      <c r="A6" t="n">
        <v>617</v>
      </c>
      <c r="B6" t="inlineStr">
        <is>
          <t>D AUTOMOTIVE S.R.L. VIA LUIGI EINAUDI 9</t>
        </is>
      </c>
      <c r="J6" s="167" t="n">
        <v>488</v>
      </c>
    </row>
    <row r="7">
      <c r="A7" t="n">
        <v>919</v>
      </c>
      <c r="B7" t="inlineStr">
        <is>
          <t>ERRA VIA VACCARO 90</t>
        </is>
      </c>
      <c r="J7" s="167" t="n">
        <v>550</v>
      </c>
    </row>
    <row r="8">
      <c r="A8" t="n">
        <v>629</v>
      </c>
      <c r="B8" t="inlineStr">
        <is>
          <t>GDM S.P.A. VIA DEI VALTORTA 48</t>
        </is>
      </c>
      <c r="I8" s="167" t="n">
        <v>133.29</v>
      </c>
    </row>
    <row r="9">
      <c r="A9" t="n">
        <v>1795</v>
      </c>
      <c r="B9" t="inlineStr">
        <is>
          <t>HYGIEN TECH S.R.L. VIALE ALEXANDRE GUSTAVE EIFFEL 100</t>
        </is>
      </c>
      <c r="J9" s="167" t="n">
        <v>733.49</v>
      </c>
    </row>
    <row r="10">
      <c r="A10" t="n">
        <v>1721</v>
      </c>
      <c r="B10" t="inlineStr">
        <is>
          <t>LEIDIVA DI SEPE ROSARIO VIA SANTA TECLA 50</t>
        </is>
      </c>
      <c r="I10" s="167" t="n">
        <v>507.52</v>
      </c>
    </row>
    <row r="11">
      <c r="A11" t="n">
        <v>1832</v>
      </c>
      <c r="B11" t="inlineStr">
        <is>
          <t>Presspower S.r.l. Strada San Tommaso 2</t>
        </is>
      </c>
      <c r="J11" s="167" t="n">
        <v>39.42</v>
      </c>
    </row>
    <row r="12">
      <c r="A12" t="n">
        <v>1157</v>
      </c>
      <c r="B12" t="inlineStr">
        <is>
          <t>RG Commerciale S.r.l. Via Gaetano MODONESI, 8</t>
        </is>
      </c>
      <c r="I12" s="167" t="n">
        <v>114.1</v>
      </c>
    </row>
    <row r="13">
      <c r="A13" t="n">
        <v>294</v>
      </c>
      <c r="B13" t="inlineStr">
        <is>
          <t>RISTORANTE MARIA GRAZIA S.R.L. VIA MARINA DEL CANTONE75</t>
        </is>
      </c>
      <c r="I13" s="167" t="n">
        <v>822</v>
      </c>
    </row>
    <row r="14">
      <c r="A14" t="n">
        <v>1825</v>
      </c>
      <c r="B14" t="inlineStr">
        <is>
          <t>SLOPE S.R.L. VIA VITTORIO VENETO</t>
        </is>
      </c>
      <c r="J14" s="167" t="n">
        <v>18.9</v>
      </c>
    </row>
    <row r="15">
      <c r="A15" t="n">
        <v>1830</v>
      </c>
      <c r="B15" t="inlineStr">
        <is>
          <t>societa agricola BIO TI CA ss Contrada Roccaro snc</t>
        </is>
      </c>
      <c r="J15" s="167" t="n">
        <v>14.04</v>
      </c>
    </row>
    <row r="16">
      <c r="A16" t="n">
        <v>1823</v>
      </c>
      <c r="B16" t="inlineStr">
        <is>
          <t>TO SHARE SRLS SALITA TORRE DELLO ZIRO,28</t>
        </is>
      </c>
      <c r="I16" s="167" t="n">
        <v>299.99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2026-08-12T10:33:08Z</dcterms:modified>
  <cp:lastModifiedBy>stefano della Pietra</cp:lastModifiedBy>
</cp:coreProperties>
</file>