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s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Commisisoni Portali" sheetId="7" state="visible" r:id="rId7"/>
    <sheet xmlns:r="http://schemas.openxmlformats.org/officeDocument/2006/relationships" name="Mutui e Finaziamenti" sheetId="8" state="visible" r:id="rId8"/>
    <sheet xmlns:r="http://schemas.openxmlformats.org/officeDocument/2006/relationships" name="Consulenze" sheetId="9" state="visible" r:id="rId9"/>
    <sheet xmlns:r="http://schemas.openxmlformats.org/officeDocument/2006/relationships" name="Godimento Beni di Terzi" sheetId="10" state="visible" r:id="rId10"/>
    <sheet xmlns:r="http://schemas.openxmlformats.org/officeDocument/2006/relationships" name="Canoni e servizi" sheetId="11" state="visible" r:id="rId11"/>
    <sheet xmlns:r="http://schemas.openxmlformats.org/officeDocument/2006/relationships" name=" Varie ed Eventuali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€-2]\ * #,##0.00_-;\-[$€-2]\ * #,##0.00_-;_-[$€-2]\ * &quot;-&quot;??_-;_-@"/>
    <numFmt numFmtId="165" formatCode="dd/mm/yyyy"/>
    <numFmt numFmtId="166" formatCode="_([$€-2]\ * #,##0.00_);_([$€-2]\ * \(#,##0.00\);_([$€-2]\ * &quot;-&quot;??_);_(@_)"/>
    <numFmt numFmtId="167" formatCode="_-[$€-2]* #,##0.00_-;_-[$€-2]* \-#,##0.00_-;_-[$€-2]* &quot;-&quot;??_-;_-@"/>
  </numFmts>
  <fonts count="54">
    <font>
      <name val="Aptos Narrow"/>
      <color theme="1"/>
      <sz val="12"/>
      <scheme val="minor"/>
    </font>
    <font>
      <name val="Arial"/>
      <b val="1"/>
      <color rgb="FF1F3864"/>
      <sz val="16"/>
    </font>
    <font>
      <name val="Arial"/>
      <color theme="1"/>
      <sz val="11"/>
    </font>
    <font>
      <name val="Aptos Narrow"/>
      <color theme="1"/>
      <sz val="12"/>
    </font>
    <font>
      <name val="Arial"/>
      <b val="1"/>
      <color rgb="FF1F3864"/>
      <sz val="11"/>
    </font>
    <font>
      <name val="Arial"/>
      <color rgb="FF333333"/>
      <sz val="11"/>
    </font>
    <font>
      <name val="Arial"/>
      <b val="1"/>
      <color rgb="FF006100"/>
      <sz val="11"/>
    </font>
    <font>
      <name val="Arial"/>
      <i val="1"/>
      <color rgb="FF808080"/>
      <sz val="11"/>
    </font>
    <font>
      <name val="Arial"/>
      <color rgb="FF006100"/>
      <sz val="11"/>
    </font>
    <font>
      <name val="Arial"/>
      <b val="1"/>
      <color rgb="FF006100"/>
      <sz val="14"/>
    </font>
    <font>
      <name val="Calibri"/>
      <b val="1"/>
      <color rgb="FF1F3864"/>
      <sz val="20"/>
    </font>
    <font>
      <name val="Calibri"/>
      <color theme="1"/>
      <sz val="12"/>
    </font>
    <font>
      <name val="Calibri"/>
      <b val="1"/>
      <color rgb="FF1F3864"/>
      <sz val="14"/>
    </font>
    <font/>
    <font>
      <name val="Calibri"/>
      <b val="1"/>
      <color rgb="FF4472C4"/>
      <sz val="14"/>
    </font>
    <font>
      <name val="Calibri"/>
      <b val="1"/>
      <color rgb="FFFFFFFF"/>
      <sz val="12"/>
    </font>
    <font>
      <name val="Calibri"/>
      <color rgb="FFFFFFFF"/>
      <sz val="12"/>
    </font>
    <font>
      <name val="Calibri"/>
      <b val="1"/>
      <color rgb="FFC00000"/>
      <sz val="12"/>
    </font>
    <font>
      <name val="Calibri"/>
      <b val="1"/>
      <color rgb="FF1F3864"/>
      <sz val="12"/>
    </font>
    <font>
      <name val="Calibri"/>
      <color rgb="FF000000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Aptos Narrow"/>
      <b val="1"/>
      <color theme="1"/>
      <sz val="12"/>
      <u val="single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Aptos Narrow"/>
      <b val="1"/>
      <color theme="1"/>
      <sz val="12"/>
    </font>
    <font>
      <name val="Calibri"/>
      <b val="1"/>
      <color rgb="FFC00000"/>
      <sz val="12"/>
      <u val="single"/>
    </font>
    <font>
      <name val="Calibri"/>
      <b val="1"/>
      <color rgb="FF1F3864"/>
      <sz val="12"/>
      <u val="single"/>
    </font>
    <font>
      <name val="Calibri"/>
      <b val="1"/>
      <i val="1"/>
      <color rgb="FF0070C0"/>
      <sz val="12"/>
    </font>
    <font>
      <name val="Calibri"/>
      <color rgb="FF0000FF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</font>
    <font>
      <name val="Calibri"/>
      <b val="1"/>
      <color rgb="FF1F3864"/>
      <sz val="13"/>
    </font>
    <font>
      <name val="Calibri"/>
      <b val="1"/>
      <color theme="1"/>
      <sz val="13"/>
      <u val="single"/>
    </font>
    <font>
      <name val="Calibri"/>
      <b val="1"/>
      <color theme="1"/>
      <sz val="13"/>
    </font>
    <font>
      <name val="Calibri"/>
      <color rgb="FFFF0000"/>
      <sz val="12"/>
    </font>
    <font>
      <name val="Calibri"/>
      <b val="1"/>
      <color rgb="FF7030A0"/>
      <sz val="12"/>
      <u val="single"/>
    </font>
    <font>
      <name val="Calibri"/>
      <b val="1"/>
      <color rgb="FF7030A0"/>
      <sz val="12"/>
    </font>
    <font>
      <name val="Arial"/>
      <b val="1"/>
      <color theme="1"/>
      <sz val="11"/>
    </font>
    <font>
      <name val="Arial"/>
      <b val="1"/>
      <color rgb="FF1F3864"/>
      <sz val="14"/>
    </font>
    <font>
      <name val="Arial"/>
      <color rgb="FF000000"/>
      <sz val="11"/>
    </font>
    <font>
      <name val="Arial"/>
      <b val="1"/>
      <color rgb="FFFFFFFF"/>
      <sz val="11"/>
    </font>
    <font>
      <name val="Arial"/>
      <b val="1"/>
      <color rgb="FF000000"/>
      <sz val="11"/>
    </font>
    <font>
      <name val="Arial"/>
      <color theme="1"/>
      <sz val="12"/>
    </font>
    <font>
      <name val="Arial"/>
      <b val="1"/>
      <color rgb="FF7F6000"/>
      <sz val="11"/>
    </font>
    <font>
      <name val="Arial"/>
      <b val="1"/>
      <i val="1"/>
      <color rgb="FF7F6000"/>
      <sz val="11"/>
    </font>
    <font>
      <name val="Arial"/>
      <color rgb="FF0000FF"/>
      <sz val="11"/>
      <u val="single"/>
    </font>
    <font>
      <name val="Arial"/>
      <b val="1"/>
      <color rgb="FFFF0000"/>
      <sz val="11"/>
    </font>
    <font>
      <name val="Arial"/>
      <b val="1"/>
      <color theme="1"/>
      <sz val="12"/>
    </font>
    <font>
      <b val="1"/>
    </font>
  </fonts>
  <fills count="1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70">
    <border/>
    <border>
      <left/>
      <right/>
      <top/>
      <bottom/>
    </border>
    <border>
      <left/>
      <right/>
      <top style="thin">
        <color rgb="FFB4C6E7"/>
      </top>
      <bottom style="thin">
        <color rgb="FFB4C6E7"/>
      </bottom>
    </border>
    <border>
      <left/>
      <right/>
      <top style="double">
        <color rgb="FF006100"/>
      </top>
      <bottom style="double">
        <color rgb="FF0061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</border>
    <border>
      <left style="thin">
        <color rgb="FF000000"/>
      </left>
      <right style="thin">
        <color rgb="FF000000"/>
      </right>
      <top/>
      <bottom style="medium">
        <color rgb="FF1F3864"/>
      </bottom>
    </border>
    <border>
      <left style="thin">
        <color rgb="FF000000"/>
      </left>
      <right/>
      <top/>
      <bottom style="medium">
        <color rgb="FF1F3864"/>
      </bottom>
    </border>
    <border>
      <left style="double">
        <color rgb="FF000000"/>
      </left>
      <right/>
      <top/>
      <bottom style="medium">
        <color rgb="FF1F3864"/>
      </bottom>
    </border>
    <border>
      <left/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double">
        <color rgb="FF000000"/>
      </left>
      <right/>
      <top/>
      <bottom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/>
      <top style="thin">
        <color rgb="FF000000"/>
      </top>
      <bottom style="dotted">
        <color rgb="FFB4C6E7"/>
      </bottom>
    </border>
    <border>
      <left style="double">
        <color rgb="FF1F3864"/>
      </left>
      <right/>
      <top/>
      <bottom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/>
      <top style="dotted">
        <color rgb="FFB4C6E7"/>
      </top>
      <bottom style="dotted">
        <color rgb="FFB4C6E7"/>
      </bottom>
    </border>
    <border>
      <left style="double">
        <color rgb="FF1F3864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B4C6E7"/>
      </left>
      <top style="dotted">
        <color rgb="FFB4C6E7"/>
      </top>
      <bottom style="dotted">
        <color rgb="FFB4C6E7"/>
      </bottom>
    </border>
    <border>
      <left style="double">
        <color rgb="FF1F3864"/>
      </left>
      <right style="dotted">
        <color rgb="FF000000"/>
      </right>
      <top style="dotted">
        <color rgb="FF000000"/>
      </top>
      <bottom/>
    </border>
    <border>
      <left/>
      <right/>
      <top/>
      <bottom style="double">
        <color rgb="FF006100"/>
      </bottom>
    </border>
    <border>
      <left/>
      <right style="dotted">
        <color rgb="FFB4C6E7"/>
      </right>
      <top style="dotted">
        <color rgb="FFB4C6E7"/>
      </top>
      <bottom style="dotted">
        <color rgb="FFB4C6E7"/>
      </bottom>
    </border>
    <border>
      <left style="double">
        <color rgb="FF1F3864"/>
      </left>
      <right/>
      <top/>
      <bottom style="double">
        <color rgb="FF006100"/>
      </bottom>
    </border>
    <border>
      <left/>
      <right/>
      <top style="thin">
        <color rgb="FF000000"/>
      </top>
      <bottom style="double">
        <color rgb="FFC00000"/>
      </bottom>
    </border>
    <border>
      <left style="double">
        <color rgb="FF1F3864"/>
      </left>
      <right/>
      <top style="thin">
        <color rgb="FF000000"/>
      </top>
      <bottom style="double">
        <color rgb="FFC00000"/>
      </bottom>
    </border>
    <border>
      <left/>
      <right/>
      <top style="thin">
        <color rgb="FF1F3864"/>
      </top>
      <bottom style="double">
        <color rgb="FF1F3864"/>
      </bottom>
    </border>
    <border>
      <left style="double">
        <color rgb="FF1F3864"/>
      </left>
      <right/>
      <top style="thin">
        <color rgb="FF1F3864"/>
      </top>
      <bottom style="double">
        <color rgb="FF1F3864"/>
      </bottom>
    </border>
    <border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thin">
        <color rgb="FF000000"/>
      </top>
      <bottom style="double">
        <color rgb="FF006100"/>
      </bottom>
    </border>
    <border>
      <left style="double">
        <color rgb="FF1F3864"/>
      </left>
      <right/>
      <top style="thin">
        <color rgb="FF000000"/>
      </top>
      <bottom style="double">
        <color rgb="FF006100"/>
      </bottom>
    </border>
    <border>
      <top style="thin">
        <color rgb="FF000000"/>
      </top>
      <bottom style="double">
        <color rgb="FF000000"/>
      </bottom>
    </border>
    <border>
      <left style="double">
        <color rgb="FF1F3864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7030A0"/>
      </bottom>
    </border>
    <border>
      <left style="double">
        <color rgb="FF1F3864"/>
      </left>
      <right/>
      <top style="thin">
        <color rgb="FF000000"/>
      </top>
      <bottom style="double">
        <color rgb="FF7030A0"/>
      </bottom>
    </border>
    <border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top style="dotted">
        <color rgb="FFB4C6E7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6100"/>
      </top>
      <bottom style="double">
        <color rgb="FF0061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dotted">
        <color rgb="FF000000"/>
      </right>
      <bottom style="dotted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4" fillId="3" borderId="2" pivotButton="0" quotePrefix="0" xfId="0"/>
    <xf numFmtId="0" fontId="5" fillId="2" borderId="1" pivotButton="0" quotePrefix="0" xfId="0"/>
    <xf numFmtId="0" fontId="6" fillId="4" borderId="1" applyAlignment="1" pivotButton="0" quotePrefix="0" xfId="0">
      <alignment horizontal="center"/>
    </xf>
    <xf numFmtId="0" fontId="7" fillId="2" borderId="1" pivotButton="0" quotePrefix="0" xfId="0"/>
    <xf numFmtId="0" fontId="8" fillId="2" borderId="1" pivotButton="0" quotePrefix="0" xfId="0"/>
    <xf numFmtId="0" fontId="9" fillId="4" borderId="3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2" fillId="2" borderId="4" applyAlignment="1" pivotButton="0" quotePrefix="0" xfId="0">
      <alignment horizontal="center"/>
    </xf>
    <xf numFmtId="0" fontId="13" fillId="0" borderId="5" pivotButton="0" quotePrefix="0" xfId="0"/>
    <xf numFmtId="0" fontId="13" fillId="0" borderId="6" pivotButton="0" quotePrefix="0" xfId="0"/>
    <xf numFmtId="0" fontId="11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4" fillId="5" borderId="7" applyAlignment="1" pivotButton="0" quotePrefix="0" xfId="0">
      <alignment horizontal="left" vertical="center"/>
    </xf>
    <xf numFmtId="0" fontId="15" fillId="6" borderId="8" applyAlignment="1" pivotButton="0" quotePrefix="0" xfId="0">
      <alignment horizontal="center"/>
    </xf>
    <xf numFmtId="0" fontId="15" fillId="6" borderId="9" applyAlignment="1" pivotButton="0" quotePrefix="0" xfId="0">
      <alignment horizontal="center"/>
    </xf>
    <xf numFmtId="0" fontId="15" fillId="6" borderId="10" applyAlignment="1" pivotButton="0" quotePrefix="0" xfId="0">
      <alignment horizontal="center"/>
    </xf>
    <xf numFmtId="0" fontId="15" fillId="7" borderId="11" applyAlignment="1" pivotButton="0" quotePrefix="0" xfId="0">
      <alignment horizontal="center"/>
    </xf>
    <xf numFmtId="0" fontId="13" fillId="0" borderId="12" pivotButton="0" quotePrefix="0" xfId="0"/>
    <xf numFmtId="0" fontId="16" fillId="2" borderId="1" applyAlignment="1" pivotButton="0" quotePrefix="0" xfId="0">
      <alignment horizontal="center"/>
    </xf>
    <xf numFmtId="0" fontId="15" fillId="2" borderId="13" applyAlignment="1" pivotButton="0" quotePrefix="0" xfId="0">
      <alignment horizontal="center"/>
    </xf>
    <xf numFmtId="0" fontId="15" fillId="2" borderId="14" applyAlignment="1" pivotButton="0" quotePrefix="0" xfId="0">
      <alignment horizontal="center"/>
    </xf>
    <xf numFmtId="0" fontId="16" fillId="2" borderId="15" applyAlignment="1" pivotButton="0" quotePrefix="0" xfId="0">
      <alignment horizontal="center"/>
    </xf>
    <xf numFmtId="0" fontId="17" fillId="3" borderId="1" applyAlignment="1" pivotButton="0" quotePrefix="0" xfId="0">
      <alignment horizontal="left"/>
    </xf>
    <xf numFmtId="0" fontId="18" fillId="3" borderId="1" pivotButton="0" quotePrefix="0" xfId="0"/>
    <xf numFmtId="164" fontId="18" fillId="3" borderId="16" applyAlignment="1" pivotButton="0" quotePrefix="0" xfId="0">
      <alignment horizontal="right"/>
    </xf>
    <xf numFmtId="164" fontId="18" fillId="3" borderId="17" applyAlignment="1" pivotButton="0" quotePrefix="0" xfId="0">
      <alignment horizontal="right"/>
    </xf>
    <xf numFmtId="164" fontId="18" fillId="3" borderId="18" applyAlignment="1" pivotButton="0" quotePrefix="0" xfId="0">
      <alignment horizontal="right"/>
    </xf>
    <xf numFmtId="0" fontId="18" fillId="8" borderId="19" applyAlignment="1" pivotButton="0" quotePrefix="0" xfId="0">
      <alignment horizontal="right"/>
    </xf>
    <xf numFmtId="0" fontId="11" fillId="8" borderId="1" applyAlignment="1" pivotButton="0" quotePrefix="0" xfId="0">
      <alignment horizontal="left"/>
    </xf>
    <xf numFmtId="0" fontId="11" fillId="8" borderId="1" pivotButton="0" quotePrefix="0" xfId="0"/>
    <xf numFmtId="164" fontId="11" fillId="8" borderId="20" applyAlignment="1" pivotButton="0" quotePrefix="0" xfId="0">
      <alignment horizontal="right"/>
    </xf>
    <xf numFmtId="164" fontId="11" fillId="8" borderId="21" applyAlignment="1" pivotButton="0" quotePrefix="0" xfId="0">
      <alignment horizontal="right"/>
    </xf>
    <xf numFmtId="164" fontId="11" fillId="8" borderId="22" applyAlignment="1" pivotButton="0" quotePrefix="0" xfId="0">
      <alignment horizontal="right"/>
    </xf>
    <xf numFmtId="164" fontId="11" fillId="8" borderId="23" applyAlignment="1" pivotButton="0" quotePrefix="0" xfId="0">
      <alignment horizontal="right"/>
    </xf>
    <xf numFmtId="0" fontId="3" fillId="9" borderId="1" pivotButton="0" quotePrefix="0" xfId="0"/>
    <xf numFmtId="0" fontId="19" fillId="2" borderId="1" applyAlignment="1" pivotButton="0" quotePrefix="0" xfId="0">
      <alignment horizontal="left"/>
    </xf>
    <xf numFmtId="0" fontId="11" fillId="0" borderId="0" pivotButton="0" quotePrefix="0" xfId="0"/>
    <xf numFmtId="164" fontId="11" fillId="0" borderId="20" applyAlignment="1" pivotButton="0" quotePrefix="0" xfId="0">
      <alignment horizontal="right"/>
    </xf>
    <xf numFmtId="164" fontId="11" fillId="0" borderId="21" applyAlignment="1" pivotButton="0" quotePrefix="0" xfId="0">
      <alignment horizontal="right"/>
    </xf>
    <xf numFmtId="164" fontId="11" fillId="0" borderId="24" applyAlignment="1" pivotButton="0" quotePrefix="0" xfId="0">
      <alignment horizontal="right"/>
    </xf>
    <xf numFmtId="164" fontId="11" fillId="8" borderId="25" applyAlignment="1" pivotButton="0" quotePrefix="0" xfId="0">
      <alignment horizontal="right"/>
    </xf>
    <xf numFmtId="164" fontId="20" fillId="4" borderId="26" applyAlignment="1" pivotButton="0" quotePrefix="0" xfId="0">
      <alignment horizontal="left"/>
    </xf>
    <xf numFmtId="164" fontId="21" fillId="4" borderId="26" pivotButton="0" quotePrefix="0" xfId="0"/>
    <xf numFmtId="164" fontId="22" fillId="4" borderId="27" applyAlignment="1" pivotButton="0" quotePrefix="0" xfId="0">
      <alignment horizontal="right"/>
    </xf>
    <xf numFmtId="164" fontId="23" fillId="4" borderId="21" applyAlignment="1" pivotButton="0" quotePrefix="0" xfId="0">
      <alignment horizontal="right"/>
    </xf>
    <xf numFmtId="164" fontId="24" fillId="4" borderId="22" applyAlignment="1" pivotButton="0" quotePrefix="0" xfId="0">
      <alignment horizontal="right"/>
    </xf>
    <xf numFmtId="164" fontId="25" fillId="8" borderId="28" applyAlignment="1" pivotButton="0" quotePrefix="0" xfId="0">
      <alignment horizontal="right"/>
    </xf>
    <xf numFmtId="0" fontId="26" fillId="0" borderId="0" pivotButton="0" quotePrefix="0" xfId="0"/>
    <xf numFmtId="164" fontId="11" fillId="8" borderId="27" applyAlignment="1" pivotButton="0" quotePrefix="0" xfId="0">
      <alignment horizontal="right"/>
    </xf>
    <xf numFmtId="164" fontId="11" fillId="8" borderId="19" applyAlignment="1" pivotButton="0" quotePrefix="0" xfId="0">
      <alignment horizontal="right"/>
    </xf>
    <xf numFmtId="0" fontId="11" fillId="0" borderId="24" applyAlignment="1" pivotButton="0" quotePrefix="0" xfId="0">
      <alignment horizontal="right"/>
    </xf>
    <xf numFmtId="0" fontId="27" fillId="2" borderId="1" applyAlignment="1" pivotButton="0" quotePrefix="0" xfId="0">
      <alignment horizontal="left"/>
    </xf>
    <xf numFmtId="0" fontId="28" fillId="0" borderId="0" pivotButton="0" quotePrefix="0" xfId="0"/>
    <xf numFmtId="164" fontId="28" fillId="0" borderId="20" applyAlignment="1" pivotButton="0" quotePrefix="0" xfId="0">
      <alignment horizontal="right"/>
    </xf>
    <xf numFmtId="164" fontId="28" fillId="0" borderId="21" applyAlignment="1" pivotButton="0" quotePrefix="0" xfId="0">
      <alignment horizontal="right"/>
    </xf>
    <xf numFmtId="164" fontId="28" fillId="0" borderId="24" applyAlignment="1" pivotButton="0" quotePrefix="0" xfId="0">
      <alignment horizontal="right"/>
    </xf>
    <xf numFmtId="164" fontId="28" fillId="8" borderId="25" applyAlignment="1" pivotButton="0" quotePrefix="0" xfId="0">
      <alignment horizontal="right"/>
    </xf>
    <xf numFmtId="0" fontId="29" fillId="0" borderId="0" pivotButton="0" quotePrefix="0" xfId="0"/>
    <xf numFmtId="164" fontId="30" fillId="10" borderId="29" applyAlignment="1" pivotButton="0" quotePrefix="0" xfId="0">
      <alignment horizontal="left"/>
    </xf>
    <xf numFmtId="164" fontId="17" fillId="10" borderId="29" pivotButton="0" quotePrefix="0" xfId="0"/>
    <xf numFmtId="164" fontId="17" fillId="10" borderId="27" applyAlignment="1" pivotButton="0" quotePrefix="0" xfId="0">
      <alignment horizontal="right"/>
    </xf>
    <xf numFmtId="164" fontId="17" fillId="10" borderId="21" applyAlignment="1" pivotButton="0" quotePrefix="0" xfId="0">
      <alignment horizontal="right"/>
    </xf>
    <xf numFmtId="164" fontId="17" fillId="10" borderId="22" applyAlignment="1" pivotButton="0" quotePrefix="0" xfId="0">
      <alignment horizontal="right"/>
    </xf>
    <xf numFmtId="164" fontId="17" fillId="8" borderId="30" applyAlignment="1" pivotButton="0" quotePrefix="0" xfId="0">
      <alignment horizontal="right"/>
    </xf>
    <xf numFmtId="164" fontId="31" fillId="3" borderId="31" applyAlignment="1" pivotButton="0" quotePrefix="0" xfId="0">
      <alignment horizontal="left"/>
    </xf>
    <xf numFmtId="164" fontId="18" fillId="3" borderId="31" pivotButton="0" quotePrefix="0" xfId="0"/>
    <xf numFmtId="164" fontId="18" fillId="3" borderId="27" applyAlignment="1" pivotButton="0" quotePrefix="0" xfId="0">
      <alignment horizontal="right"/>
    </xf>
    <xf numFmtId="164" fontId="18" fillId="3" borderId="21" applyAlignment="1" pivotButton="0" quotePrefix="0" xfId="0">
      <alignment horizontal="right"/>
    </xf>
    <xf numFmtId="164" fontId="18" fillId="3" borderId="22" applyAlignment="1" pivotButton="0" quotePrefix="0" xfId="0">
      <alignment horizontal="right"/>
    </xf>
    <xf numFmtId="164" fontId="18" fillId="8" borderId="32" applyAlignment="1" pivotButton="0" quotePrefix="0" xfId="0">
      <alignment horizontal="right"/>
    </xf>
    <xf numFmtId="165" fontId="3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5" fontId="33" fillId="0" borderId="0" applyAlignment="1" pivotButton="0" quotePrefix="0" xfId="0">
      <alignment horizontal="right"/>
    </xf>
    <xf numFmtId="166" fontId="11" fillId="0" borderId="33" applyAlignment="1" pivotButton="0" quotePrefix="0" xfId="0">
      <alignment horizontal="right"/>
    </xf>
    <xf numFmtId="167" fontId="11" fillId="0" borderId="21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4" fontId="34" fillId="5" borderId="34" applyAlignment="1" pivotButton="0" quotePrefix="0" xfId="0">
      <alignment horizontal="left"/>
    </xf>
    <xf numFmtId="164" fontId="35" fillId="5" borderId="34" pivotButton="0" quotePrefix="0" xfId="0"/>
    <xf numFmtId="164" fontId="35" fillId="5" borderId="27" applyAlignment="1" pivotButton="0" quotePrefix="0" xfId="0">
      <alignment horizontal="right"/>
    </xf>
    <xf numFmtId="164" fontId="35" fillId="5" borderId="21" applyAlignment="1" pivotButton="0" quotePrefix="0" xfId="0">
      <alignment horizontal="right"/>
    </xf>
    <xf numFmtId="164" fontId="35" fillId="5" borderId="22" applyAlignment="1" pivotButton="0" quotePrefix="0" xfId="0">
      <alignment horizontal="right"/>
    </xf>
    <xf numFmtId="164" fontId="35" fillId="8" borderId="35" applyAlignment="1" pivotButton="0" quotePrefix="0" xfId="0">
      <alignment horizontal="right"/>
    </xf>
    <xf numFmtId="164" fontId="36" fillId="0" borderId="36" applyAlignment="1" pivotButton="0" quotePrefix="0" xfId="0">
      <alignment horizontal="left"/>
    </xf>
    <xf numFmtId="164" fontId="37" fillId="0" borderId="36" pivotButton="0" quotePrefix="0" xfId="0"/>
    <xf numFmtId="164" fontId="38" fillId="0" borderId="33" applyAlignment="1" pivotButton="0" quotePrefix="0" xfId="0">
      <alignment horizontal="right"/>
    </xf>
    <xf numFmtId="164" fontId="38" fillId="0" borderId="21" applyAlignment="1" pivotButton="0" quotePrefix="0" xfId="0">
      <alignment horizontal="right"/>
    </xf>
    <xf numFmtId="164" fontId="38" fillId="0" borderId="24" applyAlignment="1" pivotButton="0" quotePrefix="0" xfId="0">
      <alignment horizontal="right"/>
    </xf>
    <xf numFmtId="164" fontId="38" fillId="8" borderId="37" applyAlignment="1" pivotButton="0" quotePrefix="0" xfId="0">
      <alignment horizontal="right"/>
    </xf>
    <xf numFmtId="0" fontId="39" fillId="8" borderId="1" applyAlignment="1" pivotButton="0" quotePrefix="0" xfId="0">
      <alignment horizontal="left"/>
    </xf>
    <xf numFmtId="164" fontId="40" fillId="11" borderId="38" applyAlignment="1" pivotButton="0" quotePrefix="0" xfId="0">
      <alignment horizontal="left"/>
    </xf>
    <xf numFmtId="164" fontId="41" fillId="11" borderId="38" pivotButton="0" quotePrefix="0" xfId="0"/>
    <xf numFmtId="164" fontId="41" fillId="11" borderId="27" applyAlignment="1" pivotButton="0" quotePrefix="0" xfId="0">
      <alignment horizontal="right"/>
    </xf>
    <xf numFmtId="164" fontId="41" fillId="11" borderId="21" applyAlignment="1" pivotButton="0" quotePrefix="0" xfId="0">
      <alignment horizontal="right"/>
    </xf>
    <xf numFmtId="164" fontId="41" fillId="11" borderId="22" applyAlignment="1" pivotButton="0" quotePrefix="0" xfId="0">
      <alignment horizontal="right"/>
    </xf>
    <xf numFmtId="164" fontId="41" fillId="8" borderId="39" applyAlignment="1" pivotButton="0" quotePrefix="0" xfId="0">
      <alignment horizontal="right"/>
    </xf>
    <xf numFmtId="164" fontId="38" fillId="0" borderId="40" applyAlignment="1" pivotButton="0" quotePrefix="0" xfId="0">
      <alignment horizontal="right"/>
    </xf>
    <xf numFmtId="164" fontId="38" fillId="0" borderId="41" applyAlignment="1" pivotButton="0" quotePrefix="0" xfId="0">
      <alignment horizontal="right"/>
    </xf>
    <xf numFmtId="164" fontId="38" fillId="0" borderId="42" applyAlignment="1" pivotButton="0" quotePrefix="0" xfId="0">
      <alignment horizontal="right"/>
    </xf>
    <xf numFmtId="164" fontId="3" fillId="0" borderId="0" pivotButton="0" quotePrefix="0" xfId="0"/>
    <xf numFmtId="0" fontId="2" fillId="2" borderId="1" applyAlignment="1" pivotButton="0" quotePrefix="0" xfId="0">
      <alignment horizontal="center"/>
    </xf>
    <xf numFmtId="0" fontId="42" fillId="2" borderId="1" applyAlignment="1" pivotButton="0" quotePrefix="0" xfId="0">
      <alignment horizontal="center"/>
    </xf>
    <xf numFmtId="0" fontId="43" fillId="2" borderId="43" applyAlignment="1" pivotButton="0" quotePrefix="0" xfId="0">
      <alignment horizontal="center"/>
    </xf>
    <xf numFmtId="0" fontId="13" fillId="0" borderId="44" pivotButton="0" quotePrefix="0" xfId="0"/>
    <xf numFmtId="0" fontId="13" fillId="0" borderId="45" pivotButton="0" quotePrefix="0" xfId="0"/>
    <xf numFmtId="0" fontId="7" fillId="2" borderId="1" applyAlignment="1" pivotButton="0" quotePrefix="0" xfId="0">
      <alignment horizontal="center"/>
    </xf>
    <xf numFmtId="0" fontId="44" fillId="2" borderId="1" applyAlignment="1" pivotButton="0" quotePrefix="0" xfId="0">
      <alignment horizontal="center"/>
    </xf>
    <xf numFmtId="0" fontId="45" fillId="6" borderId="46" applyAlignment="1" pivotButton="0" quotePrefix="0" xfId="0">
      <alignment horizontal="center"/>
    </xf>
    <xf numFmtId="0" fontId="42" fillId="0" borderId="47" applyAlignment="1" pivotButton="0" quotePrefix="0" xfId="0">
      <alignment horizontal="center"/>
    </xf>
    <xf numFmtId="0" fontId="6" fillId="4" borderId="48" pivotButton="0" quotePrefix="0" xfId="0"/>
    <xf numFmtId="164" fontId="6" fillId="4" borderId="48" pivotButton="0" quotePrefix="0" xfId="0"/>
    <xf numFmtId="164" fontId="6" fillId="4" borderId="48" applyAlignment="1" pivotButton="0" quotePrefix="0" xfId="0">
      <alignment horizontal="right"/>
    </xf>
    <xf numFmtId="0" fontId="44" fillId="2" borderId="1" applyAlignment="1" pivotButton="0" quotePrefix="0" xfId="0">
      <alignment horizontal="left"/>
    </xf>
    <xf numFmtId="164" fontId="46" fillId="0" borderId="49" applyAlignment="1" pivotButton="0" quotePrefix="0" xfId="0">
      <alignment horizontal="left"/>
    </xf>
    <xf numFmtId="164" fontId="4" fillId="12" borderId="50" applyAlignment="1" pivotButton="0" quotePrefix="0" xfId="0">
      <alignment horizontal="right"/>
    </xf>
    <xf numFmtId="164" fontId="2" fillId="13" borderId="50" applyAlignment="1" pivotButton="0" quotePrefix="0" xfId="0">
      <alignment horizontal="right"/>
    </xf>
    <xf numFmtId="164" fontId="2" fillId="0" borderId="49" applyAlignment="1" pivotButton="0" quotePrefix="0" xfId="0">
      <alignment horizontal="right"/>
    </xf>
    <xf numFmtId="164" fontId="44" fillId="0" borderId="49" applyAlignment="1" pivotButton="0" quotePrefix="0" xfId="0">
      <alignment horizontal="right"/>
    </xf>
    <xf numFmtId="164" fontId="2" fillId="0" borderId="49" applyAlignment="1" pivotButton="0" quotePrefix="0" xfId="0">
      <alignment horizontal="right"/>
    </xf>
    <xf numFmtId="164" fontId="46" fillId="0" borderId="51" applyAlignment="1" pivotButton="0" quotePrefix="0" xfId="0">
      <alignment horizontal="left"/>
    </xf>
    <xf numFmtId="164" fontId="4" fillId="12" borderId="51" applyAlignment="1" pivotButton="0" quotePrefix="0" xfId="0">
      <alignment horizontal="right"/>
    </xf>
    <xf numFmtId="164" fontId="2" fillId="13" borderId="51" applyAlignment="1" pivotButton="0" quotePrefix="0" xfId="0">
      <alignment horizontal="right"/>
    </xf>
    <xf numFmtId="164" fontId="2" fillId="0" borderId="51" applyAlignment="1" pivotButton="0" quotePrefix="0" xfId="0">
      <alignment horizontal="right"/>
    </xf>
    <xf numFmtId="164" fontId="2" fillId="0" borderId="51" applyAlignment="1" pivotButton="0" quotePrefix="0" xfId="0">
      <alignment horizontal="right"/>
    </xf>
    <xf numFmtId="164" fontId="44" fillId="0" borderId="51" applyAlignment="1" pivotButton="0" quotePrefix="0" xfId="0">
      <alignment horizontal="left"/>
    </xf>
    <xf numFmtId="164" fontId="44" fillId="0" borderId="0" applyAlignment="1" pivotButton="0" quotePrefix="0" xfId="0">
      <alignment horizontal="left"/>
    </xf>
    <xf numFmtId="164" fontId="6" fillId="4" borderId="26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42" fillId="0" borderId="49" pivotButton="0" quotePrefix="0" xfId="0"/>
    <xf numFmtId="164" fontId="42" fillId="0" borderId="51" pivotButton="0" quotePrefix="0" xfId="0"/>
    <xf numFmtId="164" fontId="47" fillId="0" borderId="49" pivotButton="0" quotePrefix="0" xfId="0"/>
    <xf numFmtId="0" fontId="2" fillId="0" borderId="0" applyAlignment="1" pivotButton="0" quotePrefix="0" xfId="0">
      <alignment horizontal="right"/>
    </xf>
    <xf numFmtId="164" fontId="2" fillId="0" borderId="51" pivotButton="0" quotePrefix="0" xfId="0"/>
    <xf numFmtId="164" fontId="2" fillId="0" borderId="0" pivotButton="0" quotePrefix="0" xfId="0"/>
    <xf numFmtId="0" fontId="45" fillId="6" borderId="52" applyAlignment="1" pivotButton="0" quotePrefix="0" xfId="0">
      <alignment horizontal="center"/>
    </xf>
    <xf numFmtId="0" fontId="48" fillId="14" borderId="1" applyAlignment="1" pivotButton="0" quotePrefix="0" xfId="0">
      <alignment horizontal="center"/>
    </xf>
    <xf numFmtId="0" fontId="49" fillId="14" borderId="1" applyAlignment="1" pivotButton="0" quotePrefix="0" xfId="0">
      <alignment horizontal="center"/>
    </xf>
    <xf numFmtId="166" fontId="48" fillId="14" borderId="1" applyAlignment="1" pivotButton="0" quotePrefix="0" xfId="0">
      <alignment horizontal="center"/>
    </xf>
    <xf numFmtId="166" fontId="48" fillId="14" borderId="53" applyAlignment="1" pivotButton="0" quotePrefix="0" xfId="0">
      <alignment horizontal="right"/>
    </xf>
    <xf numFmtId="164" fontId="44" fillId="0" borderId="54" applyAlignment="1" pivotButton="0" quotePrefix="0" xfId="0">
      <alignment horizontal="right"/>
    </xf>
    <xf numFmtId="164" fontId="44" fillId="0" borderId="54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pivotButton="0" quotePrefix="0" xfId="0"/>
    <xf numFmtId="164" fontId="50" fillId="0" borderId="0" pivotButton="0" quotePrefix="0" xfId="0"/>
    <xf numFmtId="0" fontId="4" fillId="12" borderId="1" pivotButton="0" quotePrefix="0" xfId="0"/>
    <xf numFmtId="164" fontId="2" fillId="2" borderId="51" applyAlignment="1" pivotButton="0" quotePrefix="0" xfId="0">
      <alignment horizontal="right"/>
    </xf>
    <xf numFmtId="0" fontId="3" fillId="2" borderId="1" pivotButton="0" quotePrefix="0" xfId="0"/>
    <xf numFmtId="0" fontId="51" fillId="2" borderId="7" applyAlignment="1" pivotButton="0" quotePrefix="0" xfId="0">
      <alignment horizontal="left"/>
    </xf>
    <xf numFmtId="0" fontId="13" fillId="0" borderId="55" pivotButton="0" quotePrefix="0" xfId="0"/>
    <xf numFmtId="164" fontId="2" fillId="2" borderId="51" applyAlignment="1" pivotButton="0" quotePrefix="0" xfId="0">
      <alignment horizontal="right"/>
    </xf>
    <xf numFmtId="164" fontId="2" fillId="2" borderId="50" applyAlignment="1" pivotButton="0" quotePrefix="0" xfId="0">
      <alignment horizontal="right"/>
    </xf>
    <xf numFmtId="0" fontId="42" fillId="0" borderId="56" applyAlignment="1" pivotButton="0" quotePrefix="0" xfId="0">
      <alignment horizontal="center"/>
    </xf>
    <xf numFmtId="0" fontId="42" fillId="0" borderId="0" pivotButton="0" quotePrefix="0" xfId="0"/>
    <xf numFmtId="164" fontId="2" fillId="0" borderId="0" applyAlignment="1" pivotButton="0" quotePrefix="0" xfId="0">
      <alignment horizontal="right"/>
    </xf>
    <xf numFmtId="0" fontId="13" fillId="0" borderId="57" pivotButton="0" quotePrefix="0" xfId="0"/>
    <xf numFmtId="0" fontId="42" fillId="2" borderId="58" applyAlignment="1" pivotButton="0" quotePrefix="0" xfId="0">
      <alignment horizontal="center"/>
    </xf>
    <xf numFmtId="0" fontId="13" fillId="0" borderId="59" pivotButton="0" quotePrefix="0" xfId="0"/>
    <xf numFmtId="0" fontId="13" fillId="0" borderId="60" pivotButton="0" quotePrefix="0" xfId="0"/>
    <xf numFmtId="0" fontId="52" fillId="0" borderId="61" applyAlignment="1" pivotButton="0" quotePrefix="0" xfId="0">
      <alignment horizontal="center"/>
    </xf>
    <xf numFmtId="0" fontId="29" fillId="0" borderId="62" applyAlignment="1" pivotButton="0" quotePrefix="0" xfId="0">
      <alignment horizontal="center"/>
    </xf>
    <xf numFmtId="164" fontId="29" fillId="0" borderId="36" pivotButton="0" quotePrefix="0" xfId="0"/>
    <xf numFmtId="164" fontId="2" fillId="0" borderId="49" pivotButton="0" quotePrefix="0" xfId="0"/>
    <xf numFmtId="164" fontId="47" fillId="0" borderId="51" pivotButton="0" quotePrefix="0" xfId="0"/>
    <xf numFmtId="164" fontId="3" fillId="0" borderId="51" pivotButton="0" quotePrefix="0" xfId="0"/>
    <xf numFmtId="0" fontId="0" fillId="0" borderId="0" pivotButton="0" quotePrefix="0" xfId="0"/>
    <xf numFmtId="0" fontId="12" fillId="2" borderId="6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4" fillId="5" borderId="1" applyAlignment="1" pivotButton="0" quotePrefix="0" xfId="0">
      <alignment horizontal="left" vertical="center"/>
    </xf>
    <xf numFmtId="0" fontId="43" fillId="2" borderId="1" applyAlignment="1" pivotButton="0" quotePrefix="0" xfId="0">
      <alignment horizontal="center"/>
    </xf>
    <xf numFmtId="0" fontId="51" fillId="2" borderId="1" applyAlignment="1" pivotButton="0" quotePrefix="0" xfId="0">
      <alignment horizontal="left"/>
    </xf>
    <xf numFmtId="0" fontId="43" fillId="2" borderId="66" applyAlignment="1" pivotButton="0" quotePrefix="0" xfId="0">
      <alignment horizontal="center"/>
    </xf>
    <xf numFmtId="0" fontId="0" fillId="0" borderId="67" pivotButton="0" quotePrefix="0" xfId="0"/>
    <xf numFmtId="0" fontId="42" fillId="2" borderId="52" applyAlignment="1" pivotButton="0" quotePrefix="0" xfId="0">
      <alignment horizontal="center"/>
    </xf>
    <xf numFmtId="0" fontId="0" fillId="0" borderId="68" pivotButton="0" quotePrefix="0" xfId="0"/>
    <xf numFmtId="0" fontId="0" fillId="0" borderId="69" pivotButton="0" quotePrefix="0" xfId="0"/>
    <xf numFmtId="0" fontId="53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4">
    <dxf>
      <font>
        <color rgb="FF006100"/>
      </font>
      <fill>
        <patternFill/>
      </fill>
      <border/>
    </dxf>
    <dxf>
      <font>
        <color rgb="FFC00000"/>
      </font>
      <fill>
        <patternFill/>
      </fill>
      <border/>
    </dxf>
    <dxf>
      <font>
        <color rgb="FFFFFFFF"/>
      </font>
      <fill>
        <patternFill patternType="solid">
          <fgColor rgb="FF548235"/>
          <bgColor rgb="FF548235"/>
        </patternFill>
      </fill>
      <border/>
    </dxf>
    <dxf>
      <font>
        <color rgb="FFFFFFFF"/>
      </font>
      <fill>
        <patternFill patternType="solid">
          <fgColor rgb="FFC00000"/>
          <bgColor rgb="FFC0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None</author>
  </authors>
  <commentList>
    <comment ref="A14" authorId="0" shapeId="0">
      <text>
        <t>======
ID#AAAB9HL4Y6E
Antonio Russo    (2024-09-20 08:25:32)
Stima</t>
      </text>
    </comment>
    <comment ref="A16" authorId="0" shapeId="0">
      <text>
        <t>======
ID#AAAB9HL4Y54
Economato Panorama Group    (2025-01-24 11:45:42)
Ripartato consuntivo da conto economico menisle 2024 secondo accordi con fornitori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7" authorId="0" shapeId="0">
      <text>
        <t>======
ID#AAAB9HL4Y6M
Amministrazione    (2025-01-28 16:04:53)
ACCONTO IVA 2025 - SCAD PAG 27/12/2025</t>
      </text>
    </comment>
    <comment ref="B10" authorId="0" shapeId="0">
      <text>
        <t>======
ID#AAAB9HL4Y5w
Amministrazione    (2025-01-27 13:30:23)
33,33% del complessivo versato</t>
      </text>
    </comment>
    <comment ref="F14" authorId="0" shapeId="0">
      <text>
        <t>======
ID#AAAB9HL4Y6I
Antonio Russo    (2025-11-11 09:45:57)
STIMA DI DINO SU UTILE DI 800K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" authorId="0" shapeId="0">
      <text>
        <t>======
ID#AAAB9HL4Y6Q
Economato Panorama Group    (2025-01-24 11:30:18)
Valore stimato su fatturato 2024</t>
      </text>
    </comment>
    <comment ref="B5" authorId="0" shapeId="0">
      <text>
        <t>======
ID#AAAB9HL4Y58
Economato Panorama Group    (2025-01-24 11:30:25)
Valore stimato su fatturato 2024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5" authorId="0" shapeId="0">
      <text>
        <t>======
ID#AAAB9HL4Y50
Amministrazione    (2025-10-22 08:36:07)
Avuto il dettaglio il 22/10/2025</t>
      </text>
    </comment>
    <comment ref="B14" authorId="0" shapeId="0">
      <text>
        <t>======
ID#AAAB9HL4Y6A
Economato Panorama Group    (2025-01-24 11:21:30)
Valore indicativo di € 8000,00 divisi per trimestri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tur.com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58.33" customWidth="1" style="169" min="1" max="1"/>
    <col width="41.67" customWidth="1" style="169" min="2" max="2"/>
    <col width="10.44" customWidth="1" style="169" min="3" max="6"/>
    <col width="11.11" customWidth="1" style="169" min="7" max="26"/>
  </cols>
  <sheetData>
    <row r="1" ht="15.75" customHeight="1" s="169">
      <c r="A1" s="1" t="inlineStr">
        <is>
          <t>CONTROLLI PIANO FINANZIARIO — ORTI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4" t="n"/>
      <c r="B2" s="4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inlineStr">
        <is>
          <t>1. SALDO PARTENZA</t>
        </is>
      </c>
      <c r="B3" s="5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.75" customHeight="1" s="169">
      <c r="A4" s="6" t="inlineStr">
        <is>
          <t>C4:D4 = saldi iniziali hardcoded (mesi chiusi)?</t>
        </is>
      </c>
      <c r="B4" s="7">
        <f>IF(OR(_xlfn.ISFORMULA('Piano Finanziario'!C4),_xlfn.ISFORMULA('Piano Finanziario'!D4)),"ERRORE","OK")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6" t="inlineStr">
        <is>
          <t>E4 = D37 (giugno parte da saldo reale maggio)?</t>
        </is>
      </c>
      <c r="B5" s="7">
        <f>IF('Piano Finanziario'!E4='Piano Finanziario'!D37,"OK","ERRORE")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6" t="inlineStr">
        <is>
          <t>Catena E4:K4 = mese prec riga 37?</t>
        </is>
      </c>
      <c r="B6" s="7">
        <f>IF(AND('Piano Finanziario'!E4='Piano Finanziario'!D37,'Piano Finanziario'!F4='Piano Finanziario'!E37,'Piano Finanziario'!G4='Piano Finanziario'!F37,'Piano Finanziario'!H4='Piano Finanziario'!G37,'Piano Finanziario'!I4='Piano Finanziario'!H37,'Piano Finanziario'!J4='Piano Finanziario'!I37,'Piano Finanziario'!K4='Piano Finanziario'!J37),"OK","ERRORE")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8" t="inlineStr">
        <is>
          <t>(non applicabile — mesi passati rimossi)</t>
        </is>
      </c>
      <c r="B7" s="7" t="inlineStr">
        <is>
          <t>OK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" t="n"/>
      <c r="B8" s="4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5" t="inlineStr">
        <is>
          <t>2. TOTALE ENTRATE (riga 12)</t>
        </is>
      </c>
      <c r="B9" s="5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6" t="inlineStr">
        <is>
          <t>Riga 12 = SUM(6:11) per mesi C:K?</t>
        </is>
      </c>
      <c r="B10" s="7">
        <f>IF(AND('Piano Finanziario'!C12=SUM('Piano Finanziario'!C6:'Piano Finanziario'!C11),'Piano Finanziario'!D12=SUM('Piano Finanziario'!D6:'Piano Finanziario'!D11),'Piano Finanziario'!E12=SUM('Piano Finanziario'!E6:'Piano Finanziario'!E11),'Piano Finanziario'!F12=SUM('Piano Finanziario'!F6:'Piano Finanziario'!F11),'Piano Finanziario'!G12=SUM('Piano Finanziario'!G6:'Piano Finanziario'!G11),'Piano Finanziario'!H12=SUM('Piano Finanziario'!H6:'Piano Finanziario'!H11),'Piano Finanziario'!I12=SUM('Piano Finanziario'!I6:'Piano Finanziario'!I11),'Piano Finanziario'!J12=SUM('Piano Finanziario'!J6:'Piano Finanziario'!J11),'Piano Finanziario'!K12=SUM('Piano Finanziario'!K6:'Piano Finanziario'!K11)),"OK","ERRORE")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" t="n"/>
      <c r="B11" s="4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5" t="inlineStr">
        <is>
          <t>3. TOTALE USCITE (riga 27)</t>
        </is>
      </c>
      <c r="B12" s="5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6" t="inlineStr">
        <is>
          <t>Riga 27 = SUM(14:26) per mesi C:K?</t>
        </is>
      </c>
      <c r="B13" s="7">
        <f>IF(AND('Piano Finanziario'!C27=SUM('Piano Finanziario'!C14:'Piano Finanziario'!C26),'Piano Finanziario'!D27=SUM('Piano Finanziario'!D14:'Piano Finanziario'!D26),'Piano Finanziario'!E27=SUM('Piano Finanziario'!E14:'Piano Finanziario'!E26),'Piano Finanziario'!F27=SUM('Piano Finanziario'!F14:'Piano Finanziario'!F26),'Piano Finanziario'!G27=SUM('Piano Finanziario'!G14:'Piano Finanziario'!G26),'Piano Finanziario'!H27=SUM('Piano Finanziario'!H14:'Piano Finanziario'!H26),'Piano Finanziario'!I27=SUM('Piano Finanziario'!I14:'Piano Finanziario'!I26),'Piano Finanziario'!J27=SUM('Piano Finanziario'!J14:'Piano Finanziario'!J26),'Piano Finanziario'!K27=SUM('Piano Finanziario'!K14:'Piano Finanziario'!K26)),"OK","ERRORE")</f>
        <v/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" t="n"/>
      <c r="B14" s="4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5" t="inlineStr">
        <is>
          <t>4. CASH FLOW (riga 29)</t>
        </is>
      </c>
      <c r="B15" s="5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6" t="inlineStr">
        <is>
          <t>Riga 29 = Entrate - Uscite per mesi C:K?</t>
        </is>
      </c>
      <c r="B16" s="7">
        <f>IF(AND('Piano Finanziario'!C29='Piano Finanziario'!C12-'Piano Finanziario'!C27,'Piano Finanziario'!D29='Piano Finanziario'!D12-'Piano Finanziario'!D27,'Piano Finanziario'!E29='Piano Finanziario'!E12-'Piano Finanziario'!E27,'Piano Finanziario'!F29='Piano Finanziario'!F12-'Piano Finanziario'!F27,'Piano Finanziario'!G29='Piano Finanziario'!G12-'Piano Finanziario'!G27,'Piano Finanziario'!H29='Piano Finanziario'!H12-'Piano Finanziario'!H27,'Piano Finanziario'!I29='Piano Finanziario'!I12-'Piano Finanziario'!I27,'Piano Finanziario'!J29='Piano Finanziario'!J12-'Piano Finanziario'!J27,'Piano Finanziario'!K29='Piano Finanziario'!K12-'Piano Finanziario'!K27),"OK","ERRORE")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" t="n"/>
      <c r="B17" s="4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5" t="n"/>
      <c r="B18" s="5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" t="n"/>
      <c r="B19" s="9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" t="n"/>
      <c r="B20" s="4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5" t="inlineStr">
        <is>
          <t>6. RIFERIMENTI USCITE — FOGLI DETTAGLIO (mesi I:R)</t>
        </is>
      </c>
      <c r="B21" s="5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6" t="inlineStr">
        <is>
          <t>Riga 14 — Salari e Stipendi</t>
        </is>
      </c>
      <c r="B22" s="7">
        <f>IF(AND('Piano Finanziario'!C14='Salari e Stipendi'!D4,'Piano Finanziario'!D14='Salari e Stipendi'!E4,'Piano Finanziario'!E14='Salari e Stipendi'!F4,'Piano Finanziario'!F14='Salari e Stipendi'!G4,'Piano Finanziario'!G14='Salari e Stipendi'!H4,'Piano Finanziario'!H14='Salari e Stipendi'!I4,'Piano Finanziario'!I14='Salari e Stipendi'!J4,'Piano Finanziario'!J14='Salari e Stipendi'!K4,'Piano Finanziario'!K14='Salari e Stipendi'!L4),"OK","ERRORE")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6" t="inlineStr">
        <is>
          <t>Riga 15 — Utenze</t>
        </is>
      </c>
      <c r="B23" s="7">
        <f>IF(AND('Piano Finanziario'!C15=Utenze!D3,'Piano Finanziario'!D15=Utenze!E3,'Piano Finanziario'!E15=Utenze!F3,'Piano Finanziario'!F15=Utenze!G3,'Piano Finanziario'!G15=Utenze!H3,'Piano Finanziario'!H15=Utenze!I3,'Piano Finanziario'!I15=Utenze!J3,'Piano Finanziario'!J15=Utenze!K3,'Piano Finanziario'!K15=Utenze!L3),"OK","ERRORE")</f>
        <v/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6" t="inlineStr">
        <is>
          <t>Riga 16 — Materie Prime/Consumo</t>
        </is>
      </c>
      <c r="B24" s="7">
        <f>IF(AND('Piano Finanziario'!C16=MAX('Materie Prime-Consumo '!D3,'Materie Prime-Consumo '!D4),'Piano Finanziario'!D16=MAX('Materie Prime-Consumo '!E3,'Materie Prime-Consumo '!E4),'Piano Finanziario'!E16=MAX('Materie Prime-Consumo '!F3,'Materie Prime-Consumo '!F4),'Piano Finanziario'!F16=MAX('Materie Prime-Consumo '!G3,'Materie Prime-Consumo '!G4),'Piano Finanziario'!G16=MAX('Materie Prime-Consumo '!H3,'Materie Prime-Consumo '!H4),'Piano Finanziario'!H16=MAX('Materie Prime-Consumo '!I3,'Materie Prime-Consumo '!I4),'Piano Finanziario'!I16=MAX('Materie Prime-Consumo '!J3,'Materie Prime-Consumo '!J4),'Piano Finanziario'!J16=MAX('Materie Prime-Consumo '!K3,'Materie Prime-Consumo '!K4),'Piano Finanziario'!K16=MAX('Materie Prime-Consumo '!L3,'Materie Prime-Consumo '!L4)),"OK","ERRORE")</f>
        <v/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6" t="inlineStr">
        <is>
          <t>Riga 17 — Tasse e Imposte</t>
        </is>
      </c>
      <c r="B25" s="7">
        <f>IF(AND('Piano Finanziario'!C17='Tasse e Imposte'!D3,'Piano Finanziario'!D17='Tasse e Imposte'!E3,'Piano Finanziario'!E17='Tasse e Imposte'!F3,'Piano Finanziario'!F17='Tasse e Imposte'!G3,'Piano Finanziario'!G17='Tasse e Imposte'!H3,'Piano Finanziario'!H17='Tasse e Imposte'!I3,'Piano Finanziario'!I17='Tasse e Imposte'!J3,'Piano Finanziario'!J17='Tasse e Imposte'!K3,'Piano Finanziario'!K17='Tasse e Imposte'!L3),"OK","ERRORE")</f>
        <v/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6" t="inlineStr">
        <is>
          <t>Riga 18 — Commissioni Portali</t>
        </is>
      </c>
      <c r="B26" s="7">
        <f>IF(AND('Piano Finanziario'!C18='Commisisoni Portali'!D3,'Piano Finanziario'!D18='Commisisoni Portali'!E3,'Piano Finanziario'!E18='Commisisoni Portali'!F3,'Piano Finanziario'!F18='Commisisoni Portali'!G3,'Piano Finanziario'!G18='Commisisoni Portali'!H3,'Piano Finanziario'!H18='Commisisoni Portali'!I3,'Piano Finanziario'!I18='Commisisoni Portali'!J3,'Piano Finanziario'!J18='Commisisoni Portali'!K3,'Piano Finanziario'!K18='Commisisoni Portali'!L3),"OK","ERRORE")</f>
        <v/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6" t="inlineStr">
        <is>
          <t>Riga 19 — Mutui e Finanziamenti</t>
        </is>
      </c>
      <c r="B27" s="7">
        <f>IF(AND('Piano Finanziario'!C19='Mutui e Finaziamenti'!D3,'Piano Finanziario'!D19='Mutui e Finaziamenti'!E3,'Piano Finanziario'!E19='Mutui e Finaziamenti'!F3,'Piano Finanziario'!F19='Mutui e Finaziamenti'!G3,'Piano Finanziario'!G19='Mutui e Finaziamenti'!H3,'Piano Finanziario'!H19='Mutui e Finaziamenti'!I3,'Piano Finanziario'!I19='Mutui e Finaziamenti'!J3,'Piano Finanziario'!J19='Mutui e Finaziamenti'!K3,'Piano Finanziario'!K19='Mutui e Finaziamenti'!L3),"OK","ERRORE")</f>
        <v/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6" t="inlineStr">
        <is>
          <t>Riga 20 — Consulenze</t>
        </is>
      </c>
      <c r="B28" s="7">
        <f>IF(AND('Piano Finanziario'!C20=Consulenze!D3,'Piano Finanziario'!D20=Consulenze!E3,'Piano Finanziario'!E20=Consulenze!F3,'Piano Finanziario'!F20=Consulenze!G3,'Piano Finanziario'!G20=Consulenze!H3,'Piano Finanziario'!H20=Consulenze!I3,'Piano Finanziario'!I20=Consulenze!J3,'Piano Finanziario'!J20=Consulenze!K3,'Piano Finanziario'!K20=Consulenze!L3),"OK","ERRORE")</f>
        <v/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6" t="inlineStr">
        <is>
          <t>Riga 21 — Godimento Beni di Terzi</t>
        </is>
      </c>
      <c r="B29" s="7">
        <f>IF(AND('Piano Finanziario'!C21='Godimento Beni di Terzi'!D4,'Piano Finanziario'!D21='Godimento Beni di Terzi'!E4,'Piano Finanziario'!E21='Godimento Beni di Terzi'!F4,'Piano Finanziario'!F21='Godimento Beni di Terzi'!G4,'Piano Finanziario'!G21='Godimento Beni di Terzi'!H4,'Piano Finanziario'!H21='Godimento Beni di Terzi'!I4,'Piano Finanziario'!I21='Godimento Beni di Terzi'!J4,'Piano Finanziario'!J21='Godimento Beni di Terzi'!K4,'Piano Finanziario'!K21='Godimento Beni di Terzi'!L4),"OK","ERRORE")</f>
        <v/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6" t="inlineStr">
        <is>
          <t>Riga 22 — Varie ed Eventuali</t>
        </is>
      </c>
      <c r="B30" s="7">
        <f>IF(AND('Piano Finanziario'!C22=' Varie ed Eventuali'!D3,'Piano Finanziario'!D22=' Varie ed Eventuali'!E3,'Piano Finanziario'!E22=' Varie ed Eventuali'!F3,'Piano Finanziario'!F22=' Varie ed Eventuali'!G3,'Piano Finanziario'!G22=' Varie ed Eventuali'!H3,'Piano Finanziario'!H22=' Varie ed Eventuali'!I3,'Piano Finanziario'!I22=' Varie ed Eventuali'!J3,'Piano Finanziario'!J22=' Varie ed Eventuali'!K3,'Piano Finanziario'!K22=' Varie ed Eventuali'!L3),"OK","ERRORE")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6" t="inlineStr">
        <is>
          <t>Riga 23 — Canoni e servizi</t>
        </is>
      </c>
      <c r="B31" s="7">
        <f>IF(AND('Piano Finanziario'!C23='Canoni e servizi'!D4,'Piano Finanziario'!D23='Canoni e servizi'!E4,'Piano Finanziario'!E23='Canoni e servizi'!F4,'Piano Finanziario'!F23='Canoni e servizi'!G4,'Piano Finanziario'!G23='Canoni e servizi'!H4,'Piano Finanziario'!H23='Canoni e servizi'!I4,'Piano Finanziario'!I23='Canoni e servizi'!J4,'Piano Finanziario'!J23='Canoni e servizi'!K4,'Piano Finanziario'!K23='Canoni e servizi'!L4),"OK","ERRORE")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" t="n"/>
      <c r="B32" s="4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5" t="inlineStr">
        <is>
          <t>7. SALDO PROIETTATO (riga 37)</t>
        </is>
      </c>
      <c r="B33" s="5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6" t="inlineStr">
        <is>
          <t>Riga 37 = riga 4 + riga 29 per mesi attivi I:R?</t>
        </is>
      </c>
      <c r="B34" s="7">
        <f>IF(AND('Piano Finanziario'!C37='Piano Finanziario'!C4+'Piano Finanziario'!C29,'Piano Finanziario'!D37='Piano Finanziario'!D4+'Piano Finanziario'!D29,'Piano Finanziario'!E37='Piano Finanziario'!E4+'Piano Finanziario'!E29,'Piano Finanziario'!F37='Piano Finanziario'!F4+'Piano Finanziario'!F29,'Piano Finanziario'!G37='Piano Finanziario'!G4+'Piano Finanziario'!G29,'Piano Finanziario'!H37='Piano Finanziario'!H4+'Piano Finanziario'!H29,'Piano Finanziario'!I37='Piano Finanziario'!I4+'Piano Finanziario'!I29,'Piano Finanziario'!J37='Piano Finanziario'!J4+'Piano Finanziario'!J29,'Piano Finanziario'!K37='Piano Finanziario'!K4+'Piano Finanziario'!K29),"OK","ERRORE")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" t="n"/>
      <c r="B35" s="4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5" t="inlineStr">
        <is>
          <t>8. CASH FLOW CON AFFIDAMENTI (riga 45)</t>
        </is>
      </c>
      <c r="B36" s="5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6" t="inlineStr">
        <is>
          <t>Riga 45 = riga 37 + riga 43 per mesi attivi I:R?</t>
        </is>
      </c>
      <c r="B37" s="7">
        <f>IF(AND('Piano Finanziario'!C45='Piano Finanziario'!C37+'Piano Finanziario'!C43,'Piano Finanziario'!D45='Piano Finanziario'!D37+'Piano Finanziario'!D43,'Piano Finanziario'!E45='Piano Finanziario'!E37+'Piano Finanziario'!E43,'Piano Finanziario'!F45='Piano Finanziario'!F37+'Piano Finanziario'!F43,'Piano Finanziario'!G45='Piano Finanziario'!G37+'Piano Finanziario'!G43,'Piano Finanziario'!H45='Piano Finanziario'!H37+'Piano Finanziario'!H43,'Piano Finanziario'!I45='Piano Finanziario'!I37+'Piano Finanziario'!I43,'Piano Finanziario'!J45='Piano Finanziario'!J37+'Piano Finanziario'!J43,'Piano Finanziario'!K45='Piano Finanziario'!K37+'Piano Finanziario'!K43),"OK","ERRORE")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" t="n"/>
      <c r="B38" s="4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5" t="inlineStr">
        <is>
          <t>9. COLONNA TOTALI (T)</t>
        </is>
      </c>
      <c r="B39" s="5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6" t="inlineStr">
        <is>
          <t>L12 Totale Entrate = SUM(C12:K12)?</t>
        </is>
      </c>
      <c r="B40" s="7">
        <f>IF('Piano Finanziario'!L12=SUM('Piano Finanziario'!C12:'Piano Finanziario'!K12),"OK","ERRORE")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6" t="inlineStr">
        <is>
          <t>L27 Totale Uscite = SUM(C27:K27)?</t>
        </is>
      </c>
      <c r="B41" s="7">
        <f>IF('Piano Finanziario'!L27=SUM('Piano Finanziario'!C27:'Piano Finanziario'!K27),"OK","ERRORE")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6" t="inlineStr">
        <is>
          <t>L29 Cash Flow = L12 - L27?</t>
        </is>
      </c>
      <c r="B42" s="7">
        <f>IF('Piano Finanziario'!L29='Piano Finanziario'!L12-'Piano Finanziario'!L27,"OK","ERRORE")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" t="n"/>
      <c r="B43" s="4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0">
        <f>CONCATENATE("RISULTATO COMPLESSIVO")</f>
        <v/>
      </c>
      <c r="B44" s="10">
        <f>IF(COUNTIF(B4:B42,"ERRORE")=0,"✓ TUTTI I "&amp;COUNTA(B4:B42)&amp;" CONTROLLI OK","✗ "&amp;COUNTIF(B4:B42,"ERRORE")&amp;" ERRORI TROVATI su "&amp;COUNTA(B4:B42)&amp;" verifiche")</f>
        <v/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Z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1.22" defaultRowHeight="15" customHeight="1"/>
  <cols>
    <col width="36.67" customWidth="1" style="169" min="1" max="1"/>
    <col width="0.78" customWidth="1" style="169" min="2" max="2"/>
    <col hidden="1" width="20.78" customWidth="1" style="169" min="3" max="11"/>
    <col hidden="1" width="13" customWidth="1" style="169" min="4" max="4"/>
    <col width="22.44" customWidth="1" style="169" min="12" max="12"/>
    <col width="8.33" customWidth="1" style="169" min="13" max="13"/>
    <col width="15" customWidth="1" style="169" min="14" max="14"/>
    <col width="8.33" customWidth="1" style="169" min="15" max="17"/>
    <col width="11.11" customWidth="1" style="169" min="18" max="26"/>
  </cols>
  <sheetData>
    <row r="1" ht="30" customHeight="1" s="169">
      <c r="A1" s="11" t="inlineStr">
        <is>
          <t>ORTI S.R.L.</t>
        </is>
      </c>
      <c r="B1" s="12" t="n"/>
      <c r="C1" s="170" t="n">
        <v>2026</v>
      </c>
      <c r="D1" s="171" t="n"/>
      <c r="E1" s="171" t="n"/>
      <c r="F1" s="171" t="n"/>
      <c r="G1" s="171" t="n"/>
      <c r="H1" s="171" t="n"/>
      <c r="I1" s="171" t="n"/>
      <c r="J1" s="171" t="n"/>
      <c r="K1" s="172" t="n"/>
      <c r="L1" s="16" t="n"/>
      <c r="M1" s="17" t="n"/>
      <c r="N1" s="17" t="n"/>
      <c r="O1" s="17" t="n"/>
      <c r="P1" s="17" t="n"/>
      <c r="Q1" s="17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4" customHeight="1" s="169">
      <c r="A2" s="173" t="n"/>
      <c r="B2" s="12" t="n"/>
      <c r="C2" s="19" t="inlineStr">
        <is>
          <t>APRILE</t>
        </is>
      </c>
      <c r="D2" s="20" t="inlineStr">
        <is>
          <t>MAGGIO</t>
        </is>
      </c>
      <c r="E2" s="20" t="inlineStr">
        <is>
          <t>GIUGNO</t>
        </is>
      </c>
      <c r="F2" s="20" t="inlineStr">
        <is>
          <t>LUGLIO</t>
        </is>
      </c>
      <c r="G2" s="20" t="inlineStr">
        <is>
          <t>AGOSTO</t>
        </is>
      </c>
      <c r="H2" s="20" t="inlineStr">
        <is>
          <t>SETTEMBRE</t>
        </is>
      </c>
      <c r="I2" s="20" t="inlineStr">
        <is>
          <t>OTTOBRE</t>
        </is>
      </c>
      <c r="J2" s="20" t="inlineStr">
        <is>
          <t>NOVEMBRE</t>
        </is>
      </c>
      <c r="K2" s="21" t="inlineStr">
        <is>
          <t>DICEMBRE</t>
        </is>
      </c>
      <c r="L2" s="22" t="inlineStr">
        <is>
          <t>TOTALI</t>
        </is>
      </c>
      <c r="M2" s="17" t="n"/>
      <c r="N2" s="17" t="n"/>
      <c r="O2" s="17" t="n"/>
      <c r="P2" s="17" t="n"/>
      <c r="Q2" s="17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6" t="n"/>
      <c r="L3" s="27" t="n"/>
      <c r="M3" s="17" t="n"/>
      <c r="N3" s="17" t="n"/>
      <c r="O3" s="17" t="n"/>
      <c r="P3" s="17" t="n"/>
      <c r="Q3" s="17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1.75" customHeight="1" s="169">
      <c r="A4" s="28" t="inlineStr">
        <is>
          <t>SALDO MESE PRECED</t>
        </is>
      </c>
      <c r="B4" s="29" t="n"/>
      <c r="C4" s="30" t="n">
        <v>339337.46</v>
      </c>
      <c r="D4" s="31" t="n">
        <v>581125.86</v>
      </c>
      <c r="E4" s="31">
        <f>D37</f>
        <v/>
      </c>
      <c r="F4" s="31">
        <f>E37</f>
        <v/>
      </c>
      <c r="G4" s="31">
        <f>F37</f>
        <v/>
      </c>
      <c r="H4" s="31">
        <f>G37</f>
        <v/>
      </c>
      <c r="I4" s="31">
        <f>H37</f>
        <v/>
      </c>
      <c r="J4" s="32">
        <f>I37</f>
        <v/>
      </c>
      <c r="K4" s="32">
        <f>J37</f>
        <v/>
      </c>
      <c r="L4" s="3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7.5" customHeight="1" s="169">
      <c r="A5" s="34" t="n"/>
      <c r="B5" s="35" t="n"/>
      <c r="C5" s="36" t="n"/>
      <c r="D5" s="37" t="n"/>
      <c r="E5" s="37" t="n"/>
      <c r="F5" s="37" t="n"/>
      <c r="G5" s="37" t="n"/>
      <c r="H5" s="37" t="n"/>
      <c r="I5" s="37" t="n"/>
      <c r="J5" s="38" t="n"/>
      <c r="K5" s="38" t="n"/>
      <c r="L5" s="39" t="n"/>
      <c r="M5" s="40" t="n"/>
      <c r="N5" s="40" t="n"/>
      <c r="O5" s="40" t="n"/>
      <c r="P5" s="40" t="n"/>
      <c r="Q5" s="40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1.75" customHeight="1" s="169">
      <c r="A6" s="41" t="inlineStr">
        <is>
          <t xml:space="preserve">Entrate Hotel </t>
        </is>
      </c>
      <c r="B6" s="42" t="n"/>
      <c r="C6" s="43" t="n"/>
      <c r="D6" s="44" t="n"/>
      <c r="E6" s="44" t="n">
        <v>600000</v>
      </c>
      <c r="F6" s="44" t="n">
        <v>750000</v>
      </c>
      <c r="G6" s="44" t="n">
        <v>830000</v>
      </c>
      <c r="H6" s="44" t="n">
        <v>580000</v>
      </c>
      <c r="I6" s="44">
        <f>110000+160000</f>
        <v/>
      </c>
      <c r="J6" s="45" t="n"/>
      <c r="K6" s="45" t="n"/>
      <c r="L6" s="39">
        <f>SUM(C6:K6)</f>
        <v/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1.75" customHeight="1" s="169">
      <c r="A7" s="41" t="inlineStr">
        <is>
          <t>Entrate Residence</t>
        </is>
      </c>
      <c r="B7" s="42" t="n"/>
      <c r="C7" s="43" t="n"/>
      <c r="D7" s="44" t="n"/>
      <c r="E7" s="44" t="n">
        <v>100000</v>
      </c>
      <c r="F7" s="44" t="n">
        <v>120000</v>
      </c>
      <c r="G7" s="44" t="n">
        <v>140000</v>
      </c>
      <c r="H7" s="44" t="n">
        <v>100000</v>
      </c>
      <c r="I7" s="44">
        <f>26000+17000</f>
        <v/>
      </c>
      <c r="J7" s="45" t="n"/>
      <c r="K7" s="45" t="n"/>
      <c r="L7" s="39">
        <f>SUM(C7:K7)</f>
        <v/>
      </c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1.75" customHeight="1" s="169">
      <c r="A8" s="41" t="inlineStr">
        <is>
          <t>Entrate CVM</t>
        </is>
      </c>
      <c r="B8" s="42" t="n"/>
      <c r="C8" s="43" t="n"/>
      <c r="D8" s="44" t="n"/>
      <c r="E8" s="44" t="n">
        <v>25000</v>
      </c>
      <c r="F8" s="44" t="n">
        <v>45000</v>
      </c>
      <c r="G8" s="44" t="n">
        <v>48000</v>
      </c>
      <c r="H8" s="44" t="n">
        <v>30000</v>
      </c>
      <c r="I8" s="44">
        <f>5798+10000</f>
        <v/>
      </c>
      <c r="J8" s="45" t="n"/>
      <c r="K8" s="45" t="n"/>
      <c r="L8" s="39">
        <f>SUM(C8:K8)</f>
        <v/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1.75" customHeight="1" s="169">
      <c r="A9" s="41" t="inlineStr">
        <is>
          <t>Entrate Supermercato</t>
        </is>
      </c>
      <c r="B9" s="42" t="n"/>
      <c r="C9" s="43" t="n"/>
      <c r="D9" s="44" t="n"/>
      <c r="E9" s="44" t="n">
        <v>25620</v>
      </c>
      <c r="F9" s="44" t="n">
        <v>25620</v>
      </c>
      <c r="G9" s="44" t="n">
        <v>25620</v>
      </c>
      <c r="H9" s="44" t="n">
        <v>25620</v>
      </c>
      <c r="I9" s="44" t="n">
        <v>25620</v>
      </c>
      <c r="J9" s="45" t="n">
        <v>25620</v>
      </c>
      <c r="K9" s="45" t="n">
        <v>25620</v>
      </c>
      <c r="L9" s="46">
        <f>SUM(C9:K9)</f>
        <v/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1.75" customHeight="1" s="169">
      <c r="A10" s="41" t="inlineStr">
        <is>
          <t>Rientro Sospesi</t>
        </is>
      </c>
      <c r="B10" s="42" t="n"/>
      <c r="C10" s="43" t="n"/>
      <c r="D10" s="44" t="n"/>
      <c r="E10" s="44" t="n"/>
      <c r="F10" s="44" t="n"/>
      <c r="G10" s="44" t="n"/>
      <c r="H10" s="44" t="n"/>
      <c r="I10" s="44" t="n"/>
      <c r="J10" s="45" t="n"/>
      <c r="K10" s="45" t="n"/>
      <c r="L10" s="46">
        <f>SUM(C10:K10)</f>
        <v/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1.75" customHeight="1" s="169">
      <c r="A11" s="41" t="inlineStr">
        <is>
          <t>Caparre Intur</t>
        </is>
      </c>
      <c r="B11" s="42" t="n"/>
      <c r="C11" s="43" t="n"/>
      <c r="D11" s="44" t="n"/>
      <c r="E11" s="44" t="n"/>
      <c r="F11" s="44" t="n"/>
      <c r="G11" s="44" t="n"/>
      <c r="H11" s="44" t="n"/>
      <c r="I11" s="44" t="n"/>
      <c r="J11" s="45" t="n"/>
      <c r="K11" s="45" t="n"/>
      <c r="L11" s="46">
        <f>SUM(C11:K11)</f>
        <v/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1.75" customHeight="1" s="169">
      <c r="A12" s="47" t="inlineStr">
        <is>
          <t>TOTALE ENTRATE</t>
        </is>
      </c>
      <c r="B12" s="48" t="n"/>
      <c r="C12" s="49">
        <f>SUM(C6:C11)</f>
        <v/>
      </c>
      <c r="D12" s="50">
        <f>SUM(D6:D11)</f>
        <v/>
      </c>
      <c r="E12" s="50">
        <f>SUM(E6:E11)</f>
        <v/>
      </c>
      <c r="F12" s="50">
        <f>SUM(F6:F11)</f>
        <v/>
      </c>
      <c r="G12" s="50">
        <f>SUM(G6:G11)</f>
        <v/>
      </c>
      <c r="H12" s="50">
        <f>SUM(H6:H11)</f>
        <v/>
      </c>
      <c r="I12" s="50">
        <f>SUM(I6:I11)</f>
        <v/>
      </c>
      <c r="J12" s="51">
        <f>SUM(J6:J11)</f>
        <v/>
      </c>
      <c r="K12" s="51">
        <f>SUM(K6:K11)</f>
        <v/>
      </c>
      <c r="L12" s="52">
        <f>SUM(C12:K12)</f>
        <v/>
      </c>
      <c r="M12" s="53" t="n"/>
      <c r="N12" s="53" t="n"/>
      <c r="O12" s="53" t="n"/>
      <c r="P12" s="53" t="n"/>
      <c r="Q12" s="5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7.5" customHeight="1" s="169">
      <c r="A13" s="34" t="n"/>
      <c r="B13" s="35" t="n"/>
      <c r="C13" s="54" t="n"/>
      <c r="D13" s="37" t="n"/>
      <c r="E13" s="37" t="n"/>
      <c r="F13" s="37" t="n"/>
      <c r="G13" s="37" t="n"/>
      <c r="H13" s="37" t="n"/>
      <c r="I13" s="37" t="n"/>
      <c r="J13" s="38" t="n"/>
      <c r="K13" s="38" t="n"/>
      <c r="L13" s="5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1.75" customHeight="1" s="169">
      <c r="A14" s="41" t="inlineStr">
        <is>
          <t>Salari e Stipendi</t>
        </is>
      </c>
      <c r="B14" s="42" t="n"/>
      <c r="C14" s="43">
        <f>'Salari e Stipendi'!D4</f>
        <v/>
      </c>
      <c r="D14" s="44">
        <f>'Salari e Stipendi'!E4</f>
        <v/>
      </c>
      <c r="E14" s="44">
        <f>'Salari e Stipendi'!F4</f>
        <v/>
      </c>
      <c r="F14" s="44">
        <f>'Salari e Stipendi'!G4</f>
        <v/>
      </c>
      <c r="G14" s="44">
        <f>'Salari e Stipendi'!H4</f>
        <v/>
      </c>
      <c r="H14" s="44">
        <f>'Salari e Stipendi'!I4</f>
        <v/>
      </c>
      <c r="I14" s="44">
        <f>'Salari e Stipendi'!J4</f>
        <v/>
      </c>
      <c r="J14" s="45">
        <f>'Salari e Stipendi'!K4</f>
        <v/>
      </c>
      <c r="K14" s="45">
        <f>'Salari e Stipendi'!L4</f>
        <v/>
      </c>
      <c r="L14" s="39">
        <f>SUM(C14:K14)</f>
        <v/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75" customHeight="1" s="169">
      <c r="A15" s="41" t="inlineStr">
        <is>
          <t>Utenze</t>
        </is>
      </c>
      <c r="B15" s="42" t="n"/>
      <c r="C15" s="43">
        <f>Utenze!D3</f>
        <v/>
      </c>
      <c r="D15" s="44">
        <f>Utenze!E3</f>
        <v/>
      </c>
      <c r="E15" s="44">
        <f>Utenze!F3</f>
        <v/>
      </c>
      <c r="F15" s="44">
        <f>Utenze!G3</f>
        <v/>
      </c>
      <c r="G15" s="44">
        <f>Utenze!H3</f>
        <v/>
      </c>
      <c r="H15" s="44">
        <f>Utenze!I3</f>
        <v/>
      </c>
      <c r="I15" s="44">
        <f>Utenze!J3</f>
        <v/>
      </c>
      <c r="J15" s="45">
        <f>Utenze!K3</f>
        <v/>
      </c>
      <c r="K15" s="45">
        <f>Utenze!L3</f>
        <v/>
      </c>
      <c r="L15" s="39">
        <f>SUM(C15:K15)</f>
        <v/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1.75" customHeight="1" s="169">
      <c r="A16" s="41" t="inlineStr">
        <is>
          <t>Materie Prime/Consumo</t>
        </is>
      </c>
      <c r="B16" s="42" t="n"/>
      <c r="C16" s="43">
        <f>MAX('Materie Prime-Consumo '!D3,'Materie Prime-Consumo '!D4)</f>
        <v/>
      </c>
      <c r="D16" s="44">
        <f>MAX('Materie Prime-Consumo '!E3,'Materie Prime-Consumo '!E4)</f>
        <v/>
      </c>
      <c r="E16" s="44">
        <f>MAX('Materie Prime-Consumo '!F3,'Materie Prime-Consumo '!F4)</f>
        <v/>
      </c>
      <c r="F16" s="44">
        <f>MAX('Materie Prime-Consumo '!G3,'Materie Prime-Consumo '!G4)</f>
        <v/>
      </c>
      <c r="G16" s="44">
        <f>MAX('Materie Prime-Consumo '!H3,'Materie Prime-Consumo '!H4)</f>
        <v/>
      </c>
      <c r="H16" s="44">
        <f>MAX('Materie Prime-Consumo '!I3,'Materie Prime-Consumo '!I4)</f>
        <v/>
      </c>
      <c r="I16" s="44">
        <f>MAX('Materie Prime-Consumo '!J3,'Materie Prime-Consumo '!J4)</f>
        <v/>
      </c>
      <c r="J16" s="45">
        <f>MAX('Materie Prime-Consumo '!K3,'Materie Prime-Consumo '!K4)</f>
        <v/>
      </c>
      <c r="K16" s="45">
        <f>MAX('Materie Prime-Consumo '!L3,'Materie Prime-Consumo '!L4)</f>
        <v/>
      </c>
      <c r="L16" s="39">
        <f>SUM(C16:K16)</f>
        <v/>
      </c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1.75" customHeight="1" s="169">
      <c r="A17" s="41" t="inlineStr">
        <is>
          <t>Tasse e Imposte</t>
        </is>
      </c>
      <c r="B17" s="42" t="n"/>
      <c r="C17" s="43">
        <f>'Tasse e Imposte'!D3</f>
        <v/>
      </c>
      <c r="D17" s="44">
        <f>'Tasse e Imposte'!E3</f>
        <v/>
      </c>
      <c r="E17" s="44">
        <f>'Tasse e Imposte'!F3</f>
        <v/>
      </c>
      <c r="F17" s="44">
        <f>'Tasse e Imposte'!G3</f>
        <v/>
      </c>
      <c r="G17" s="44">
        <f>'Tasse e Imposte'!H3</f>
        <v/>
      </c>
      <c r="H17" s="44">
        <f>'Tasse e Imposte'!I3</f>
        <v/>
      </c>
      <c r="I17" s="44">
        <f>'Tasse e Imposte'!J3</f>
        <v/>
      </c>
      <c r="J17" s="45">
        <f>'Tasse e Imposte'!K3</f>
        <v/>
      </c>
      <c r="K17" s="45">
        <f>'Tasse e Imposte'!L3</f>
        <v/>
      </c>
      <c r="L17" s="39">
        <f>SUM(C17:K17)</f>
        <v/>
      </c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1.75" customHeight="1" s="169">
      <c r="A18" s="41" t="inlineStr">
        <is>
          <t>Commissioni Portali</t>
        </is>
      </c>
      <c r="B18" s="42" t="n"/>
      <c r="C18" s="43">
        <f>'Commisisoni Portali'!D3</f>
        <v/>
      </c>
      <c r="D18" s="44">
        <f>'Commisisoni Portali'!E3</f>
        <v/>
      </c>
      <c r="E18" s="44">
        <f>'Commisisoni Portali'!F3</f>
        <v/>
      </c>
      <c r="F18" s="44">
        <f>'Commisisoni Portali'!G3</f>
        <v/>
      </c>
      <c r="G18" s="44">
        <f>'Commisisoni Portali'!H3</f>
        <v/>
      </c>
      <c r="H18" s="44">
        <f>'Commisisoni Portali'!I3</f>
        <v/>
      </c>
      <c r="I18" s="44">
        <f>'Commisisoni Portali'!J3</f>
        <v/>
      </c>
      <c r="J18" s="45">
        <f>'Commisisoni Portali'!K3</f>
        <v/>
      </c>
      <c r="K18" s="45">
        <f>'Commisisoni Portali'!L3</f>
        <v/>
      </c>
      <c r="L18" s="39">
        <f>SUM(C18:K18)</f>
        <v/>
      </c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1.75" customHeight="1" s="169">
      <c r="A19" s="41" t="inlineStr">
        <is>
          <t>Mutui e Finaziamenti</t>
        </is>
      </c>
      <c r="B19" s="42" t="n"/>
      <c r="C19" s="43">
        <f>'Mutui e Finaziamenti'!D3</f>
        <v/>
      </c>
      <c r="D19" s="44">
        <f>'Mutui e Finaziamenti'!E3</f>
        <v/>
      </c>
      <c r="E19" s="44">
        <f>'Mutui e Finaziamenti'!F3</f>
        <v/>
      </c>
      <c r="F19" s="44">
        <f>'Mutui e Finaziamenti'!G3</f>
        <v/>
      </c>
      <c r="G19" s="44">
        <f>'Mutui e Finaziamenti'!H3</f>
        <v/>
      </c>
      <c r="H19" s="44">
        <f>'Mutui e Finaziamenti'!I3</f>
        <v/>
      </c>
      <c r="I19" s="44">
        <f>'Mutui e Finaziamenti'!J3</f>
        <v/>
      </c>
      <c r="J19" s="45">
        <f>'Mutui e Finaziamenti'!K3</f>
        <v/>
      </c>
      <c r="K19" s="45">
        <f>'Mutui e Finaziamenti'!L3</f>
        <v/>
      </c>
      <c r="L19" s="39">
        <f>SUM(C19:K19)</f>
        <v/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1.75" customHeight="1" s="169">
      <c r="A20" s="41" t="inlineStr">
        <is>
          <t>Consulenze</t>
        </is>
      </c>
      <c r="B20" s="42" t="n"/>
      <c r="C20" s="43">
        <f>Consulenze!D3</f>
        <v/>
      </c>
      <c r="D20" s="44">
        <f>Consulenze!E3</f>
        <v/>
      </c>
      <c r="E20" s="44">
        <f>Consulenze!F3</f>
        <v/>
      </c>
      <c r="F20" s="44">
        <f>Consulenze!G3</f>
        <v/>
      </c>
      <c r="G20" s="44">
        <f>Consulenze!H3</f>
        <v/>
      </c>
      <c r="H20" s="44">
        <f>Consulenze!I3</f>
        <v/>
      </c>
      <c r="I20" s="44">
        <f>Consulenze!J3</f>
        <v/>
      </c>
      <c r="J20" s="45">
        <f>Consulenze!K3</f>
        <v/>
      </c>
      <c r="K20" s="45">
        <f>Consulenze!L3</f>
        <v/>
      </c>
      <c r="L20" s="39">
        <f>SUM(C20:K20)</f>
        <v/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1.75" customHeight="1" s="169">
      <c r="A21" s="41" t="inlineStr">
        <is>
          <t>Godimento Beni di Terzi</t>
        </is>
      </c>
      <c r="B21" s="42" t="n"/>
      <c r="C21" s="43">
        <f>'Godimento Beni di Terzi'!D4</f>
        <v/>
      </c>
      <c r="D21" s="44">
        <f>'Godimento Beni di Terzi'!E4</f>
        <v/>
      </c>
      <c r="E21" s="44">
        <f>'Godimento Beni di Terzi'!F4</f>
        <v/>
      </c>
      <c r="F21" s="44">
        <f>'Godimento Beni di Terzi'!G4</f>
        <v/>
      </c>
      <c r="G21" s="44">
        <f>'Godimento Beni di Terzi'!H4</f>
        <v/>
      </c>
      <c r="H21" s="44">
        <f>'Godimento Beni di Terzi'!I4</f>
        <v/>
      </c>
      <c r="I21" s="44">
        <f>'Godimento Beni di Terzi'!J4</f>
        <v/>
      </c>
      <c r="J21" s="45">
        <f>'Godimento Beni di Terzi'!K4</f>
        <v/>
      </c>
      <c r="K21" s="45">
        <f>'Godimento Beni di Terzi'!L4</f>
        <v/>
      </c>
      <c r="L21" s="39">
        <f>SUM(C21:K21)</f>
        <v/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1.75" customHeight="1" s="169">
      <c r="A22" s="41" t="inlineStr">
        <is>
          <t>Varie ed Eventuali</t>
        </is>
      </c>
      <c r="B22" s="42" t="n"/>
      <c r="C22" s="43">
        <f>' Varie ed Eventuali'!D3</f>
        <v/>
      </c>
      <c r="D22" s="44">
        <f>' Varie ed Eventuali'!E3</f>
        <v/>
      </c>
      <c r="E22" s="44">
        <f>' Varie ed Eventuali'!F3</f>
        <v/>
      </c>
      <c r="F22" s="44">
        <f>' Varie ed Eventuali'!G3</f>
        <v/>
      </c>
      <c r="G22" s="44">
        <f>' Varie ed Eventuali'!H3</f>
        <v/>
      </c>
      <c r="H22" s="44">
        <f>' Varie ed Eventuali'!I3</f>
        <v/>
      </c>
      <c r="I22" s="44">
        <f>' Varie ed Eventuali'!J3</f>
        <v/>
      </c>
      <c r="J22" s="45">
        <f>' Varie ed Eventuali'!K3</f>
        <v/>
      </c>
      <c r="K22" s="45">
        <f>' Varie ed Eventuali'!L3</f>
        <v/>
      </c>
      <c r="L22" s="39">
        <f>SUM(C22:K22)</f>
        <v/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1.75" customHeight="1" s="169">
      <c r="A23" s="41" t="inlineStr">
        <is>
          <t>Canoni e servizi</t>
        </is>
      </c>
      <c r="B23" s="42" t="n"/>
      <c r="C23" s="43">
        <f>'Canoni e servizi'!D4</f>
        <v/>
      </c>
      <c r="D23" s="44">
        <f>'Canoni e servizi'!E4</f>
        <v/>
      </c>
      <c r="E23" s="44">
        <f>'Canoni e servizi'!F4</f>
        <v/>
      </c>
      <c r="F23" s="44">
        <f>'Canoni e servizi'!G4</f>
        <v/>
      </c>
      <c r="G23" s="44">
        <f>'Canoni e servizi'!H4</f>
        <v/>
      </c>
      <c r="H23" s="44">
        <f>'Canoni e servizi'!I4</f>
        <v/>
      </c>
      <c r="I23" s="44">
        <f>'Canoni e servizi'!J4</f>
        <v/>
      </c>
      <c r="J23" s="45">
        <f>'Canoni e servizi'!K4</f>
        <v/>
      </c>
      <c r="K23" s="45">
        <f>'Canoni e servizi'!L4</f>
        <v/>
      </c>
      <c r="L23" s="39">
        <f>SUM(C23:K23)</f>
        <v/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1.75" customHeight="1" s="169">
      <c r="A24" s="41" t="inlineStr">
        <is>
          <t>Deposito Fitto</t>
        </is>
      </c>
      <c r="B24" s="42" t="n"/>
      <c r="C24" s="43" t="n"/>
      <c r="D24" s="44" t="n"/>
      <c r="E24" s="44" t="n"/>
      <c r="F24" s="44" t="n"/>
      <c r="G24" s="44" t="n"/>
      <c r="H24" s="44" t="n"/>
      <c r="I24" s="44" t="n"/>
      <c r="J24" s="45" t="n"/>
      <c r="K24" s="45" t="n"/>
      <c r="L24" s="39">
        <f>SUM(C24:K24)</f>
        <v/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1.75" customHeight="1" s="169">
      <c r="A25" s="41" t="n"/>
      <c r="B25" s="42" t="n"/>
      <c r="C25" s="43" t="n"/>
      <c r="D25" s="44" t="n"/>
      <c r="E25" s="44" t="n"/>
      <c r="F25" s="44" t="n"/>
      <c r="G25" s="44" t="n"/>
      <c r="H25" s="44" t="n"/>
      <c r="I25" s="44" t="n"/>
      <c r="J25" s="45" t="n"/>
      <c r="K25" s="56" t="n"/>
      <c r="L25" s="39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1.75" customHeight="1" s="169">
      <c r="A26" s="57" t="n"/>
      <c r="B26" s="58" t="n"/>
      <c r="C26" s="59" t="n"/>
      <c r="D26" s="60" t="n"/>
      <c r="E26" s="60" t="n"/>
      <c r="F26" s="60" t="n"/>
      <c r="G26" s="60" t="n"/>
      <c r="H26" s="60" t="n"/>
      <c r="I26" s="60" t="n"/>
      <c r="J26" s="61" t="n"/>
      <c r="K26" s="45" t="n"/>
      <c r="L26" s="62" t="n"/>
      <c r="M26" s="63" t="n"/>
      <c r="N26" s="63" t="n"/>
      <c r="O26" s="63" t="n"/>
      <c r="P26" s="63" t="n"/>
      <c r="Q26" s="6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1.75" customHeight="1" s="169">
      <c r="A27" s="64" t="inlineStr">
        <is>
          <t xml:space="preserve">TOTALE USCITE </t>
        </is>
      </c>
      <c r="B27" s="65" t="n"/>
      <c r="C27" s="66">
        <f>SUM(C14:C26)</f>
        <v/>
      </c>
      <c r="D27" s="67">
        <f>SUM(D14:D26)</f>
        <v/>
      </c>
      <c r="E27" s="67">
        <f>SUM(E14:E26)</f>
        <v/>
      </c>
      <c r="F27" s="67">
        <f>SUM(F14:F26)</f>
        <v/>
      </c>
      <c r="G27" s="67">
        <f>SUM(G14:G26)</f>
        <v/>
      </c>
      <c r="H27" s="67">
        <f>SUM(H14:H26)</f>
        <v/>
      </c>
      <c r="I27" s="67">
        <f>SUM(I14:I26)</f>
        <v/>
      </c>
      <c r="J27" s="68">
        <f>SUM(J14:J26)</f>
        <v/>
      </c>
      <c r="K27" s="68">
        <f>SUM(K14:K26)</f>
        <v/>
      </c>
      <c r="L27" s="69">
        <f>SUM(C27:K27)</f>
        <v/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7.5" customHeight="1" s="169">
      <c r="A28" s="34" t="n"/>
      <c r="B28" s="35" t="n"/>
      <c r="C28" s="54" t="n"/>
      <c r="D28" s="37" t="n"/>
      <c r="E28" s="37" t="n"/>
      <c r="F28" s="37" t="n"/>
      <c r="G28" s="37" t="n"/>
      <c r="H28" s="37" t="n"/>
      <c r="I28" s="37" t="n"/>
      <c r="J28" s="38" t="n"/>
      <c r="K28" s="38" t="n"/>
      <c r="L28" s="55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1.75" customHeight="1" s="169">
      <c r="A29" s="70" t="inlineStr">
        <is>
          <t>Cash Flow</t>
        </is>
      </c>
      <c r="B29" s="71" t="n"/>
      <c r="C29" s="72">
        <f>C12-C27</f>
        <v/>
      </c>
      <c r="D29" s="73">
        <f>D12-D27</f>
        <v/>
      </c>
      <c r="E29" s="73">
        <f>E12-E27</f>
        <v/>
      </c>
      <c r="F29" s="73">
        <f>F12-F27</f>
        <v/>
      </c>
      <c r="G29" s="73">
        <f>G12-G27</f>
        <v/>
      </c>
      <c r="H29" s="73">
        <f>H12-H27</f>
        <v/>
      </c>
      <c r="I29" s="73">
        <f>I12-I27</f>
        <v/>
      </c>
      <c r="J29" s="74">
        <f>J12-J27</f>
        <v/>
      </c>
      <c r="K29" s="74">
        <f>K12-K27</f>
        <v/>
      </c>
      <c r="L29" s="75">
        <f>L12-L27</f>
        <v/>
      </c>
      <c r="M29" s="63" t="n"/>
      <c r="N29" s="63" t="n"/>
      <c r="O29" s="63" t="n"/>
      <c r="P29" s="63" t="n"/>
      <c r="Q29" s="6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7.5" customHeight="1" s="169">
      <c r="A30" s="34" t="n"/>
      <c r="B30" s="35" t="n"/>
      <c r="C30" s="54" t="n"/>
      <c r="D30" s="37" t="n"/>
      <c r="E30" s="37" t="n"/>
      <c r="F30" s="37" t="n"/>
      <c r="G30" s="37" t="n"/>
      <c r="H30" s="37" t="n"/>
      <c r="I30" s="37" t="n"/>
      <c r="J30" s="38" t="n"/>
      <c r="K30" s="38" t="n"/>
      <c r="L30" s="5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1.75" customHeight="1" s="169">
      <c r="A31" s="76" t="inlineStr">
        <is>
          <t>30/04/2026</t>
        </is>
      </c>
      <c r="B31" s="42" t="n"/>
      <c r="C31" s="43" t="inlineStr">
        <is>
          <t>30/04/2026</t>
        </is>
      </c>
      <c r="D31" s="44" t="inlineStr">
        <is>
          <t>31/05/2026</t>
        </is>
      </c>
      <c r="E31" s="44" t="n"/>
      <c r="F31" s="44" t="n"/>
      <c r="G31" s="44" t="n"/>
      <c r="H31" s="44" t="n"/>
      <c r="I31" s="44" t="n"/>
      <c r="J31" s="45" t="n"/>
      <c r="K31" s="45" t="n"/>
      <c r="L31" s="39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1.75" customHeight="1" s="169">
      <c r="A32" s="77" t="inlineStr">
        <is>
          <t>Saldo MPS</t>
        </is>
      </c>
      <c r="B32" s="78" t="inlineStr">
        <is>
          <t>31/05/2026</t>
        </is>
      </c>
      <c r="C32" s="79" t="inlineStr">
        <is>
          <t>469,192.55 €</t>
        </is>
      </c>
      <c r="D32" s="80" t="n">
        <v>469192.55</v>
      </c>
      <c r="E32" s="44" t="n"/>
      <c r="F32" s="44" t="n"/>
      <c r="G32" s="44" t="n"/>
      <c r="H32" s="44" t="n"/>
      <c r="I32" s="44" t="n"/>
      <c r="J32" s="45" t="n"/>
      <c r="K32" s="45" t="n"/>
      <c r="L32" s="39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1.75" customHeight="1" s="169">
      <c r="A33" s="77" t="inlineStr">
        <is>
          <t>Saldo Intesa</t>
        </is>
      </c>
      <c r="B33" s="81" t="n"/>
      <c r="C33" s="79" t="inlineStr">
        <is>
          <t>111,933.31 €</t>
        </is>
      </c>
      <c r="D33" s="44" t="n">
        <v>111933.31</v>
      </c>
      <c r="E33" s="44" t="n"/>
      <c r="F33" s="44" t="n"/>
      <c r="G33" s="44" t="n"/>
      <c r="H33" s="44" t="n"/>
      <c r="I33" s="44" t="n"/>
      <c r="J33" s="45" t="n"/>
      <c r="K33" s="45" t="n"/>
      <c r="L33" s="39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1.75" customHeight="1" s="169">
      <c r="A34" s="77" t="n"/>
      <c r="B34" s="42" t="n"/>
      <c r="C34" s="43" t="n"/>
      <c r="D34" s="44" t="n"/>
      <c r="E34" s="44" t="n"/>
      <c r="F34" s="44" t="n"/>
      <c r="G34" s="44" t="n"/>
      <c r="H34" s="44" t="n"/>
      <c r="I34" s="44" t="n"/>
      <c r="J34" s="45" t="n"/>
      <c r="K34" s="45" t="n"/>
      <c r="L34" s="46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1.75" customHeight="1" s="169">
      <c r="A35" s="82" t="inlineStr">
        <is>
          <t xml:space="preserve">TOTALE BANCHE </t>
        </is>
      </c>
      <c r="B35" s="83" t="n"/>
      <c r="C35" s="84">
        <f>SUM(C32:C34)</f>
        <v/>
      </c>
      <c r="D35" s="85" t="n"/>
      <c r="E35" s="85" t="n"/>
      <c r="F35" s="85" t="n"/>
      <c r="G35" s="85" t="n"/>
      <c r="H35" s="85" t="n"/>
      <c r="I35" s="85" t="n"/>
      <c r="J35" s="86" t="n"/>
      <c r="K35" s="86" t="n"/>
      <c r="L35" s="87" t="n"/>
      <c r="M35" s="63" t="n"/>
      <c r="N35" s="63" t="n"/>
      <c r="O35" s="63" t="n"/>
      <c r="P35" s="63" t="n"/>
      <c r="Q35" s="6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7.5" customHeight="1" s="169">
      <c r="A36" s="34" t="n"/>
      <c r="B36" s="35" t="n"/>
      <c r="C36" s="54" t="n"/>
      <c r="D36" s="37" t="n"/>
      <c r="E36" s="37" t="n"/>
      <c r="F36" s="37" t="n"/>
      <c r="G36" s="37" t="n"/>
      <c r="H36" s="37" t="n"/>
      <c r="I36" s="37" t="n"/>
      <c r="J36" s="38" t="n"/>
      <c r="K36" s="38" t="n"/>
      <c r="L36" s="5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5.5" customHeight="1" s="169">
      <c r="A37" s="88" t="inlineStr">
        <is>
          <t xml:space="preserve">Saldo di Periodo/Proiettato </t>
        </is>
      </c>
      <c r="B37" s="89" t="n"/>
      <c r="C37" s="90">
        <f>C4+C29</f>
        <v/>
      </c>
      <c r="D37" s="91">
        <f>D4+D29</f>
        <v/>
      </c>
      <c r="E37" s="91">
        <f>E4+E29</f>
        <v/>
      </c>
      <c r="F37" s="91">
        <f>F4+F29</f>
        <v/>
      </c>
      <c r="G37" s="91">
        <f>G4+G29</f>
        <v/>
      </c>
      <c r="H37" s="91">
        <f>H4+H29</f>
        <v/>
      </c>
      <c r="I37" s="91">
        <f>I4+I29</f>
        <v/>
      </c>
      <c r="J37" s="92">
        <f>J4+J29</f>
        <v/>
      </c>
      <c r="K37" s="92">
        <f>K4+K29</f>
        <v/>
      </c>
      <c r="L37" s="93">
        <f>K37</f>
        <v/>
      </c>
      <c r="M37" s="63" t="n"/>
      <c r="N37" s="63" t="n"/>
      <c r="O37" s="63" t="n"/>
      <c r="P37" s="63" t="n"/>
      <c r="Q37" s="6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7.5" customHeight="1" s="169">
      <c r="A38" s="94" t="n"/>
      <c r="B38" s="35" t="n"/>
      <c r="C38" s="54" t="n"/>
      <c r="D38" s="37" t="n"/>
      <c r="E38" s="37" t="n"/>
      <c r="F38" s="37" t="n"/>
      <c r="G38" s="37" t="n"/>
      <c r="H38" s="37" t="n"/>
      <c r="I38" s="37" t="n"/>
      <c r="J38" s="38" t="n"/>
      <c r="K38" s="38" t="n"/>
      <c r="L38" s="5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1.75" customHeight="1" s="169">
      <c r="A39" s="77" t="inlineStr">
        <is>
          <t xml:space="preserve">Fin. MPS 60 mesi </t>
        </is>
      </c>
      <c r="B39" s="42" t="n"/>
      <c r="C39" s="43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5" t="n">
        <v>0</v>
      </c>
      <c r="K39" s="45" t="n">
        <v>0</v>
      </c>
      <c r="L39" s="39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1.75" customHeight="1" s="169">
      <c r="A40" s="77" t="n"/>
      <c r="B40" s="42" t="n"/>
      <c r="C40" s="43" t="n"/>
      <c r="D40" s="44" t="n"/>
      <c r="E40" s="44" t="n"/>
      <c r="F40" s="44" t="n"/>
      <c r="G40" s="44" t="n"/>
      <c r="H40" s="44" t="n"/>
      <c r="I40" s="44" t="n"/>
      <c r="J40" s="45" t="n"/>
      <c r="K40" s="45" t="n"/>
      <c r="L40" s="39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1.75" customHeight="1" s="169">
      <c r="A41" s="77" t="n"/>
      <c r="B41" s="42" t="n"/>
      <c r="C41" s="43" t="n"/>
      <c r="D41" s="44" t="n"/>
      <c r="E41" s="44" t="n"/>
      <c r="F41" s="44" t="n"/>
      <c r="G41" s="44" t="n"/>
      <c r="H41" s="44" t="n"/>
      <c r="I41" s="44" t="n"/>
      <c r="J41" s="45" t="n"/>
      <c r="K41" s="45" t="n"/>
      <c r="L41" s="39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1.75" customHeight="1" s="169">
      <c r="A42" s="77" t="n"/>
      <c r="B42" s="42" t="n"/>
      <c r="C42" s="43" t="n"/>
      <c r="D42" s="44" t="n"/>
      <c r="E42" s="44" t="n"/>
      <c r="F42" s="44" t="n"/>
      <c r="G42" s="44" t="n"/>
      <c r="H42" s="44" t="n"/>
      <c r="I42" s="44" t="n"/>
      <c r="J42" s="45" t="n"/>
      <c r="K42" s="45" t="n"/>
      <c r="L42" s="4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1.75" customHeight="1" s="169">
      <c r="A43" s="95" t="inlineStr">
        <is>
          <t xml:space="preserve">TOTALE AFFIDAMENTI  </t>
        </is>
      </c>
      <c r="B43" s="96" t="n"/>
      <c r="C43" s="97">
        <f>SUM(C39:C42)</f>
        <v/>
      </c>
      <c r="D43" s="98">
        <f>SUM(D39:D42)</f>
        <v/>
      </c>
      <c r="E43" s="98">
        <f>SUM(E39:E42)</f>
        <v/>
      </c>
      <c r="F43" s="98">
        <f>SUM(F39:F42)</f>
        <v/>
      </c>
      <c r="G43" s="98">
        <f>SUM(G39:G42)</f>
        <v/>
      </c>
      <c r="H43" s="98">
        <f>SUM(H39:H42)</f>
        <v/>
      </c>
      <c r="I43" s="98">
        <f>SUM(I39:I42)</f>
        <v/>
      </c>
      <c r="J43" s="99">
        <f>SUM(J39:J42)</f>
        <v/>
      </c>
      <c r="K43" s="99">
        <f>SUM(K39:K42)</f>
        <v/>
      </c>
      <c r="L43" s="100">
        <f>SUM(C43:K43)</f>
        <v/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7.5" customHeight="1" s="169">
      <c r="A44" s="34" t="n"/>
      <c r="B44" s="35" t="n"/>
      <c r="C44" s="54" t="n"/>
      <c r="D44" s="37" t="n"/>
      <c r="E44" s="37" t="n"/>
      <c r="F44" s="37" t="n"/>
      <c r="G44" s="37" t="n"/>
      <c r="H44" s="37" t="n"/>
      <c r="I44" s="37" t="n"/>
      <c r="J44" s="38" t="n"/>
      <c r="K44" s="38" t="n"/>
      <c r="L44" s="55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5.5" customHeight="1" s="169">
      <c r="A45" s="88" t="inlineStr">
        <is>
          <t>CASH FLOW CON AFFID.</t>
        </is>
      </c>
      <c r="B45" s="89" t="n"/>
      <c r="C45" s="101">
        <f>C37+C43</f>
        <v/>
      </c>
      <c r="D45" s="102">
        <f>D37+D43</f>
        <v/>
      </c>
      <c r="E45" s="102">
        <f>E37+E43</f>
        <v/>
      </c>
      <c r="F45" s="102">
        <f>F37+F43</f>
        <v/>
      </c>
      <c r="G45" s="102">
        <f>G37+G43</f>
        <v/>
      </c>
      <c r="H45" s="102">
        <f>H37+H43</f>
        <v/>
      </c>
      <c r="I45" s="102">
        <f>I37+I43</f>
        <v/>
      </c>
      <c r="J45" s="103">
        <f>J37+J43</f>
        <v/>
      </c>
      <c r="K45" s="103">
        <f>K37+K43</f>
        <v/>
      </c>
      <c r="L45" s="93">
        <f>K45</f>
        <v/>
      </c>
      <c r="M45" s="63" t="n"/>
      <c r="N45" s="63" t="n"/>
      <c r="O45" s="63" t="n"/>
      <c r="P45" s="63" t="n"/>
      <c r="Q45" s="6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3" t="n"/>
      <c r="B46" s="3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3" t="n"/>
      <c r="B47" s="3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3" t="n"/>
      <c r="B48" s="3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3" t="n"/>
      <c r="B49" s="3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3" t="n"/>
      <c r="B50" s="3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3" t="n"/>
      <c r="B51" s="3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3" t="n"/>
      <c r="B52" s="3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3" t="n"/>
      <c r="B53" s="3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3" t="n"/>
      <c r="B54" s="3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3" t="n"/>
      <c r="B55" s="3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3" t="n"/>
      <c r="B56" s="3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3" t="n"/>
      <c r="B57" s="3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3" t="n"/>
      <c r="B58" s="3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3" t="n"/>
      <c r="B59" s="3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3" t="n"/>
      <c r="B60" s="3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3" t="n"/>
      <c r="B61" s="3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3" t="n"/>
      <c r="B62" s="3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3" t="n"/>
      <c r="B63" s="3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3" t="n"/>
      <c r="B64" s="3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3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3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3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3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3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3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3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3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3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3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3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3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3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3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3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3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3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3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3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3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3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3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3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3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3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3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3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3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3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3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3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3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3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3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3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3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3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3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3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3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3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3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3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3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3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3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3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3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3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3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3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3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3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3" t="n"/>
      <c r="C121" s="104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3" t="n"/>
      <c r="C122" s="104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3" t="n"/>
      <c r="C123" s="104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3" t="n"/>
      <c r="C124" s="104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3" t="n"/>
      <c r="C125" s="104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3" t="n"/>
      <c r="C126" s="104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3" t="n"/>
      <c r="C127" s="104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3" t="n"/>
      <c r="C128" s="104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3" t="n"/>
      <c r="C129" s="104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3" t="n"/>
      <c r="C130" s="104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3" t="n"/>
      <c r="C131" s="104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3" t="n"/>
      <c r="C132" s="104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3" t="n"/>
      <c r="C133" s="104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3" t="n"/>
      <c r="C134" s="104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3" t="n"/>
      <c r="C135" s="104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3" t="n"/>
      <c r="C136" s="104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3" t="n"/>
      <c r="C137" s="104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3" t="n"/>
      <c r="C138" s="104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3" t="n"/>
      <c r="C139" s="104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3" t="n"/>
      <c r="C140" s="104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3" t="n"/>
      <c r="C141" s="104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3" t="n"/>
      <c r="C142" s="104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3" t="n"/>
      <c r="C143" s="104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3" t="n"/>
      <c r="C144" s="104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3" t="n"/>
      <c r="C145" s="104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3" t="n"/>
      <c r="C146" s="104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3" t="n"/>
      <c r="C147" s="104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3" t="n"/>
      <c r="C148" s="104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3" t="n"/>
      <c r="C149" s="104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3" t="n"/>
      <c r="C150" s="104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3" t="n"/>
      <c r="C151" s="104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3" t="n"/>
      <c r="C152" s="104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3" t="n"/>
      <c r="C153" s="104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3" t="n"/>
      <c r="C154" s="104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3" t="n"/>
      <c r="C155" s="104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3" t="n"/>
      <c r="C156" s="104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3" t="n"/>
      <c r="C157" s="104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3" t="n"/>
      <c r="C158" s="104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3" t="n"/>
      <c r="C159" s="104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3" t="n"/>
      <c r="C160" s="104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3" t="n"/>
      <c r="C161" s="104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3" t="n"/>
      <c r="C162" s="104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3" t="n"/>
      <c r="C163" s="104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3" t="n"/>
      <c r="C164" s="104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3" t="n"/>
      <c r="C165" s="104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3" t="n"/>
      <c r="C166" s="104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3" t="n"/>
      <c r="C167" s="104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3" t="n"/>
      <c r="C168" s="104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3" t="n"/>
      <c r="C169" s="104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3" t="n"/>
      <c r="C170" s="104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3" t="n"/>
      <c r="C171" s="104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3" t="n"/>
      <c r="C172" s="104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3" t="n"/>
      <c r="C173" s="104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3" t="n"/>
      <c r="C174" s="104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3" t="n"/>
      <c r="C175" s="104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3" t="n"/>
      <c r="C176" s="104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3" t="n"/>
      <c r="C177" s="104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3" t="n"/>
      <c r="C178" s="104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3" t="n"/>
      <c r="C179" s="104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3" t="n"/>
      <c r="C180" s="104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3" t="n"/>
      <c r="C181" s="104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3" t="n"/>
      <c r="C182" s="104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3" t="n"/>
      <c r="C183" s="104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3" t="n"/>
      <c r="C184" s="104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3" t="n"/>
      <c r="C185" s="104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3" t="n"/>
      <c r="C186" s="104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3" t="n"/>
      <c r="C187" s="104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3" t="n"/>
      <c r="C188" s="104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3" t="n"/>
      <c r="C189" s="104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3" t="n"/>
      <c r="C190" s="104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3" t="n"/>
      <c r="C191" s="104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3" t="n"/>
      <c r="C192" s="104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3" t="n"/>
      <c r="C193" s="104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3" t="n"/>
      <c r="C194" s="104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3" t="n"/>
      <c r="C195" s="104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3" t="n"/>
      <c r="C196" s="104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3" t="n"/>
      <c r="C197" s="104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3" t="n"/>
      <c r="C198" s="104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3" t="n"/>
      <c r="C199" s="104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3" t="n"/>
      <c r="C200" s="104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3" t="n"/>
      <c r="C201" s="104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3" t="n"/>
      <c r="C202" s="104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3" t="n"/>
      <c r="C203" s="104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3" t="n"/>
      <c r="C204" s="104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3" t="n"/>
      <c r="C205" s="104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3" t="n"/>
      <c r="C206" s="104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3" t="n"/>
      <c r="C207" s="104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3" t="n"/>
      <c r="C208" s="104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3" t="n"/>
      <c r="C209" s="104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3" t="n"/>
      <c r="C210" s="104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3" t="n"/>
      <c r="C211" s="104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3" t="n"/>
      <c r="C212" s="104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3" t="n"/>
      <c r="C213" s="104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3" t="n"/>
      <c r="C214" s="104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3" t="n"/>
      <c r="C215" s="104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104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104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104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104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104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104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104" t="n"/>
      <c r="D222" s="104" t="n"/>
      <c r="E222" s="104" t="n"/>
      <c r="F222" s="104" t="n"/>
      <c r="G222" s="104" t="n"/>
      <c r="H222" s="104" t="n"/>
      <c r="I222" s="104" t="n"/>
      <c r="J222" s="104" t="n"/>
      <c r="K222" s="104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104" t="n"/>
      <c r="D223" s="104" t="n"/>
      <c r="E223" s="104" t="n"/>
      <c r="F223" s="104" t="n"/>
      <c r="G223" s="104" t="n"/>
      <c r="H223" s="104" t="n"/>
      <c r="I223" s="104" t="n"/>
      <c r="J223" s="104" t="n"/>
      <c r="K223" s="104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104" t="n"/>
      <c r="D224" s="104" t="n"/>
      <c r="E224" s="104" t="n"/>
      <c r="F224" s="104" t="n"/>
      <c r="G224" s="104" t="n"/>
      <c r="H224" s="104" t="n"/>
      <c r="I224" s="104" t="n"/>
      <c r="J224" s="104" t="n"/>
      <c r="K224" s="104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104" t="n"/>
      <c r="D225" s="104" t="n"/>
      <c r="E225" s="104" t="n"/>
      <c r="F225" s="104" t="n"/>
      <c r="G225" s="104" t="n"/>
      <c r="H225" s="104" t="n"/>
      <c r="I225" s="104" t="n"/>
      <c r="J225" s="104" t="n"/>
      <c r="K225" s="104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104" t="n"/>
      <c r="D226" s="104" t="n"/>
      <c r="E226" s="104" t="n"/>
      <c r="F226" s="104" t="n"/>
      <c r="G226" s="104" t="n"/>
      <c r="H226" s="104" t="n"/>
      <c r="I226" s="104" t="n"/>
      <c r="J226" s="104" t="n"/>
      <c r="K226" s="104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104" t="n"/>
      <c r="D227" s="104" t="n"/>
      <c r="E227" s="104" t="n"/>
      <c r="F227" s="104" t="n"/>
      <c r="G227" s="104" t="n"/>
      <c r="H227" s="104" t="n"/>
      <c r="I227" s="104" t="n"/>
      <c r="J227" s="104" t="n"/>
      <c r="K227" s="104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104" t="n"/>
      <c r="D228" s="104" t="n"/>
      <c r="E228" s="104" t="n"/>
      <c r="F228" s="104" t="n"/>
      <c r="G228" s="104" t="n"/>
      <c r="H228" s="104" t="n"/>
      <c r="I228" s="104" t="n"/>
      <c r="J228" s="104" t="n"/>
      <c r="K228" s="104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104" t="n"/>
      <c r="D229" s="104" t="n"/>
      <c r="E229" s="104" t="n"/>
      <c r="F229" s="104" t="n"/>
      <c r="G229" s="104" t="n"/>
      <c r="H229" s="104" t="n"/>
      <c r="I229" s="104" t="n"/>
      <c r="J229" s="104" t="n"/>
      <c r="K229" s="104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104" t="n"/>
      <c r="D230" s="104" t="n"/>
      <c r="E230" s="104" t="n"/>
      <c r="F230" s="104" t="n"/>
      <c r="G230" s="104" t="n"/>
      <c r="H230" s="104" t="n"/>
      <c r="I230" s="104" t="n"/>
      <c r="J230" s="104" t="n"/>
      <c r="K230" s="104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104" t="n"/>
      <c r="D231" s="104" t="n"/>
      <c r="E231" s="104" t="n"/>
      <c r="F231" s="104" t="n"/>
      <c r="G231" s="104" t="n"/>
      <c r="H231" s="104" t="n"/>
      <c r="I231" s="104" t="n"/>
      <c r="J231" s="104" t="n"/>
      <c r="K231" s="104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104" t="n"/>
      <c r="D232" s="104" t="n"/>
      <c r="E232" s="104" t="n"/>
      <c r="F232" s="104" t="n"/>
      <c r="G232" s="104" t="n"/>
      <c r="H232" s="104" t="n"/>
      <c r="I232" s="104" t="n"/>
      <c r="J232" s="104" t="n"/>
      <c r="K232" s="104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104" t="n"/>
      <c r="D233" s="104" t="n"/>
      <c r="E233" s="104" t="n"/>
      <c r="F233" s="104" t="n"/>
      <c r="G233" s="104" t="n"/>
      <c r="H233" s="104" t="n"/>
      <c r="I233" s="104" t="n"/>
      <c r="J233" s="104" t="n"/>
      <c r="K233" s="104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104" t="n"/>
      <c r="D234" s="104" t="n"/>
      <c r="E234" s="104" t="n"/>
      <c r="F234" s="104" t="n"/>
      <c r="G234" s="104" t="n"/>
      <c r="H234" s="104" t="n"/>
      <c r="I234" s="104" t="n"/>
      <c r="J234" s="104" t="n"/>
      <c r="K234" s="104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104" t="n"/>
      <c r="D235" s="104" t="n"/>
      <c r="E235" s="104" t="n"/>
      <c r="F235" s="104" t="n"/>
      <c r="G235" s="104" t="n"/>
      <c r="H235" s="104" t="n"/>
      <c r="I235" s="104" t="n"/>
      <c r="J235" s="104" t="n"/>
      <c r="K235" s="104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104" t="n"/>
      <c r="D236" s="104" t="n"/>
      <c r="E236" s="104" t="n"/>
      <c r="F236" s="104" t="n"/>
      <c r="G236" s="104" t="n"/>
      <c r="H236" s="104" t="n"/>
      <c r="I236" s="104" t="n"/>
      <c r="J236" s="104" t="n"/>
      <c r="K236" s="104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104" t="n"/>
      <c r="D237" s="104" t="n"/>
      <c r="E237" s="104" t="n"/>
      <c r="F237" s="104" t="n"/>
      <c r="G237" s="104" t="n"/>
      <c r="H237" s="104" t="n"/>
      <c r="I237" s="104" t="n"/>
      <c r="J237" s="104" t="n"/>
      <c r="K237" s="104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104" t="n"/>
      <c r="D238" s="104" t="n"/>
      <c r="E238" s="104" t="n"/>
      <c r="F238" s="104" t="n"/>
      <c r="G238" s="104" t="n"/>
      <c r="H238" s="104" t="n"/>
      <c r="I238" s="104" t="n"/>
      <c r="J238" s="104" t="n"/>
      <c r="K238" s="104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104" t="n"/>
      <c r="D239" s="104" t="n"/>
      <c r="E239" s="104" t="n"/>
      <c r="F239" s="104" t="n"/>
      <c r="G239" s="104" t="n"/>
      <c r="H239" s="104" t="n"/>
      <c r="I239" s="104" t="n"/>
      <c r="J239" s="104" t="n"/>
      <c r="K239" s="104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104" t="n"/>
      <c r="D240" s="104" t="n"/>
      <c r="E240" s="104" t="n"/>
      <c r="F240" s="104" t="n"/>
      <c r="G240" s="104" t="n"/>
      <c r="H240" s="104" t="n"/>
      <c r="I240" s="104" t="n"/>
      <c r="J240" s="104" t="n"/>
      <c r="K240" s="104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104" t="n"/>
      <c r="D241" s="104" t="n"/>
      <c r="E241" s="104" t="n"/>
      <c r="F241" s="104" t="n"/>
      <c r="G241" s="104" t="n"/>
      <c r="H241" s="104" t="n"/>
      <c r="I241" s="104" t="n"/>
      <c r="J241" s="104" t="n"/>
      <c r="K241" s="104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C1:K1"/>
    <mergeCell ref="A2:A3"/>
  </mergeCells>
  <conditionalFormatting sqref="C29:L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37:L37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C45:L45">
    <cfRule type="cellIs" priority="5" operator="greaterThan" dxfId="2">
      <formula>0</formula>
    </cfRule>
    <cfRule type="cellIs" priority="6" operator="lessThan" dxfId="3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11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05" t="n"/>
      <c r="B3" s="106" t="n"/>
      <c r="C3" s="105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7" t="n"/>
      <c r="N3" s="17" t="n"/>
      <c r="O3" s="17" t="n"/>
      <c r="P3" s="17" t="n"/>
      <c r="Q3" s="17" t="n"/>
      <c r="R3" s="17" t="n"/>
      <c r="S3" s="17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14" t="n"/>
      <c r="B4" s="115" t="inlineStr">
        <is>
          <t>Salari e Stipendi</t>
        </is>
      </c>
      <c r="C4" s="115">
        <f>SUM(D4:L4)</f>
        <v/>
      </c>
      <c r="D4" s="116">
        <f>SUM(D5:D135)</f>
        <v/>
      </c>
      <c r="E4" s="116">
        <f>SUM(E5:E135)</f>
        <v/>
      </c>
      <c r="F4" s="116">
        <f>SUM(F5:F135)</f>
        <v/>
      </c>
      <c r="G4" s="116">
        <f>SUM(G5:G135)</f>
        <v/>
      </c>
      <c r="H4" s="116">
        <f>SUM(H5:H135)</f>
        <v/>
      </c>
      <c r="I4" s="116">
        <f>SUM(I5:I135)</f>
        <v/>
      </c>
      <c r="J4" s="116">
        <f>SUM(J5:J135)</f>
        <v/>
      </c>
      <c r="K4" s="116">
        <f>SUM(K5:K135)</f>
        <v/>
      </c>
      <c r="L4" s="116">
        <f>SUM(L5:L135)</f>
        <v/>
      </c>
      <c r="M4" s="63" t="n"/>
      <c r="N4" s="63" t="n"/>
      <c r="O4" s="63" t="n"/>
      <c r="P4" s="63" t="n"/>
      <c r="Q4" s="63" t="n"/>
      <c r="R4" s="63" t="n"/>
      <c r="S4" s="63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117" t="n">
        <v>670101</v>
      </c>
      <c r="B5" s="118" t="inlineStr">
        <is>
          <t xml:space="preserve">SALARI </t>
        </is>
      </c>
      <c r="C5" s="119">
        <f>SUM(D5:L5)</f>
        <v/>
      </c>
      <c r="D5" s="120" t="n"/>
      <c r="E5" s="123" t="n"/>
      <c r="F5" s="123" t="n">
        <v>76220.46000000001</v>
      </c>
      <c r="G5" s="123" t="n">
        <v>85000</v>
      </c>
      <c r="H5" s="122" t="n">
        <v>95000</v>
      </c>
      <c r="I5" s="123" t="n">
        <v>90000</v>
      </c>
      <c r="J5" s="123" t="n">
        <v>80000</v>
      </c>
      <c r="K5" s="123" t="n">
        <v>120000</v>
      </c>
      <c r="L5" s="123" t="n">
        <v>40000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17" t="n">
        <v>350301</v>
      </c>
      <c r="B6" s="124" t="inlineStr">
        <is>
          <t xml:space="preserve">F24 </t>
        </is>
      </c>
      <c r="C6" s="125">
        <f>SUM(D6:L6)</f>
        <v/>
      </c>
      <c r="D6" s="126" t="n"/>
      <c r="E6" s="128" t="n"/>
      <c r="F6" s="128" t="n">
        <v>44748.74</v>
      </c>
      <c r="G6" s="128" t="n">
        <v>50000</v>
      </c>
      <c r="H6" s="128" t="n">
        <v>60000</v>
      </c>
      <c r="I6" s="128" t="n">
        <v>50000</v>
      </c>
      <c r="J6" s="128" t="n">
        <v>35000</v>
      </c>
      <c r="K6" s="128" t="n">
        <v>55000</v>
      </c>
      <c r="L6" s="128" t="n">
        <v>18000</v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17" t="n"/>
      <c r="B7" s="129" t="n"/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17" t="n"/>
      <c r="B8" s="129" t="n"/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17" t="n"/>
      <c r="B9" s="129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17" t="n"/>
      <c r="B10" s="129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17" t="n"/>
      <c r="B11" s="129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17" t="n"/>
      <c r="B12" s="129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17" t="n"/>
      <c r="B13" s="129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17" t="n"/>
      <c r="B14" s="129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17" t="n"/>
      <c r="B15" s="129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17" t="n"/>
      <c r="B16" s="129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17" t="n"/>
      <c r="B17" s="129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17" t="n"/>
      <c r="B18" s="129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17" t="n"/>
      <c r="B19" s="129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17" t="n"/>
      <c r="B20" s="129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17" t="n"/>
      <c r="B21" s="129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17" t="n"/>
      <c r="B22" s="129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17" t="n"/>
      <c r="B23" s="129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17" t="n"/>
      <c r="B24" s="129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17" t="n"/>
      <c r="B25" s="129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17" t="n"/>
      <c r="B26" s="129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17" t="n"/>
      <c r="B27" s="129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17" t="n"/>
      <c r="B28" s="129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17" t="n"/>
      <c r="B29" s="129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17" t="n"/>
      <c r="B30" s="129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17" t="n"/>
      <c r="B31" s="129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17" t="n"/>
      <c r="B32" s="129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17" t="n"/>
      <c r="B33" s="129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17" t="n"/>
      <c r="B34" s="129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17" t="n"/>
      <c r="B35" s="129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17" t="n"/>
      <c r="B36" s="129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17" t="n"/>
      <c r="B37" s="129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17" t="n"/>
      <c r="B38" s="129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17" t="n"/>
      <c r="B39" s="129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17" t="n"/>
      <c r="B40" s="129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17" t="n"/>
      <c r="B41" s="129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17" t="n"/>
      <c r="B42" s="129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17" t="n"/>
      <c r="B43" s="129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17" t="n"/>
      <c r="B44" s="129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17" t="n"/>
      <c r="B45" s="129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17" t="n"/>
      <c r="B46" s="129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17" t="n"/>
      <c r="B47" s="129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17" t="n"/>
      <c r="B48" s="129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17" t="n"/>
      <c r="B49" s="129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17" t="n"/>
      <c r="B50" s="129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17" t="n"/>
      <c r="B51" s="129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17" t="n"/>
      <c r="B52" s="129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17" t="n"/>
      <c r="B53" s="129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17" t="n"/>
      <c r="B54" s="129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17" t="n"/>
      <c r="B55" s="129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17" t="n"/>
      <c r="B56" s="129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17" t="n"/>
      <c r="B57" s="129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17" t="n"/>
      <c r="B58" s="129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17" t="n"/>
      <c r="B59" s="129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17" t="n"/>
      <c r="B60" s="129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17" t="n"/>
      <c r="B61" s="129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17" t="n"/>
      <c r="B62" s="129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17" t="n"/>
      <c r="B63" s="129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17" t="n"/>
      <c r="B64" s="129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17" t="n"/>
      <c r="B65" s="129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17" t="n"/>
      <c r="B66" s="129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17" t="n"/>
      <c r="B67" s="129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17" t="n"/>
      <c r="B68" s="129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117" t="n"/>
      <c r="B69" s="130" t="n"/>
      <c r="C69" s="125">
        <f>SUM(D69:L69)</f>
        <v/>
      </c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104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Utenze</t>
        </is>
      </c>
      <c r="C3" s="115">
        <f>SUM(D3:L3)</f>
        <v/>
      </c>
      <c r="D3" s="131">
        <f>SUM(D4:D134)</f>
        <v/>
      </c>
      <c r="E3" s="131">
        <f>SUM(E4:E134)</f>
        <v/>
      </c>
      <c r="F3" s="131">
        <f>SUM(F4:F134)</f>
        <v/>
      </c>
      <c r="G3" s="131">
        <f>SUM(G4:G134)</f>
        <v/>
      </c>
      <c r="H3" s="131">
        <f>SUM(H4:H134)</f>
        <v/>
      </c>
      <c r="I3" s="131">
        <f>SUM(I4:I134)</f>
        <v/>
      </c>
      <c r="J3" s="131">
        <f>SUM(J4:J134)</f>
        <v/>
      </c>
      <c r="K3" s="131">
        <f>SUM(K4:K134)</f>
        <v/>
      </c>
      <c r="L3" s="131">
        <f>SUM(L4:L134)</f>
        <v/>
      </c>
      <c r="M3" s="63" t="n"/>
      <c r="N3" s="63" t="n"/>
      <c r="O3" s="63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570913</v>
      </c>
      <c r="B4" s="133" t="inlineStr">
        <is>
          <t>Energia elettrica</t>
        </is>
      </c>
      <c r="C4" s="119">
        <f>SUM(D4:L4)</f>
        <v/>
      </c>
      <c r="D4" s="123" t="n"/>
      <c r="E4" s="123" t="n"/>
      <c r="F4" s="123" t="n">
        <v>15066.02</v>
      </c>
      <c r="G4" s="123" t="n">
        <v>27525.61</v>
      </c>
      <c r="H4" s="123" t="n">
        <v>22000</v>
      </c>
      <c r="I4" s="123" t="n">
        <v>19000</v>
      </c>
      <c r="J4" s="123" t="n">
        <v>17000</v>
      </c>
      <c r="K4" s="123" t="n">
        <v>20000</v>
      </c>
      <c r="L4" s="123" t="n">
        <v>27000</v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570919</v>
      </c>
      <c r="B5" s="134" t="inlineStr">
        <is>
          <t>Gas</t>
        </is>
      </c>
      <c r="C5" s="125">
        <f>SUM(D5:L5)</f>
        <v/>
      </c>
      <c r="D5" s="128" t="n"/>
      <c r="E5" s="128" t="n"/>
      <c r="F5" s="128" t="n">
        <v>6500</v>
      </c>
      <c r="G5" s="128" t="n">
        <v>6500</v>
      </c>
      <c r="H5" s="128" t="n">
        <v>6500</v>
      </c>
      <c r="I5" s="128" t="n">
        <v>6500</v>
      </c>
      <c r="J5" s="128" t="n">
        <v>6500</v>
      </c>
      <c r="K5" s="128" t="n">
        <v>6500</v>
      </c>
      <c r="L5" s="128" t="n">
        <v>6500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18</v>
      </c>
      <c r="B6" s="134" t="inlineStr">
        <is>
          <t>Acqua - Ausino</t>
        </is>
      </c>
      <c r="C6" s="125">
        <f>SUM(D6:L6)</f>
        <v/>
      </c>
      <c r="D6" s="123" t="n"/>
      <c r="E6" s="123" t="n"/>
      <c r="F6" s="123" t="n">
        <v>2714.5</v>
      </c>
      <c r="G6" s="123" t="n"/>
      <c r="H6" s="123" t="n">
        <v>2143.09</v>
      </c>
      <c r="I6" s="123" t="n"/>
      <c r="J6" s="123" t="n"/>
      <c r="K6" s="123" t="n"/>
      <c r="L6" s="123" t="n"/>
      <c r="M6" s="135" t="n"/>
      <c r="N6" s="135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44</v>
      </c>
      <c r="B7" s="134" t="inlineStr">
        <is>
          <t>Vodafone (intur)</t>
        </is>
      </c>
      <c r="C7" s="125">
        <f>SUM(D7:L7)</f>
        <v/>
      </c>
      <c r="D7" s="136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570909</v>
      </c>
      <c r="B8" s="134" t="inlineStr">
        <is>
          <t xml:space="preserve">Connectivia  </t>
        </is>
      </c>
      <c r="C8" s="125">
        <f>SUM(D8:L8)</f>
        <v/>
      </c>
      <c r="D8" s="128" t="n"/>
      <c r="E8" s="128" t="n"/>
      <c r="F8" s="128" t="n">
        <v>5000</v>
      </c>
      <c r="G8" s="128" t="n"/>
      <c r="H8" s="128" t="n">
        <v>3500</v>
      </c>
      <c r="I8" s="128" t="n"/>
      <c r="J8" s="128" t="n">
        <v>3500</v>
      </c>
      <c r="K8" s="128" t="n"/>
      <c r="L8" s="128" t="n">
        <v>3500</v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/>
      <c r="B9" s="137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7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7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/>
      <c r="B12" s="137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4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Z100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39" t="inlineStr">
        <is>
          <t>APRILE</t>
        </is>
      </c>
      <c r="E2" s="139" t="inlineStr">
        <is>
          <t>MAGGIO</t>
        </is>
      </c>
      <c r="F2" s="139" t="inlineStr">
        <is>
          <t>GIUGNO</t>
        </is>
      </c>
      <c r="G2" s="139" t="inlineStr">
        <is>
          <t>LUGLIO</t>
        </is>
      </c>
      <c r="H2" s="139" t="inlineStr">
        <is>
          <t>AGOSTO</t>
        </is>
      </c>
      <c r="I2" s="139" t="inlineStr">
        <is>
          <t>SETTEMBRE</t>
        </is>
      </c>
      <c r="J2" s="139" t="inlineStr">
        <is>
          <t>OTTOBRE</t>
        </is>
      </c>
      <c r="K2" s="139" t="inlineStr">
        <is>
          <t>NOVEMBRE</t>
        </is>
      </c>
      <c r="L2" s="139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40" t="n"/>
      <c r="B3" s="141" t="inlineStr">
        <is>
          <t>PREVISIONALE</t>
        </is>
      </c>
      <c r="C3" s="142">
        <f>SUM(D3:L3)</f>
        <v/>
      </c>
      <c r="D3" s="143" t="n"/>
      <c r="E3" s="143" t="n"/>
      <c r="F3" s="143" t="n">
        <v>95000</v>
      </c>
      <c r="G3" s="143" t="n">
        <v>120000</v>
      </c>
      <c r="H3" s="143" t="n">
        <v>145000</v>
      </c>
      <c r="I3" s="143" t="n">
        <v>140000</v>
      </c>
      <c r="J3" s="143" t="n">
        <v>135000</v>
      </c>
      <c r="K3" s="143" t="n">
        <v>75000</v>
      </c>
      <c r="L3" s="143" t="n">
        <v>60000</v>
      </c>
      <c r="M3" s="17" t="n"/>
      <c r="N3" s="17" t="n"/>
      <c r="O3" s="17" t="n"/>
      <c r="P3" s="17" t="n"/>
      <c r="Q3" s="17" t="n"/>
      <c r="R3" s="17" t="n"/>
      <c r="S3" s="17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14" t="n"/>
      <c r="B4" s="115" t="inlineStr">
        <is>
          <t xml:space="preserve">Materie Prime e Consumo </t>
        </is>
      </c>
      <c r="C4" s="115">
        <f>SUM(D4:L4)</f>
        <v/>
      </c>
      <c r="D4" s="116">
        <f>SUM(D5:D185)</f>
        <v/>
      </c>
      <c r="E4" s="116">
        <f>SUM(E5:E185)</f>
        <v/>
      </c>
      <c r="F4" s="116">
        <f>SUM(F5:F185)</f>
        <v/>
      </c>
      <c r="G4" s="116">
        <f>SUM(G5:G185)</f>
        <v/>
      </c>
      <c r="H4" s="116">
        <f>SUM(H5:H185)</f>
        <v/>
      </c>
      <c r="I4" s="116">
        <f>SUM(I5:I185)</f>
        <v/>
      </c>
      <c r="J4" s="116">
        <f>SUM(J5:J185)</f>
        <v/>
      </c>
      <c r="K4" s="116">
        <f>SUM(K5:K185)</f>
        <v/>
      </c>
      <c r="L4" s="116">
        <f>SUM(L5:L185)</f>
        <v/>
      </c>
      <c r="M4" s="63" t="n"/>
      <c r="N4" s="63" t="n"/>
      <c r="O4" s="63" t="n"/>
      <c r="P4" s="63" t="n"/>
      <c r="Q4" s="63" t="n"/>
      <c r="R4" s="63" t="n"/>
      <c r="S4" s="63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146" t="n">
        <v>801</v>
      </c>
      <c r="B5" s="147" t="inlineStr">
        <is>
          <t>A. Migliore srl</t>
        </is>
      </c>
      <c r="C5" s="119">
        <f>SUM(D5:L5)</f>
        <v/>
      </c>
      <c r="D5" s="145" t="n"/>
      <c r="E5" s="145" t="n"/>
      <c r="F5" s="145" t="n"/>
      <c r="G5" s="145" t="n">
        <v>201.41</v>
      </c>
      <c r="H5" s="145" t="n"/>
      <c r="I5" s="145" t="n"/>
      <c r="J5" s="145" t="n"/>
      <c r="K5" s="123" t="n"/>
      <c r="L5" s="12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281</v>
      </c>
      <c r="B6" s="147" t="inlineStr">
        <is>
          <t>Abiti da lavoro Cavaliere srls</t>
        </is>
      </c>
      <c r="C6" s="125">
        <f>SUM(D6:L6)</f>
        <v/>
      </c>
      <c r="D6" s="145" t="n"/>
      <c r="E6" s="145" t="n"/>
      <c r="F6" s="145" t="n"/>
      <c r="G6" s="145" t="n"/>
      <c r="H6" s="145" t="n"/>
      <c r="I6" s="145" t="n"/>
      <c r="J6" s="145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1183</v>
      </c>
      <c r="B7" s="147" t="inlineStr">
        <is>
          <t>Adra srl</t>
        </is>
      </c>
      <c r="C7" s="125">
        <f>SUM(D7:L7)</f>
        <v/>
      </c>
      <c r="D7" s="145" t="n"/>
      <c r="E7" s="145" t="n"/>
      <c r="F7" s="145" t="n">
        <v>160.38</v>
      </c>
      <c r="G7" s="145" t="n"/>
      <c r="H7" s="145" t="n">
        <v>839.47</v>
      </c>
      <c r="I7" s="145" t="n">
        <v>116.6</v>
      </c>
      <c r="J7" s="145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412</v>
      </c>
      <c r="B8" s="147" t="inlineStr">
        <is>
          <t>Alberto D'Urso</t>
        </is>
      </c>
      <c r="C8" s="125">
        <f>SUM(D8:L8)</f>
        <v/>
      </c>
      <c r="D8" s="145" t="n"/>
      <c r="E8" s="145" t="n"/>
      <c r="F8" s="145" t="n">
        <v>234.06</v>
      </c>
      <c r="G8" s="145" t="n">
        <v>527.86</v>
      </c>
      <c r="H8" s="145" t="n"/>
      <c r="I8" s="145" t="n"/>
      <c r="J8" s="145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1589</v>
      </c>
      <c r="B9" s="147" t="inlineStr">
        <is>
          <t>Alnumar di Garofalo Massimiliano</t>
        </is>
      </c>
      <c r="C9" s="125" t="n"/>
      <c r="D9" s="145" t="n"/>
      <c r="E9" s="145" t="n"/>
      <c r="F9" s="145" t="n"/>
      <c r="G9" s="145" t="n">
        <v>1920.41</v>
      </c>
      <c r="H9" s="145" t="n"/>
      <c r="I9" s="145" t="n"/>
      <c r="J9" s="145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>
        <v>92</v>
      </c>
      <c r="B10" s="147" t="inlineStr">
        <is>
          <t>Amalfi sei esse</t>
        </is>
      </c>
      <c r="C10" s="125">
        <f>SUM(D10:L10)</f>
        <v/>
      </c>
      <c r="D10" s="145" t="n"/>
      <c r="E10" s="145" t="n"/>
      <c r="F10" s="145" t="n"/>
      <c r="G10" s="145" t="n">
        <v>6384.75</v>
      </c>
      <c r="H10" s="145" t="n">
        <v>6825.63</v>
      </c>
      <c r="I10" s="145" t="n">
        <v>9528.629999999999</v>
      </c>
      <c r="J10" s="145" t="n">
        <v>180.08</v>
      </c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>
        <v>1720</v>
      </c>
      <c r="B11" s="147" t="inlineStr">
        <is>
          <t>Amalfi ghiaccio</t>
        </is>
      </c>
      <c r="C11" s="125" t="n"/>
      <c r="D11" s="145" t="n"/>
      <c r="E11" s="145" t="n"/>
      <c r="F11" s="145" t="n"/>
      <c r="G11" s="145" t="n"/>
      <c r="H11" s="145" t="n"/>
      <c r="I11" s="145" t="n"/>
      <c r="J11" s="145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>
        <v>131</v>
      </c>
      <c r="B12" s="147" t="inlineStr">
        <is>
          <t>Amalfi Web</t>
        </is>
      </c>
      <c r="C12" s="125">
        <f>SUM(D12:L12)</f>
        <v/>
      </c>
      <c r="D12" s="145" t="n"/>
      <c r="E12" s="145" t="n"/>
      <c r="F12" s="145" t="n"/>
      <c r="G12" s="145" t="n"/>
      <c r="H12" s="145" t="n"/>
      <c r="I12" s="145" t="n"/>
      <c r="J12" s="145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>
        <v>147</v>
      </c>
      <c r="B13" s="147" t="inlineStr">
        <is>
          <t>Amato Filippo</t>
        </is>
      </c>
      <c r="C13" s="125">
        <f>SUM(D13:L13)</f>
        <v/>
      </c>
      <c r="D13" s="145" t="n"/>
      <c r="E13" s="145" t="n"/>
      <c r="F13" s="145" t="n"/>
      <c r="G13" s="145" t="n"/>
      <c r="H13" s="145" t="n"/>
      <c r="I13" s="145" t="n"/>
      <c r="J13" s="145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>
        <v>325</v>
      </c>
      <c r="B14" s="147" t="inlineStr">
        <is>
          <t>Alfera srl</t>
        </is>
      </c>
      <c r="C14" s="125">
        <f>SUM(D14:L14)</f>
        <v/>
      </c>
      <c r="D14" s="145" t="n"/>
      <c r="E14" s="145" t="n"/>
      <c r="F14" s="145" t="n"/>
      <c r="G14" s="145" t="n"/>
      <c r="H14" s="145" t="n">
        <v>2260</v>
      </c>
      <c r="I14" s="145" t="n"/>
      <c r="J14" s="145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>
        <v>916</v>
      </c>
      <c r="B15" s="147" t="inlineStr">
        <is>
          <t>Allestimenti Di Palo</t>
        </is>
      </c>
      <c r="C15" s="125">
        <f>SUM(D15:L15)</f>
        <v/>
      </c>
      <c r="D15" s="145" t="n"/>
      <c r="E15" s="145" t="n"/>
      <c r="F15" s="145" t="n"/>
      <c r="G15" s="145" t="n"/>
      <c r="H15" s="145" t="n"/>
      <c r="I15" s="145" t="n"/>
      <c r="J15" s="145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>
        <v>790</v>
      </c>
      <c r="B16" s="147" t="inlineStr">
        <is>
          <t>Amato Prisco pane</t>
        </is>
      </c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>
        <v>1260</v>
      </c>
      <c r="B17" s="147" t="inlineStr">
        <is>
          <t>Aniello Bisogno &amp; Figli</t>
        </is>
      </c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>
        <v>667</v>
      </c>
      <c r="B18" s="147" t="inlineStr">
        <is>
          <t>Attianese Frutta e Verdura</t>
        </is>
      </c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>
        <v>1298</v>
      </c>
      <c r="B19" s="147" t="inlineStr">
        <is>
          <t>Apicella Lorenzo</t>
        </is>
      </c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>
        <v>758</v>
      </c>
      <c r="B20" s="147" t="inlineStr">
        <is>
          <t>B&amp;G Di Palo Commercio</t>
        </is>
      </c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>
        <v>74</v>
      </c>
      <c r="B21" s="147" t="inlineStr">
        <is>
          <t>Bellagaia</t>
        </is>
      </c>
      <c r="C21" s="125">
        <f>SUM(D21:L21)</f>
        <v/>
      </c>
      <c r="D21" s="128" t="n"/>
      <c r="E21" s="128" t="n"/>
      <c r="F21" s="128" t="n"/>
      <c r="G21" s="128" t="n">
        <v>8248.92</v>
      </c>
      <c r="H21" s="128" t="n">
        <v>1192.1</v>
      </c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>
        <v>399</v>
      </c>
      <c r="B22" s="147" t="inlineStr">
        <is>
          <t>Campitiello Fabio</t>
        </is>
      </c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>
        <v>864</v>
      </c>
      <c r="B23" s="147" t="inlineStr">
        <is>
          <t>Capuano Raffaele</t>
        </is>
      </c>
      <c r="C23" s="125">
        <f>SUM(D23:L23)</f>
        <v/>
      </c>
      <c r="D23" s="128" t="n"/>
      <c r="E23" s="128" t="n"/>
      <c r="F23" s="128" t="n">
        <v>80</v>
      </c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>
        <v>208</v>
      </c>
      <c r="B24" s="147" t="inlineStr">
        <is>
          <t>Casa Vinicola Sammarco</t>
        </is>
      </c>
      <c r="C24" s="125">
        <f>SUM(D24:L24)</f>
        <v/>
      </c>
      <c r="D24" s="128" t="n"/>
      <c r="E24" s="128" t="n"/>
      <c r="F24" s="128" t="n"/>
      <c r="G24" s="128" t="n">
        <v>666.12</v>
      </c>
      <c r="H24" s="128" t="n">
        <v>1141.92</v>
      </c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>
        <v>1137</v>
      </c>
      <c r="B25" s="147" t="inlineStr">
        <is>
          <t>Coccorullo Falegnamenria</t>
        </is>
      </c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>
        <v>125</v>
      </c>
      <c r="B26" s="147" t="inlineStr">
        <is>
          <t>Centro Distribuzione Maglio</t>
        </is>
      </c>
      <c r="C26" s="125">
        <f>SUM(D26:L26)</f>
        <v/>
      </c>
      <c r="D26" s="128" t="n"/>
      <c r="E26" s="128" t="n"/>
      <c r="F26" s="128" t="n"/>
      <c r="G26" s="128" t="n">
        <v>1588.4</v>
      </c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>
        <v>315</v>
      </c>
      <c r="B27" s="147" t="inlineStr">
        <is>
          <t>Centro service Snc</t>
        </is>
      </c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>
        <v>423</v>
      </c>
      <c r="B28" s="147" t="inlineStr">
        <is>
          <t>Cica</t>
        </is>
      </c>
      <c r="C28" s="125">
        <f>SUM(D28:L28)</f>
        <v/>
      </c>
      <c r="D28" s="128" t="n"/>
      <c r="E28" s="128" t="n"/>
      <c r="F28" s="128" t="n"/>
      <c r="G28" s="128" t="n">
        <v>2062.02</v>
      </c>
      <c r="H28" s="128" t="n">
        <v>570.02</v>
      </c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>
        <v>417</v>
      </c>
      <c r="B29" s="147" t="inlineStr">
        <is>
          <t>Cimmini Filomena</t>
        </is>
      </c>
      <c r="C29" s="125">
        <f>SUM(D29:L29)</f>
        <v/>
      </c>
      <c r="D29" s="128" t="n"/>
      <c r="E29" s="128" t="n"/>
      <c r="F29" s="128" t="n">
        <v>51.48</v>
      </c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>
        <v>369</v>
      </c>
      <c r="B30" s="147" t="inlineStr">
        <is>
          <t>Creative Idea</t>
        </is>
      </c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>
        <v>1003</v>
      </c>
      <c r="B31" s="147" t="inlineStr">
        <is>
          <t>Ditta Pansa</t>
        </is>
      </c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>
        <v>226</v>
      </c>
      <c r="B32" s="147" t="inlineStr">
        <is>
          <t>De Luca</t>
        </is>
      </c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>
        <v>7</v>
      </c>
      <c r="B33" s="147" t="inlineStr">
        <is>
          <t>DG Network</t>
        </is>
      </c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>
        <v>161</v>
      </c>
      <c r="B34" s="147" t="inlineStr">
        <is>
          <t>Di Sarno Coffee</t>
        </is>
      </c>
      <c r="C34" s="125">
        <f>SUM(D34:L34)</f>
        <v/>
      </c>
      <c r="D34" s="128" t="n"/>
      <c r="E34" s="128" t="n"/>
      <c r="F34" s="128" t="n">
        <v>1951.96</v>
      </c>
      <c r="G34" s="128" t="n">
        <v>6296.08</v>
      </c>
      <c r="H34" s="128" t="n">
        <v>1945.46</v>
      </c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>
        <v>32</v>
      </c>
      <c r="B35" s="147" t="inlineStr">
        <is>
          <t>Ditta Apicella</t>
        </is>
      </c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>
        <v>1003</v>
      </c>
      <c r="B36" s="147" t="inlineStr">
        <is>
          <t>Ditta Pansa</t>
        </is>
      </c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>
        <v>133</v>
      </c>
      <c r="B37" s="147" t="inlineStr">
        <is>
          <t>Fabbrocino Michele</t>
        </is>
      </c>
      <c r="C37" s="125">
        <f>SUM(D37:L37)</f>
        <v/>
      </c>
      <c r="D37" s="128" t="n"/>
      <c r="E37" s="128" t="n"/>
      <c r="F37" s="128" t="n"/>
      <c r="G37" s="128" t="n">
        <v>1846.68</v>
      </c>
      <c r="H37" s="128" t="n">
        <v>10575.14</v>
      </c>
      <c r="I37" s="128" t="n">
        <v>4164.01</v>
      </c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>
        <v>672</v>
      </c>
      <c r="B38" s="147" t="inlineStr">
        <is>
          <t>Barela Farmacia</t>
        </is>
      </c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>
        <v>127</v>
      </c>
      <c r="B39" s="147" t="inlineStr">
        <is>
          <t>Feio Srl</t>
        </is>
      </c>
      <c r="C39" s="125">
        <f>SUM(D39:L39)</f>
        <v/>
      </c>
      <c r="D39" s="128" t="n"/>
      <c r="E39" s="128" t="n"/>
      <c r="F39" s="128" t="n"/>
      <c r="G39" s="128" t="n">
        <v>1697.14</v>
      </c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>
        <v>179</v>
      </c>
      <c r="B40" s="147" t="inlineStr">
        <is>
          <t>Ferrigno Maria</t>
        </is>
      </c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>
        <v>158</v>
      </c>
      <c r="B41" s="147" t="inlineStr">
        <is>
          <t>Gallo Giovanni</t>
        </is>
      </c>
      <c r="C41" s="125">
        <f>SUM(D41:L41)</f>
        <v/>
      </c>
      <c r="D41" s="128" t="n"/>
      <c r="E41" s="128" t="n"/>
      <c r="F41" s="128" t="n"/>
      <c r="G41" s="128" t="n">
        <v>85</v>
      </c>
      <c r="H41" s="128" t="n">
        <v>118.91</v>
      </c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>
        <v>4</v>
      </c>
      <c r="B42" s="147" t="inlineStr">
        <is>
          <t>Giacinto Di Palma</t>
        </is>
      </c>
      <c r="C42" s="125">
        <f>SUM(D42:L42)</f>
        <v/>
      </c>
      <c r="D42" s="128" t="n"/>
      <c r="E42" s="128" t="n"/>
      <c r="F42" s="128" t="n"/>
      <c r="G42" s="128" t="n">
        <v>285.33</v>
      </c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>
        <v>353</v>
      </c>
      <c r="B43" s="147" t="inlineStr">
        <is>
          <t>Granato Vincenzo</t>
        </is>
      </c>
      <c r="C43" s="125">
        <f>SUM(D43:L43)</f>
        <v/>
      </c>
      <c r="D43" s="136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>
        <v>732</v>
      </c>
      <c r="B44" s="147" t="inlineStr">
        <is>
          <t>Granato Nino</t>
        </is>
      </c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>
        <v>1091</v>
      </c>
      <c r="B45" s="147" t="inlineStr">
        <is>
          <t>Hospitality Project</t>
        </is>
      </c>
      <c r="C45" s="125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>
        <v>145</v>
      </c>
      <c r="B46" s="147" t="inlineStr">
        <is>
          <t>Hotel Service</t>
        </is>
      </c>
      <c r="C46" s="125">
        <f>SUM(D46:L46)</f>
        <v/>
      </c>
      <c r="D46" s="128" t="n"/>
      <c r="E46" s="128" t="n"/>
      <c r="F46" s="128" t="n"/>
      <c r="G46" s="128" t="n">
        <v>13798.47</v>
      </c>
      <c r="H46" s="128" t="n">
        <v>17614.03</v>
      </c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>
        <v>1104</v>
      </c>
      <c r="B47" s="147" t="inlineStr">
        <is>
          <t>I.C.P srl</t>
        </is>
      </c>
      <c r="C47" s="125">
        <f>SUM(D47:L47)</f>
        <v/>
      </c>
      <c r="D47" s="128" t="n"/>
      <c r="E47" s="128" t="n"/>
      <c r="F47" s="128" t="n"/>
      <c r="G47" s="128" t="n">
        <v>1570.21</v>
      </c>
      <c r="H47" s="128" t="n">
        <v>1685.49</v>
      </c>
      <c r="I47" s="128" t="n">
        <v>814.29</v>
      </c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>
        <v>921</v>
      </c>
      <c r="B48" s="147" t="inlineStr">
        <is>
          <t>Il centro CSC</t>
        </is>
      </c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>
        <v>815</v>
      </c>
      <c r="B49" s="147" t="inlineStr">
        <is>
          <t>Il piacere della tavola</t>
        </is>
      </c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>
        <v>1706</v>
      </c>
      <c r="B50" s="147" t="inlineStr">
        <is>
          <t>Ingrosso frutta di Michele e Vincenzo</t>
        </is>
      </c>
      <c r="C50" s="125">
        <f>SUM(D50:L50)</f>
        <v/>
      </c>
      <c r="D50" s="128" t="n"/>
      <c r="E50" s="128" t="n"/>
      <c r="F50" s="128" t="n"/>
      <c r="G50" s="128" t="n">
        <v>1952</v>
      </c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>
        <v>929</v>
      </c>
      <c r="B51" s="147" t="inlineStr">
        <is>
          <t>IPEI SRL</t>
        </is>
      </c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>
        <v>1153</v>
      </c>
      <c r="B52" s="147" t="inlineStr">
        <is>
          <t>La Contadina Srl</t>
        </is>
      </c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>
        <v>718</v>
      </c>
      <c r="B53" s="147" t="inlineStr">
        <is>
          <t>La Floreale</t>
        </is>
      </c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>
        <v>1303</v>
      </c>
      <c r="B54" s="147" t="inlineStr">
        <is>
          <t xml:space="preserve">La Nuova Autocarrozzaria </t>
        </is>
      </c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>
        <v>1</v>
      </c>
      <c r="B55" s="147" t="inlineStr">
        <is>
          <t>Le Croissant srl</t>
        </is>
      </c>
      <c r="C55" s="125">
        <f>SUM(D55:L55)</f>
        <v/>
      </c>
      <c r="D55" s="128" t="n"/>
      <c r="E55" s="128" t="n"/>
      <c r="F55" s="128" t="n">
        <v>5340.46</v>
      </c>
      <c r="G55" s="128" t="n">
        <v>4669.79</v>
      </c>
      <c r="H55" s="128" t="n">
        <v>6549.5</v>
      </c>
      <c r="I55" s="128" t="n">
        <v>1812.23</v>
      </c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>
        <v>497</v>
      </c>
      <c r="B56" s="147" t="inlineStr">
        <is>
          <t>Lovali d'autore</t>
        </is>
      </c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>
        <v>186</v>
      </c>
      <c r="B57" s="147" t="inlineStr">
        <is>
          <t>L'Europea</t>
        </is>
      </c>
      <c r="C57" s="125">
        <f>SUM(D57:L57)</f>
        <v/>
      </c>
      <c r="D57" s="128" t="n"/>
      <c r="E57" s="128" t="n"/>
      <c r="F57" s="128" t="n"/>
      <c r="G57" s="128" t="n">
        <v>610</v>
      </c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>
        <v>791</v>
      </c>
      <c r="B58" s="147" t="inlineStr">
        <is>
          <t>Napolamp</t>
        </is>
      </c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>
        <v>146</v>
      </c>
      <c r="B59" s="147" t="inlineStr">
        <is>
          <t>Ninni</t>
        </is>
      </c>
      <c r="C59" s="125">
        <f>SUM(D59:L59)</f>
        <v/>
      </c>
      <c r="D59" s="128" t="n"/>
      <c r="E59" s="128" t="n"/>
      <c r="F59" s="128" t="n"/>
      <c r="G59" s="128" t="n">
        <v>1189.5</v>
      </c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>
        <v>554</v>
      </c>
      <c r="B60" s="147" t="inlineStr">
        <is>
          <t>Oceano Distribuzione</t>
        </is>
      </c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>
        <v>104</v>
      </c>
      <c r="B61" s="147" t="inlineStr">
        <is>
          <t>Paolillo Aldo</t>
        </is>
      </c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>
        <v>64</v>
      </c>
      <c r="B62" s="147" t="inlineStr">
        <is>
          <t>Paravia Srl</t>
        </is>
      </c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>
        <v>137</v>
      </c>
      <c r="B63" s="147" t="inlineStr">
        <is>
          <t>Primavera Servizi</t>
        </is>
      </c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>
        <v>80</v>
      </c>
      <c r="B64" s="147" t="inlineStr">
        <is>
          <t>Pisacane Raffaele</t>
        </is>
      </c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>
        <v>123</v>
      </c>
      <c r="B65" s="147" t="inlineStr">
        <is>
          <t>Pregis</t>
        </is>
      </c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>
        <v>1714</v>
      </c>
      <c r="B66" s="147" t="inlineStr">
        <is>
          <t>Prodotti tipici di CarloTagliafierro</t>
        </is>
      </c>
      <c r="C66" s="125" t="n"/>
      <c r="D66" s="136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>
        <v>1565</v>
      </c>
      <c r="B67" s="147" t="inlineStr">
        <is>
          <t>Pepe Mastro dolciario</t>
        </is>
      </c>
      <c r="C67" s="125">
        <f>SUM(D67:L67)</f>
        <v/>
      </c>
      <c r="D67" s="136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>
        <v>1156</v>
      </c>
      <c r="B68" s="147" t="inlineStr">
        <is>
          <t>Prisa</t>
        </is>
      </c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146" t="n">
        <v>1543</v>
      </c>
      <c r="B69" s="147" t="inlineStr">
        <is>
          <t>Reidos srl</t>
        </is>
      </c>
      <c r="C69" s="125">
        <f>SUM(D69:L69)</f>
        <v/>
      </c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146" t="n">
        <v>1230</v>
      </c>
      <c r="B70" s="147" t="inlineStr">
        <is>
          <t>Salzano Tiziano</t>
        </is>
      </c>
      <c r="C70" s="125">
        <f>SUM(D70:L70)</f>
        <v/>
      </c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146" t="n">
        <v>83</v>
      </c>
      <c r="B71" s="147" t="inlineStr">
        <is>
          <t>Santelia Antonio</t>
        </is>
      </c>
      <c r="C71" s="125">
        <f>SUM(D71:L71)</f>
        <v/>
      </c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146" t="n">
        <v>275</v>
      </c>
      <c r="B72" s="147" t="inlineStr">
        <is>
          <t>Serverplan srl</t>
        </is>
      </c>
      <c r="C72" s="125">
        <f>SUM(D72:L72)</f>
        <v/>
      </c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146" t="n">
        <v>132</v>
      </c>
      <c r="B73" s="147" t="inlineStr">
        <is>
          <t>Studio quattro</t>
        </is>
      </c>
      <c r="C73" s="125">
        <f>SUM(D73:L73)</f>
        <v/>
      </c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146" t="n">
        <v>126</v>
      </c>
      <c r="B74" s="147" t="inlineStr">
        <is>
          <t>Tecno Piscine</t>
        </is>
      </c>
      <c r="C74" s="125">
        <f>SUM(D74:L74)</f>
        <v/>
      </c>
      <c r="D74" s="128" t="n"/>
      <c r="E74" s="128" t="n"/>
      <c r="F74" s="128" t="n"/>
      <c r="G74" s="128" t="n">
        <v>633.86</v>
      </c>
      <c r="H74" s="128" t="n">
        <v>62.83</v>
      </c>
      <c r="I74" s="128" t="n"/>
      <c r="J74" s="128" t="n"/>
      <c r="K74" s="128" t="n"/>
      <c r="L74" s="128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146" t="n">
        <v>1145</v>
      </c>
      <c r="B75" s="148" t="inlineStr">
        <is>
          <t>Tur.Com</t>
        </is>
      </c>
      <c r="C75" s="125">
        <f>SUM(D75:L75)</f>
        <v/>
      </c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146" t="n">
        <v>71</v>
      </c>
      <c r="B76" s="137" t="inlineStr">
        <is>
          <t>Valgarda Srl</t>
        </is>
      </c>
      <c r="C76" s="125">
        <f>SUM(D76:L76)</f>
        <v/>
      </c>
      <c r="D76" s="128" t="n"/>
      <c r="E76" s="128" t="n"/>
      <c r="F76" s="128" t="n"/>
      <c r="G76" s="128" t="n">
        <v>1686.68</v>
      </c>
      <c r="H76" s="128" t="n">
        <v>3173.94</v>
      </c>
      <c r="I76" s="128" t="n">
        <v>3681.86</v>
      </c>
      <c r="J76" s="128" t="n"/>
      <c r="K76" s="128" t="n"/>
      <c r="L76" s="128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146" t="n">
        <v>1306</v>
      </c>
      <c r="B77" s="137" t="inlineStr">
        <is>
          <t>Vicart</t>
        </is>
      </c>
      <c r="C77" s="125">
        <f>SUM(D77:L77)</f>
        <v/>
      </c>
      <c r="D77" s="128" t="n"/>
      <c r="E77" s="128" t="n"/>
      <c r="F77" s="128" t="n"/>
      <c r="G77" s="128" t="n">
        <v>1218.1</v>
      </c>
      <c r="H77" s="128" t="n"/>
      <c r="I77" s="128" t="n"/>
      <c r="J77" s="128" t="n"/>
      <c r="K77" s="128" t="n"/>
      <c r="L77" s="128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146" t="n">
        <v>1222</v>
      </c>
      <c r="B78" s="137" t="inlineStr">
        <is>
          <t>Vitagliano</t>
        </is>
      </c>
      <c r="C78" s="125">
        <f>SUM(D78:L78)</f>
        <v/>
      </c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146" t="n">
        <v>6</v>
      </c>
      <c r="B79" s="137" t="inlineStr">
        <is>
          <t>Pietra di luna</t>
        </is>
      </c>
      <c r="C79" s="125">
        <f>SUM(D79:L79)</f>
        <v/>
      </c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146" t="n">
        <v>612</v>
      </c>
      <c r="B80" s="137" t="inlineStr">
        <is>
          <t>Bianco Bufala</t>
        </is>
      </c>
      <c r="C80" s="125">
        <f>SUM(D80:L80)</f>
        <v/>
      </c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146" t="n">
        <v>1190</v>
      </c>
      <c r="B81" s="137" t="inlineStr">
        <is>
          <t>Croce Rossa Italiana (trasporto sujith)</t>
        </is>
      </c>
      <c r="C81" s="125">
        <f>SUM(D81:L81)</f>
        <v/>
      </c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146" t="n">
        <v>68</v>
      </c>
      <c r="B82" s="137" t="inlineStr">
        <is>
          <t>Costieraagrumi</t>
        </is>
      </c>
      <c r="C82" s="125">
        <f>SUM(D82:L82)</f>
        <v/>
      </c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146" t="n">
        <v>1144</v>
      </c>
      <c r="B83" s="137" t="inlineStr">
        <is>
          <t>Finsal</t>
        </is>
      </c>
      <c r="C83" s="125">
        <f>SUM(D83:L83)</f>
        <v/>
      </c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146" t="n">
        <v>1515</v>
      </c>
      <c r="B84" s="137" t="inlineStr">
        <is>
          <t>Gambardella</t>
        </is>
      </c>
      <c r="C84" s="125">
        <f>SUM(D84:L84)</f>
        <v/>
      </c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146" t="n">
        <v>121</v>
      </c>
      <c r="B85" s="137" t="inlineStr">
        <is>
          <t>Mammato Anna</t>
        </is>
      </c>
      <c r="C85" s="125">
        <f>SUM(D85:L85)</f>
        <v/>
      </c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146" t="n">
        <v>1269</v>
      </c>
      <c r="B86" s="137" t="inlineStr">
        <is>
          <t>Fioraio Santelia</t>
        </is>
      </c>
      <c r="C86" s="125">
        <f>SUM(D86:L86)</f>
        <v/>
      </c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146" t="n">
        <v>1279</v>
      </c>
      <c r="B87" s="137" t="inlineStr">
        <is>
          <t>Arch. Marigliano Savio</t>
        </is>
      </c>
      <c r="C87" s="125">
        <f>SUM(D87:L87)</f>
        <v/>
      </c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146" t="n">
        <v>1058</v>
      </c>
      <c r="B88" s="137" t="inlineStr">
        <is>
          <t>Mint Architettura</t>
        </is>
      </c>
      <c r="C88" s="125">
        <f>SUM(D88:L88)</f>
        <v/>
      </c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146" t="n">
        <v>1438</v>
      </c>
      <c r="B89" s="137" t="inlineStr">
        <is>
          <t>Musica totale</t>
        </is>
      </c>
      <c r="C89" s="125">
        <f>SUM(D89:L89)</f>
        <v/>
      </c>
      <c r="D89" s="128" t="n"/>
      <c r="E89" s="128" t="n"/>
      <c r="F89" s="128" t="n">
        <v>122</v>
      </c>
      <c r="G89" s="128" t="n"/>
      <c r="H89" s="128" t="n"/>
      <c r="I89" s="128" t="n"/>
      <c r="J89" s="128" t="n"/>
      <c r="K89" s="128" t="n"/>
      <c r="L89" s="128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146" t="n">
        <v>138</v>
      </c>
      <c r="B90" s="137" t="inlineStr">
        <is>
          <t>Romano Ciro</t>
        </is>
      </c>
      <c r="C90" s="125">
        <f>SUM(D90:L90)</f>
        <v/>
      </c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146" t="n">
        <v>82</v>
      </c>
      <c r="B91" s="137" t="inlineStr">
        <is>
          <t>Sal de Riso</t>
        </is>
      </c>
      <c r="C91" s="125">
        <f>SUM(D91:L91)</f>
        <v/>
      </c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146" t="n">
        <v>10</v>
      </c>
      <c r="B92" s="137" t="inlineStr">
        <is>
          <t>Samar</t>
        </is>
      </c>
      <c r="C92" s="125">
        <f>SUM(D92:L92)</f>
        <v/>
      </c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146" t="n">
        <v>1050</v>
      </c>
      <c r="B93" s="137" t="inlineStr">
        <is>
          <t>Sistemi ESolver</t>
        </is>
      </c>
      <c r="C93" s="125">
        <f>SUM(D93:L93)</f>
        <v/>
      </c>
      <c r="D93" s="128" t="n"/>
      <c r="E93" s="128" t="n"/>
      <c r="F93" s="128" t="n">
        <v>1332.68</v>
      </c>
      <c r="G93" s="128" t="n"/>
      <c r="H93" s="128" t="n"/>
      <c r="I93" s="128" t="n"/>
      <c r="J93" s="128" t="n"/>
      <c r="K93" s="128" t="n"/>
      <c r="L93" s="128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146" t="n"/>
      <c r="B94" s="137" t="inlineStr">
        <is>
          <t>Tappezzeria Cent'anni</t>
        </is>
      </c>
      <c r="C94" s="125">
        <f>SUM(D94:L94)</f>
        <v/>
      </c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146" t="n">
        <v>745</v>
      </c>
      <c r="B95" s="137" t="inlineStr">
        <is>
          <t>AFFINITO SRL</t>
        </is>
      </c>
      <c r="C95" s="125">
        <f>SUM(D95:L95)</f>
        <v/>
      </c>
      <c r="D95" s="128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146" t="n">
        <v>985</v>
      </c>
      <c r="B96" s="137" t="inlineStr">
        <is>
          <t>ALBERGO SANTA CHIARA</t>
        </is>
      </c>
      <c r="C96" s="125">
        <f>SUM(D96:L96)</f>
        <v/>
      </c>
      <c r="D96" s="128" t="n"/>
      <c r="E96" s="128" t="n"/>
      <c r="F96" s="128" t="n"/>
      <c r="G96" s="128" t="n">
        <v>214.5</v>
      </c>
      <c r="H96" s="128" t="n"/>
      <c r="I96" s="128" t="n"/>
      <c r="J96" s="128" t="n"/>
      <c r="K96" s="128" t="n"/>
      <c r="L96" s="128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146" t="n">
        <v>19</v>
      </c>
      <c r="B97" s="137" t="inlineStr">
        <is>
          <t>AMAZON EU S.A R.L.</t>
        </is>
      </c>
      <c r="C97" s="125">
        <f>SUM(D97:L97)</f>
        <v/>
      </c>
      <c r="D97" s="128" t="n"/>
      <c r="E97" s="128" t="n"/>
      <c r="F97" s="128" t="n">
        <v>1120.27</v>
      </c>
      <c r="G97" s="128" t="n"/>
      <c r="H97" s="128" t="n"/>
      <c r="I97" s="128" t="n"/>
      <c r="J97" s="128" t="n"/>
      <c r="K97" s="128" t="n"/>
      <c r="L97" s="128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146" t="n">
        <v>498</v>
      </c>
      <c r="B98" s="147" t="inlineStr">
        <is>
          <t>AP COMMERCIALE S.R.L.</t>
        </is>
      </c>
      <c r="C98" s="125">
        <f>SUM(D98:L98)</f>
        <v/>
      </c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146" t="n">
        <v>14</v>
      </c>
      <c r="B99" s="147" t="inlineStr">
        <is>
          <t>C&amp;C S.p.A.</t>
        </is>
      </c>
      <c r="C99" s="125">
        <f>SUM(D99:L99)</f>
        <v/>
      </c>
      <c r="D99" s="128" t="n"/>
      <c r="E99" s="128" t="n"/>
      <c r="F99" s="128" t="n">
        <v>99</v>
      </c>
      <c r="G99" s="128" t="n"/>
      <c r="H99" s="128" t="n"/>
      <c r="I99" s="128" t="n"/>
      <c r="J99" s="128" t="n"/>
      <c r="K99" s="128" t="n"/>
      <c r="L99" s="128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146" t="n">
        <v>1595</v>
      </c>
      <c r="B100" s="147" t="inlineStr">
        <is>
          <t>Dr. Vranjes Firenze S.p.A.</t>
        </is>
      </c>
      <c r="C100" s="125">
        <f>SUM(D100:L100)</f>
        <v/>
      </c>
      <c r="D100" s="128" t="n"/>
      <c r="E100" s="128" t="n"/>
      <c r="F100" s="128" t="n">
        <v>45.99</v>
      </c>
      <c r="G100" s="128" t="n"/>
      <c r="H100" s="128" t="n"/>
      <c r="I100" s="128" t="n"/>
      <c r="J100" s="128" t="n"/>
      <c r="K100" s="128" t="n"/>
      <c r="L100" s="128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146" t="n">
        <v>1597</v>
      </c>
      <c r="B101" s="147" t="inlineStr">
        <is>
          <t>EXORH DI CHIESA PAOLA</t>
        </is>
      </c>
      <c r="C101" s="125">
        <f>SUM(D101:L101)</f>
        <v/>
      </c>
      <c r="D101" s="128" t="n"/>
      <c r="E101" s="128" t="n"/>
      <c r="F101" s="128" t="n">
        <v>148</v>
      </c>
      <c r="G101" s="128" t="n"/>
      <c r="H101" s="128" t="n"/>
      <c r="I101" s="128" t="n"/>
      <c r="J101" s="128" t="n"/>
      <c r="K101" s="128" t="n"/>
      <c r="L101" s="128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146" t="n">
        <v>1168</v>
      </c>
      <c r="B102" s="147" t="inlineStr">
        <is>
          <t>Gest. D.M.F. Srl</t>
        </is>
      </c>
      <c r="C102" s="125">
        <f>SUM(D102:L102)</f>
        <v/>
      </c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146" t="n">
        <v>1557</v>
      </c>
      <c r="B103" s="147" t="inlineStr">
        <is>
          <t>HAPPY CASA STORE S.R.L.</t>
        </is>
      </c>
      <c r="C103" s="125">
        <f>SUM(D103:L103)</f>
        <v/>
      </c>
      <c r="D103" s="128" t="n"/>
      <c r="E103" s="128" t="n"/>
      <c r="F103" s="128" t="n">
        <v>60.06</v>
      </c>
      <c r="G103" s="128" t="n"/>
      <c r="H103" s="128" t="n"/>
      <c r="I103" s="128" t="n"/>
      <c r="J103" s="128" t="n"/>
      <c r="K103" s="128" t="n"/>
      <c r="L103" s="128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146" t="n">
        <v>1035</v>
      </c>
      <c r="B104" s="147" t="inlineStr">
        <is>
          <t>IDRO-TOP S.R.L.</t>
        </is>
      </c>
      <c r="C104" s="125">
        <f>SUM(D104:L104)</f>
        <v/>
      </c>
      <c r="D104" s="128" t="n"/>
      <c r="E104" s="128" t="n"/>
      <c r="F104" s="128" t="n">
        <v>71.64</v>
      </c>
      <c r="G104" s="128" t="n"/>
      <c r="H104" s="128" t="n"/>
      <c r="I104" s="128" t="n"/>
      <c r="J104" s="128" t="n"/>
      <c r="K104" s="128" t="n"/>
      <c r="L104" s="128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146" t="n">
        <v>1598</v>
      </c>
      <c r="B105" s="147" t="inlineStr">
        <is>
          <t>KING CATERING S.R.L.</t>
        </is>
      </c>
      <c r="C105" s="125">
        <f>SUM(D105:L105)</f>
        <v/>
      </c>
      <c r="D105" s="128" t="n"/>
      <c r="E105" s="128" t="n"/>
      <c r="F105" s="128" t="n">
        <v>165.5</v>
      </c>
      <c r="G105" s="128" t="n"/>
      <c r="H105" s="128" t="n"/>
      <c r="I105" s="128" t="n"/>
      <c r="J105" s="128" t="n"/>
      <c r="K105" s="128" t="n"/>
      <c r="L105" s="128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146" t="n">
        <v>1233</v>
      </c>
      <c r="B106" s="147" t="inlineStr">
        <is>
          <t>LE SETTE SORELLE SOCIETA' A</t>
        </is>
      </c>
      <c r="C106" s="125">
        <f>SUM(D106:L106)</f>
        <v/>
      </c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" customHeight="1" s="169">
      <c r="A107" s="146" t="n">
        <v>1008</v>
      </c>
      <c r="B107" s="147" t="inlineStr">
        <is>
          <t>MIELE GIUSEPPE E FIGLI SPA</t>
        </is>
      </c>
      <c r="C107" s="125">
        <f>SUM(D107:L107)</f>
        <v/>
      </c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146" t="n">
        <v>1627</v>
      </c>
      <c r="B108" s="147" t="inlineStr">
        <is>
          <t>PEPPINO RISTORAZIONE S.R.L.</t>
        </is>
      </c>
      <c r="C108" s="125">
        <f>SUM(D108:L108)</f>
        <v/>
      </c>
      <c r="D108" s="128" t="n"/>
      <c r="E108" s="128" t="n"/>
      <c r="F108" s="128" t="n">
        <v>72</v>
      </c>
      <c r="G108" s="128" t="n"/>
      <c r="H108" s="128" t="n"/>
      <c r="I108" s="128" t="n"/>
      <c r="J108" s="128" t="n"/>
      <c r="K108" s="128" t="n"/>
      <c r="L108" s="128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146" t="n">
        <v>1603</v>
      </c>
      <c r="B109" s="147" t="inlineStr">
        <is>
          <t>RISALITI SRL</t>
        </is>
      </c>
      <c r="C109" s="125">
        <f>SUM(D109:L109)</f>
        <v/>
      </c>
      <c r="D109" s="128" t="n"/>
      <c r="E109" s="128" t="n"/>
      <c r="F109" s="128" t="n">
        <v>23.09</v>
      </c>
      <c r="G109" s="128" t="n"/>
      <c r="H109" s="128" t="n"/>
      <c r="I109" s="128" t="n"/>
      <c r="J109" s="128" t="n"/>
      <c r="K109" s="128" t="n"/>
      <c r="L109" s="128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146" t="n">
        <v>1602</v>
      </c>
      <c r="B110" s="147" t="inlineStr">
        <is>
          <t>SOCIETA' INGROSSO TELEVISORI ELETTRODOMESTICI AFFINI S.R.L.</t>
        </is>
      </c>
      <c r="C110" s="125">
        <f>SUM(D110:L110)</f>
        <v/>
      </c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146" t="n">
        <v>1699</v>
      </c>
      <c r="B111" s="147" t="inlineStr">
        <is>
          <t>ACQUAVERDE SRL</t>
        </is>
      </c>
      <c r="C111" s="125">
        <f>SUM(D111:L111)</f>
        <v/>
      </c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146" t="n">
        <v>142</v>
      </c>
      <c r="B112" s="147" t="inlineStr">
        <is>
          <t>GENERAL BEVERAGE S.R.L.</t>
        </is>
      </c>
      <c r="C112" s="125">
        <f>SUM(D112:L112)</f>
        <v/>
      </c>
      <c r="D112" s="128" t="n"/>
      <c r="E112" s="128" t="n"/>
      <c r="F112" s="128" t="n"/>
      <c r="G112" s="128" t="n"/>
      <c r="H112" s="128" t="n">
        <v>165</v>
      </c>
      <c r="I112" s="128" t="n"/>
      <c r="J112" s="128" t="n"/>
      <c r="K112" s="128" t="n"/>
      <c r="L112" s="128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146" t="n">
        <v>1697</v>
      </c>
      <c r="B113" s="147" t="inlineStr">
        <is>
          <t>MARR SPA</t>
        </is>
      </c>
      <c r="C113" s="125">
        <f>SUM(D113:L113)</f>
        <v/>
      </c>
      <c r="D113" s="128" t="n"/>
      <c r="E113" s="128" t="n"/>
      <c r="F113" s="128" t="n"/>
      <c r="G113" s="128" t="n">
        <v>3194.05</v>
      </c>
      <c r="H113" s="128" t="n">
        <v>857.4</v>
      </c>
      <c r="I113" s="128" t="n"/>
      <c r="J113" s="128" t="n"/>
      <c r="K113" s="128" t="n"/>
      <c r="L113" s="128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146" t="n">
        <v>212</v>
      </c>
      <c r="B114" s="147" t="inlineStr">
        <is>
          <t>Casalinghi Sicignano</t>
        </is>
      </c>
      <c r="C114" s="149" t="n"/>
      <c r="D114" s="128" t="n"/>
      <c r="E114" s="128" t="n"/>
      <c r="F114" s="128" t="n">
        <v>514.16</v>
      </c>
      <c r="G114" s="128" t="n"/>
      <c r="H114" s="128" t="n"/>
      <c r="I114" s="128" t="n"/>
      <c r="J114" s="128" t="n"/>
      <c r="K114" s="128" t="n"/>
      <c r="L114" s="128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146" t="n">
        <v>499</v>
      </c>
      <c r="B115" s="147" t="inlineStr">
        <is>
          <t>Foraggio Srl</t>
        </is>
      </c>
      <c r="C115" s="149" t="n"/>
      <c r="D115" s="128" t="n"/>
      <c r="E115" s="128" t="n"/>
      <c r="F115" s="128" t="n"/>
      <c r="G115" s="128" t="n">
        <v>470.43</v>
      </c>
      <c r="H115" s="128" t="n"/>
      <c r="I115" s="128" t="n"/>
      <c r="J115" s="128" t="n"/>
      <c r="K115" s="128" t="n"/>
      <c r="L115" s="128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146" t="n"/>
      <c r="B116" s="147" t="n"/>
      <c r="C116" s="149" t="n"/>
      <c r="D116" s="128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146" t="n"/>
      <c r="B117" s="147" t="n"/>
      <c r="C117" s="149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146" t="n"/>
      <c r="B118" s="147" t="n"/>
      <c r="C118" s="149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146" t="n"/>
      <c r="B119" s="147" t="n"/>
      <c r="C119" s="149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104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104" t="n"/>
      <c r="C221" s="3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104" t="n"/>
      <c r="C222" s="3" t="n"/>
      <c r="D222" s="104" t="n"/>
      <c r="E222" s="104" t="n"/>
      <c r="F222" s="104" t="n"/>
      <c r="G222" s="104" t="n"/>
      <c r="H222" s="104" t="n"/>
      <c r="I222" s="104" t="n"/>
      <c r="J222" s="104" t="n"/>
      <c r="K222" s="104" t="n"/>
      <c r="L222" s="104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104" t="n"/>
      <c r="C223" s="3" t="n"/>
      <c r="D223" s="104" t="n"/>
      <c r="E223" s="104" t="n"/>
      <c r="F223" s="104" t="n"/>
      <c r="G223" s="104" t="n"/>
      <c r="H223" s="104" t="n"/>
      <c r="I223" s="104" t="n"/>
      <c r="J223" s="104" t="n"/>
      <c r="K223" s="104" t="n"/>
      <c r="L223" s="104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104" t="n"/>
      <c r="C224" s="3" t="n"/>
      <c r="D224" s="104" t="n"/>
      <c r="E224" s="104" t="n"/>
      <c r="F224" s="104" t="n"/>
      <c r="G224" s="104" t="n"/>
      <c r="H224" s="104" t="n"/>
      <c r="I224" s="104" t="n"/>
      <c r="J224" s="104" t="n"/>
      <c r="K224" s="104" t="n"/>
      <c r="L224" s="104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104" t="n"/>
      <c r="C225" s="3" t="n"/>
      <c r="D225" s="104" t="n"/>
      <c r="E225" s="104" t="n"/>
      <c r="F225" s="104" t="n"/>
      <c r="G225" s="104" t="n"/>
      <c r="H225" s="104" t="n"/>
      <c r="I225" s="104" t="n"/>
      <c r="J225" s="104" t="n"/>
      <c r="K225" s="104" t="n"/>
      <c r="L225" s="104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104" t="n"/>
      <c r="C226" s="3" t="n"/>
      <c r="D226" s="104" t="n"/>
      <c r="E226" s="104" t="n"/>
      <c r="F226" s="104" t="n"/>
      <c r="G226" s="104" t="n"/>
      <c r="H226" s="104" t="n"/>
      <c r="I226" s="104" t="n"/>
      <c r="J226" s="104" t="n"/>
      <c r="K226" s="104" t="n"/>
      <c r="L226" s="104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104" t="n"/>
      <c r="C227" s="3" t="n"/>
      <c r="D227" s="104" t="n"/>
      <c r="E227" s="104" t="n"/>
      <c r="F227" s="104" t="n"/>
      <c r="G227" s="104" t="n"/>
      <c r="H227" s="104" t="n"/>
      <c r="I227" s="104" t="n"/>
      <c r="J227" s="104" t="n"/>
      <c r="K227" s="104" t="n"/>
      <c r="L227" s="104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104" t="n"/>
      <c r="C228" s="3" t="n"/>
      <c r="D228" s="104" t="n"/>
      <c r="E228" s="104" t="n"/>
      <c r="F228" s="104" t="n"/>
      <c r="G228" s="104" t="n"/>
      <c r="H228" s="104" t="n"/>
      <c r="I228" s="104" t="n"/>
      <c r="J228" s="104" t="n"/>
      <c r="K228" s="104" t="n"/>
      <c r="L228" s="104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104" t="n"/>
      <c r="C229" s="3" t="n"/>
      <c r="D229" s="104" t="n"/>
      <c r="E229" s="104" t="n"/>
      <c r="F229" s="104" t="n"/>
      <c r="G229" s="104" t="n"/>
      <c r="H229" s="104" t="n"/>
      <c r="I229" s="104" t="n"/>
      <c r="J229" s="104" t="n"/>
      <c r="K229" s="104" t="n"/>
      <c r="L229" s="104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104" t="n"/>
      <c r="E230" s="104" t="n"/>
      <c r="F230" s="104" t="n"/>
      <c r="G230" s="104" t="n"/>
      <c r="H230" s="104" t="n"/>
      <c r="I230" s="104" t="n"/>
      <c r="J230" s="104" t="n"/>
      <c r="K230" s="104" t="n"/>
      <c r="L230" s="104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104" t="n"/>
      <c r="E231" s="104" t="n"/>
      <c r="F231" s="104" t="n"/>
      <c r="G231" s="104" t="n"/>
      <c r="H231" s="104" t="n"/>
      <c r="I231" s="104" t="n"/>
      <c r="J231" s="104" t="n"/>
      <c r="K231" s="104" t="n"/>
      <c r="L231" s="104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104" t="n"/>
      <c r="E232" s="104" t="n"/>
      <c r="F232" s="104" t="n"/>
      <c r="G232" s="104" t="n"/>
      <c r="H232" s="104" t="n"/>
      <c r="I232" s="104" t="n"/>
      <c r="J232" s="104" t="n"/>
      <c r="K232" s="104" t="n"/>
      <c r="L232" s="104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104" t="n"/>
      <c r="E233" s="104" t="n"/>
      <c r="F233" s="104" t="n"/>
      <c r="G233" s="104" t="n"/>
      <c r="H233" s="104" t="n"/>
      <c r="I233" s="104" t="n"/>
      <c r="J233" s="104" t="n"/>
      <c r="K233" s="104" t="n"/>
      <c r="L233" s="104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104" t="n"/>
      <c r="E234" s="104" t="n"/>
      <c r="F234" s="104" t="n"/>
      <c r="G234" s="104" t="n"/>
      <c r="H234" s="104" t="n"/>
      <c r="I234" s="104" t="n"/>
      <c r="J234" s="104" t="n"/>
      <c r="K234" s="104" t="n"/>
      <c r="L234" s="104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104" t="n"/>
      <c r="E235" s="104" t="n"/>
      <c r="F235" s="104" t="n"/>
      <c r="G235" s="104" t="n"/>
      <c r="H235" s="104" t="n"/>
      <c r="I235" s="104" t="n"/>
      <c r="J235" s="104" t="n"/>
      <c r="K235" s="104" t="n"/>
      <c r="L235" s="104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104" t="n"/>
      <c r="E236" s="104" t="n"/>
      <c r="F236" s="104" t="n"/>
      <c r="G236" s="104" t="n"/>
      <c r="H236" s="104" t="n"/>
      <c r="I236" s="104" t="n"/>
      <c r="J236" s="104" t="n"/>
      <c r="K236" s="104" t="n"/>
      <c r="L236" s="104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104" t="n"/>
      <c r="E237" s="104" t="n"/>
      <c r="F237" s="104" t="n"/>
      <c r="G237" s="104" t="n"/>
      <c r="H237" s="104" t="n"/>
      <c r="I237" s="104" t="n"/>
      <c r="J237" s="104" t="n"/>
      <c r="K237" s="104" t="n"/>
      <c r="L237" s="104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104" t="n"/>
      <c r="E238" s="104" t="n"/>
      <c r="F238" s="104" t="n"/>
      <c r="G238" s="104" t="n"/>
      <c r="H238" s="104" t="n"/>
      <c r="I238" s="104" t="n"/>
      <c r="J238" s="104" t="n"/>
      <c r="K238" s="104" t="n"/>
      <c r="L238" s="104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104" t="n"/>
      <c r="E239" s="104" t="n"/>
      <c r="F239" s="104" t="n"/>
      <c r="G239" s="104" t="n"/>
      <c r="H239" s="104" t="n"/>
      <c r="I239" s="104" t="n"/>
      <c r="J239" s="104" t="n"/>
      <c r="K239" s="104" t="n"/>
      <c r="L239" s="104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104" t="n"/>
      <c r="E240" s="104" t="n"/>
      <c r="F240" s="104" t="n"/>
      <c r="G240" s="104" t="n"/>
      <c r="H240" s="104" t="n"/>
      <c r="I240" s="104" t="n"/>
      <c r="J240" s="104" t="n"/>
      <c r="K240" s="104" t="n"/>
      <c r="L240" s="104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104" t="n"/>
      <c r="E241" s="104" t="n"/>
      <c r="F241" s="104" t="n"/>
      <c r="G241" s="104" t="n"/>
      <c r="H241" s="104" t="n"/>
      <c r="I241" s="104" t="n"/>
      <c r="J241" s="104" t="n"/>
      <c r="K241" s="104" t="n"/>
      <c r="L241" s="104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104" t="n"/>
      <c r="E242" s="104" t="n"/>
      <c r="F242" s="104" t="n"/>
      <c r="G242" s="104" t="n"/>
      <c r="H242" s="104" t="n"/>
      <c r="I242" s="104" t="n"/>
      <c r="J242" s="104" t="n"/>
      <c r="K242" s="104" t="n"/>
      <c r="L242" s="104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104" t="n"/>
      <c r="E243" s="104" t="n"/>
      <c r="F243" s="104" t="n"/>
      <c r="G243" s="104" t="n"/>
      <c r="H243" s="104" t="n"/>
      <c r="I243" s="104" t="n"/>
      <c r="J243" s="104" t="n"/>
      <c r="K243" s="104" t="n"/>
      <c r="L243" s="104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104" t="n"/>
      <c r="E244" s="104" t="n"/>
      <c r="F244" s="104" t="n"/>
      <c r="G244" s="104" t="n"/>
      <c r="H244" s="104" t="n"/>
      <c r="I244" s="104" t="n"/>
      <c r="J244" s="104" t="n"/>
      <c r="K244" s="104" t="n"/>
      <c r="L244" s="104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104" t="n"/>
      <c r="E245" s="104" t="n"/>
      <c r="F245" s="104" t="n"/>
      <c r="G245" s="104" t="n"/>
      <c r="H245" s="104" t="n"/>
      <c r="I245" s="104" t="n"/>
      <c r="J245" s="104" t="n"/>
      <c r="K245" s="104" t="n"/>
      <c r="L245" s="104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104" t="n"/>
      <c r="E246" s="104" t="n"/>
      <c r="F246" s="104" t="n"/>
      <c r="G246" s="104" t="n"/>
      <c r="H246" s="104" t="n"/>
      <c r="I246" s="104" t="n"/>
      <c r="J246" s="104" t="n"/>
      <c r="K246" s="104" t="n"/>
      <c r="L246" s="104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104" t="n"/>
      <c r="E247" s="104" t="n"/>
      <c r="F247" s="104" t="n"/>
      <c r="G247" s="104" t="n"/>
      <c r="H247" s="104" t="n"/>
      <c r="I247" s="104" t="n"/>
      <c r="J247" s="104" t="n"/>
      <c r="K247" s="104" t="n"/>
      <c r="L247" s="104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104" t="n"/>
      <c r="E248" s="104" t="n"/>
      <c r="F248" s="104" t="n"/>
      <c r="G248" s="104" t="n"/>
      <c r="H248" s="104" t="n"/>
      <c r="I248" s="104" t="n"/>
      <c r="J248" s="104" t="n"/>
      <c r="K248" s="104" t="n"/>
      <c r="L248" s="104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104" t="n"/>
      <c r="E249" s="104" t="n"/>
      <c r="F249" s="104" t="n"/>
      <c r="G249" s="104" t="n"/>
      <c r="H249" s="104" t="n"/>
      <c r="I249" s="104" t="n"/>
      <c r="J249" s="104" t="n"/>
      <c r="K249" s="104" t="n"/>
      <c r="L249" s="104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104" t="n"/>
      <c r="E250" s="104" t="n"/>
      <c r="F250" s="104" t="n"/>
      <c r="G250" s="104" t="n"/>
      <c r="H250" s="104" t="n"/>
      <c r="I250" s="104" t="n"/>
      <c r="J250" s="104" t="n"/>
      <c r="K250" s="104" t="n"/>
      <c r="L250" s="104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104" t="n"/>
      <c r="E251" s="104" t="n"/>
      <c r="F251" s="104" t="n"/>
      <c r="G251" s="104" t="n"/>
      <c r="H251" s="104" t="n"/>
      <c r="I251" s="104" t="n"/>
      <c r="J251" s="104" t="n"/>
      <c r="K251" s="104" t="n"/>
      <c r="L251" s="104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104" t="n"/>
      <c r="E252" s="104" t="n"/>
      <c r="F252" s="104" t="n"/>
      <c r="G252" s="104" t="n"/>
      <c r="H252" s="104" t="n"/>
      <c r="I252" s="104" t="n"/>
      <c r="J252" s="104" t="n"/>
      <c r="K252" s="104" t="n"/>
      <c r="L252" s="104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104" t="n"/>
      <c r="E253" s="104" t="n"/>
      <c r="F253" s="104" t="n"/>
      <c r="G253" s="104" t="n"/>
      <c r="H253" s="104" t="n"/>
      <c r="I253" s="104" t="n"/>
      <c r="J253" s="104" t="n"/>
      <c r="K253" s="104" t="n"/>
      <c r="L253" s="104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104" t="n"/>
      <c r="E254" s="104" t="n"/>
      <c r="F254" s="104" t="n"/>
      <c r="G254" s="104" t="n"/>
      <c r="H254" s="104" t="n"/>
      <c r="I254" s="104" t="n"/>
      <c r="J254" s="104" t="n"/>
      <c r="K254" s="104" t="n"/>
      <c r="L254" s="104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104" t="n"/>
      <c r="E255" s="104" t="n"/>
      <c r="F255" s="104" t="n"/>
      <c r="G255" s="104" t="n"/>
      <c r="H255" s="104" t="n"/>
      <c r="I255" s="104" t="n"/>
      <c r="J255" s="104" t="n"/>
      <c r="K255" s="104" t="n"/>
      <c r="L255" s="104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104" t="n"/>
      <c r="E256" s="104" t="n"/>
      <c r="F256" s="104" t="n"/>
      <c r="G256" s="104" t="n"/>
      <c r="H256" s="104" t="n"/>
      <c r="I256" s="104" t="n"/>
      <c r="J256" s="104" t="n"/>
      <c r="K256" s="104" t="n"/>
      <c r="L256" s="104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104" t="n"/>
      <c r="E257" s="104" t="n"/>
      <c r="F257" s="104" t="n"/>
      <c r="G257" s="104" t="n"/>
      <c r="H257" s="104" t="n"/>
      <c r="I257" s="104" t="n"/>
      <c r="J257" s="104" t="n"/>
      <c r="K257" s="104" t="n"/>
      <c r="L257" s="104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104" t="n"/>
      <c r="E258" s="104" t="n"/>
      <c r="F258" s="104" t="n"/>
      <c r="G258" s="104" t="n"/>
      <c r="H258" s="104" t="n"/>
      <c r="I258" s="104" t="n"/>
      <c r="J258" s="104" t="n"/>
      <c r="K258" s="104" t="n"/>
      <c r="L258" s="104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104" t="n"/>
      <c r="E259" s="104" t="n"/>
      <c r="F259" s="104" t="n"/>
      <c r="G259" s="104" t="n"/>
      <c r="H259" s="104" t="n"/>
      <c r="I259" s="104" t="n"/>
      <c r="J259" s="104" t="n"/>
      <c r="K259" s="104" t="n"/>
      <c r="L259" s="104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104" t="n"/>
      <c r="E260" s="104" t="n"/>
      <c r="F260" s="104" t="n"/>
      <c r="G260" s="104" t="n"/>
      <c r="H260" s="104" t="n"/>
      <c r="I260" s="104" t="n"/>
      <c r="J260" s="104" t="n"/>
      <c r="K260" s="104" t="n"/>
      <c r="L260" s="104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104" t="n"/>
      <c r="E261" s="104" t="n"/>
      <c r="F261" s="104" t="n"/>
      <c r="G261" s="104" t="n"/>
      <c r="H261" s="104" t="n"/>
      <c r="I261" s="104" t="n"/>
      <c r="J261" s="104" t="n"/>
      <c r="K261" s="104" t="n"/>
      <c r="L261" s="104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104" t="n"/>
      <c r="E262" s="104" t="n"/>
      <c r="F262" s="104" t="n"/>
      <c r="G262" s="104" t="n"/>
      <c r="H262" s="104" t="n"/>
      <c r="I262" s="104" t="n"/>
      <c r="J262" s="104" t="n"/>
      <c r="K262" s="104" t="n"/>
      <c r="L262" s="104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104" t="n"/>
      <c r="E263" s="104" t="n"/>
      <c r="F263" s="104" t="n"/>
      <c r="G263" s="104" t="n"/>
      <c r="H263" s="104" t="n"/>
      <c r="I263" s="104" t="n"/>
      <c r="J263" s="104" t="n"/>
      <c r="K263" s="104" t="n"/>
      <c r="L263" s="104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104" t="n"/>
      <c r="E264" s="104" t="n"/>
      <c r="F264" s="104" t="n"/>
      <c r="G264" s="104" t="n"/>
      <c r="H264" s="104" t="n"/>
      <c r="I264" s="104" t="n"/>
      <c r="J264" s="104" t="n"/>
      <c r="K264" s="104" t="n"/>
      <c r="L264" s="104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104" t="n"/>
      <c r="E265" s="104" t="n"/>
      <c r="F265" s="104" t="n"/>
      <c r="G265" s="104" t="n"/>
      <c r="H265" s="104" t="n"/>
      <c r="I265" s="104" t="n"/>
      <c r="J265" s="104" t="n"/>
      <c r="K265" s="104" t="n"/>
      <c r="L265" s="104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104" t="n"/>
      <c r="E266" s="104" t="n"/>
      <c r="F266" s="104" t="n"/>
      <c r="G266" s="104" t="n"/>
      <c r="H266" s="104" t="n"/>
      <c r="I266" s="104" t="n"/>
      <c r="J266" s="104" t="n"/>
      <c r="K266" s="104" t="n"/>
      <c r="L266" s="104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104" t="n"/>
      <c r="E267" s="104" t="n"/>
      <c r="F267" s="104" t="n"/>
      <c r="G267" s="104" t="n"/>
      <c r="H267" s="104" t="n"/>
      <c r="I267" s="104" t="n"/>
      <c r="J267" s="104" t="n"/>
      <c r="K267" s="104" t="n"/>
      <c r="L267" s="104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104" t="n"/>
      <c r="E268" s="104" t="n"/>
      <c r="F268" s="104" t="n"/>
      <c r="G268" s="104" t="n"/>
      <c r="H268" s="104" t="n"/>
      <c r="I268" s="104" t="n"/>
      <c r="J268" s="104" t="n"/>
      <c r="K268" s="104" t="n"/>
      <c r="L268" s="104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104" t="n"/>
      <c r="E269" s="104" t="n"/>
      <c r="F269" s="104" t="n"/>
      <c r="G269" s="104" t="n"/>
      <c r="H269" s="104" t="n"/>
      <c r="I269" s="104" t="n"/>
      <c r="J269" s="104" t="n"/>
      <c r="K269" s="104" t="n"/>
      <c r="L269" s="104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104" t="n"/>
      <c r="E270" s="104" t="n"/>
      <c r="F270" s="104" t="n"/>
      <c r="G270" s="104" t="n"/>
      <c r="H270" s="104" t="n"/>
      <c r="I270" s="104" t="n"/>
      <c r="J270" s="104" t="n"/>
      <c r="K270" s="104" t="n"/>
      <c r="L270" s="104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104" t="n"/>
      <c r="E271" s="104" t="n"/>
      <c r="F271" s="104" t="n"/>
      <c r="G271" s="104" t="n"/>
      <c r="H271" s="104" t="n"/>
      <c r="I271" s="104" t="n"/>
      <c r="J271" s="104" t="n"/>
      <c r="K271" s="104" t="n"/>
      <c r="L271" s="104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104" t="n"/>
      <c r="E272" s="104" t="n"/>
      <c r="F272" s="104" t="n"/>
      <c r="G272" s="104" t="n"/>
      <c r="H272" s="104" t="n"/>
      <c r="I272" s="104" t="n"/>
      <c r="J272" s="104" t="n"/>
      <c r="K272" s="104" t="n"/>
      <c r="L272" s="104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 ht="15.75" customHeight="1" s="169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  <row r="1002" ht="15.75" customHeight="1" s="169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</row>
    <row r="1003" ht="15.75" customHeight="1" s="169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</row>
    <row r="1004" ht="15.75" customHeight="1" s="169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</row>
    <row r="1005" ht="15.75" customHeight="1" s="169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</row>
    <row r="1006" ht="15.75" customHeight="1" s="169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</row>
    <row r="1007" ht="15.75" customHeight="1" s="169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</row>
  </sheetData>
  <mergeCells count="1">
    <mergeCell ref="D1:L1"/>
  </mergeCells>
  <hyperlinks>
    <hyperlink xmlns:r="http://schemas.openxmlformats.org/officeDocument/2006/relationships" ref="B75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Z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10.11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Tasse e Imposte</t>
        </is>
      </c>
      <c r="C3" s="115">
        <f>SUM(D3:L3)</f>
        <v/>
      </c>
      <c r="D3" s="131">
        <f>SUM(D4:D135)</f>
        <v/>
      </c>
      <c r="E3" s="131">
        <f>SUM(E4:E135)</f>
        <v/>
      </c>
      <c r="F3" s="131">
        <f>SUM(F4:F135)</f>
        <v/>
      </c>
      <c r="G3" s="131">
        <f>SUM(G4:G135)</f>
        <v/>
      </c>
      <c r="H3" s="131">
        <f>SUM(H4:H135)</f>
        <v/>
      </c>
      <c r="I3" s="131">
        <f>SUM(I4:I135)</f>
        <v/>
      </c>
      <c r="J3" s="131">
        <f>SUM(J4:J135)</f>
        <v/>
      </c>
      <c r="K3" s="131">
        <f>SUM(K4:K135)</f>
        <v/>
      </c>
      <c r="L3" s="131">
        <f>SUM(L4:L135)</f>
        <v/>
      </c>
      <c r="M3" s="63" t="n"/>
      <c r="N3" s="63" t="n"/>
      <c r="O3" s="63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710104</v>
      </c>
      <c r="B4" s="133" t="inlineStr">
        <is>
          <t>IMU</t>
        </is>
      </c>
      <c r="C4" s="119">
        <f>SUM(D4:L4)</f>
        <v/>
      </c>
      <c r="D4" s="123" t="n"/>
      <c r="E4" s="123" t="n"/>
      <c r="F4" s="123" t="n">
        <v>5325</v>
      </c>
      <c r="G4" s="123" t="n"/>
      <c r="H4" s="123" t="n"/>
      <c r="I4" s="123" t="n"/>
      <c r="J4" s="123" t="n"/>
      <c r="K4" s="123" t="n"/>
      <c r="L4" s="12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630511</v>
      </c>
      <c r="B5" s="134" t="inlineStr">
        <is>
          <t>IMPOSTE</t>
        </is>
      </c>
      <c r="C5" s="125">
        <f>SUM(D5:L5)</f>
        <v/>
      </c>
      <c r="D5" s="128" t="n"/>
      <c r="E5" s="128" t="n"/>
      <c r="F5" s="128" t="n"/>
      <c r="G5" s="128" t="n">
        <v>7500</v>
      </c>
      <c r="H5" s="128" t="n"/>
      <c r="I5" s="128" t="n"/>
      <c r="J5" s="128" t="n"/>
      <c r="K5" s="128" t="n"/>
      <c r="L5" s="128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630519</v>
      </c>
      <c r="B6" s="134" t="inlineStr">
        <is>
          <t xml:space="preserve">TARI HOTEL </t>
        </is>
      </c>
      <c r="C6" s="125">
        <f>SUM(D6:L6)</f>
        <v/>
      </c>
      <c r="D6" s="128" t="n"/>
      <c r="E6" s="128" t="n"/>
      <c r="F6" s="128" t="n"/>
      <c r="G6" s="128" t="n">
        <v>0</v>
      </c>
      <c r="H6" s="128" t="n"/>
      <c r="I6" s="128" t="n"/>
      <c r="J6" s="128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350101</v>
      </c>
      <c r="B7" s="134" t="inlineStr">
        <is>
          <t>IVA</t>
        </is>
      </c>
      <c r="C7" s="125">
        <f>SUM(D7:L7)</f>
        <v/>
      </c>
      <c r="D7" s="128" t="n"/>
      <c r="E7" s="128" t="n"/>
      <c r="F7" s="128" t="n"/>
      <c r="G7" s="128" t="n">
        <v>50000</v>
      </c>
      <c r="H7" s="128" t="n"/>
      <c r="I7" s="128" t="n"/>
      <c r="J7" s="128" t="n">
        <v>10000</v>
      </c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350305</v>
      </c>
      <c r="B8" s="134" t="inlineStr">
        <is>
          <t>RITENUTE PROFESSIONISTI (1040)</t>
        </is>
      </c>
      <c r="C8" s="125" t="n"/>
      <c r="D8" s="154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1" t="n"/>
      <c r="N8" s="151" t="n"/>
      <c r="O8" s="151" t="n"/>
      <c r="P8" s="151" t="n"/>
      <c r="Q8" s="151" t="n"/>
      <c r="R8" s="151" t="n"/>
      <c r="S8" s="151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390590</v>
      </c>
      <c r="B9" s="134" t="inlineStr">
        <is>
          <t>IMPOSTA DI SOGGIORNO HP</t>
        </is>
      </c>
      <c r="C9" s="125">
        <f>SUM(D9:L9)</f>
        <v/>
      </c>
      <c r="D9" s="128" t="n"/>
      <c r="E9" s="128" t="n"/>
      <c r="F9" s="128" t="n">
        <v>12300</v>
      </c>
      <c r="G9" s="128" t="n">
        <v>15000</v>
      </c>
      <c r="H9" s="128" t="n">
        <v>15400</v>
      </c>
      <c r="I9" s="128" t="n">
        <v>19000</v>
      </c>
      <c r="J9" s="128" t="n">
        <v>17500</v>
      </c>
      <c r="K9" s="128" t="n">
        <v>10000</v>
      </c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4" t="inlineStr">
        <is>
          <t>IMPOSTA DI SOGGIORNO AR</t>
        </is>
      </c>
      <c r="C10" s="125">
        <f>SUM(D10:L10)</f>
        <v/>
      </c>
      <c r="D10" s="128" t="n"/>
      <c r="E10" s="128" t="n"/>
      <c r="F10" s="128" t="n">
        <v>1210</v>
      </c>
      <c r="G10" s="128" t="n">
        <v>2400</v>
      </c>
      <c r="H10" s="128" t="n">
        <v>2900</v>
      </c>
      <c r="I10" s="128" t="n">
        <v>2700</v>
      </c>
      <c r="J10" s="128" t="n">
        <v>2030</v>
      </c>
      <c r="K10" s="128" t="n">
        <v>1380</v>
      </c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>
        <v>390593</v>
      </c>
      <c r="B11" s="134" t="inlineStr">
        <is>
          <t>IMPOSTA DI SOGGIORNO CVM</t>
        </is>
      </c>
      <c r="C11" s="125">
        <f>SUM(D11:L11)</f>
        <v/>
      </c>
      <c r="D11" s="128" t="n"/>
      <c r="E11" s="128" t="n"/>
      <c r="F11" s="128" t="n">
        <v>870</v>
      </c>
      <c r="G11" s="128" t="n">
        <v>1100</v>
      </c>
      <c r="H11" s="128" t="n">
        <v>1100</v>
      </c>
      <c r="I11" s="128" t="n">
        <v>1800</v>
      </c>
      <c r="J11" s="128" t="n">
        <v>1200</v>
      </c>
      <c r="K11" s="128" t="n">
        <v>750</v>
      </c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75" t="n">
        <v>630519</v>
      </c>
      <c r="B12" s="137" t="inlineStr">
        <is>
          <t>TARI RESIDENCE</t>
        </is>
      </c>
      <c r="C12" s="125">
        <f>SUM(D12:L12)</f>
        <v/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M12" s="151" t="n"/>
      <c r="N12" s="151" t="n"/>
      <c r="O12" s="151" t="n"/>
      <c r="P12" s="151" t="n"/>
      <c r="Q12" s="151" t="n"/>
      <c r="R12" s="151" t="n"/>
      <c r="S12" s="151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B13" s="137" t="inlineStr">
        <is>
          <t>TARI CVM</t>
        </is>
      </c>
      <c r="C13" s="125">
        <f>SUM(D13:L13)</f>
        <v/>
      </c>
      <c r="D13" s="154" t="n"/>
      <c r="E13" s="154" t="n"/>
      <c r="F13" s="154" t="n"/>
      <c r="G13" s="154" t="n"/>
      <c r="H13" s="154" t="n"/>
      <c r="I13" s="154" t="n"/>
      <c r="J13" s="154" t="n"/>
      <c r="K13" s="154" t="n"/>
      <c r="L13" s="154" t="n"/>
      <c r="M13" s="151" t="n"/>
      <c r="N13" s="151" t="n"/>
      <c r="O13" s="151" t="n"/>
      <c r="P13" s="151" t="n"/>
      <c r="Q13" s="151" t="n"/>
      <c r="R13" s="151" t="n"/>
      <c r="S13" s="151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B14" s="137" t="inlineStr">
        <is>
          <t>IRES/IRAP</t>
        </is>
      </c>
      <c r="C14" s="125">
        <f>SUM(D14:L14)</f>
        <v/>
      </c>
      <c r="D14" s="154" t="n"/>
      <c r="E14" s="154" t="n"/>
      <c r="F14" s="154" t="n">
        <v>121000</v>
      </c>
      <c r="G14" s="154" t="n"/>
      <c r="H14" s="154" t="n"/>
      <c r="I14" s="154" t="n"/>
      <c r="J14" s="154" t="n"/>
      <c r="K14" s="154" t="n"/>
      <c r="L14" s="154" t="n"/>
      <c r="M14" s="151" t="n"/>
      <c r="N14" s="151" t="n"/>
      <c r="O14" s="151" t="n"/>
      <c r="P14" s="151" t="n"/>
      <c r="Q14" s="151" t="n"/>
      <c r="R14" s="151" t="n"/>
      <c r="S14" s="151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3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146" t="n"/>
      <c r="B69" s="147" t="n"/>
      <c r="C69" s="125">
        <f>SUM(D69:L69)</f>
        <v/>
      </c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104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D1:L1"/>
    <mergeCell ref="A12:A1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Commisisoni Portali</t>
        </is>
      </c>
      <c r="C3" s="115">
        <f>SUM(D3:L3)</f>
        <v/>
      </c>
      <c r="D3" s="131">
        <f>SUM(D4:D130)</f>
        <v/>
      </c>
      <c r="E3" s="131">
        <f>SUM(E4:E130)</f>
        <v/>
      </c>
      <c r="F3" s="131">
        <f>SUM(F4:F130)</f>
        <v/>
      </c>
      <c r="G3" s="131">
        <f>SUM(G4:G130)</f>
        <v/>
      </c>
      <c r="H3" s="131">
        <f>SUM(H4:H130)</f>
        <v/>
      </c>
      <c r="I3" s="131">
        <f>SUM(I4:I130)</f>
        <v/>
      </c>
      <c r="J3" s="131">
        <f>SUM(J4:J130)</f>
        <v/>
      </c>
      <c r="K3" s="131">
        <f>SUM(K4:K130)</f>
        <v/>
      </c>
      <c r="L3" s="131">
        <f>SUM(L4:L130)</f>
        <v/>
      </c>
      <c r="M3" s="63" t="n"/>
      <c r="N3" s="63" t="n"/>
      <c r="O3" s="63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57010192</v>
      </c>
      <c r="B4" s="133" t="inlineStr">
        <is>
          <t xml:space="preserve">Commissioni Booking </t>
        </is>
      </c>
      <c r="C4" s="119">
        <f>SUM(D4:L4)</f>
        <v/>
      </c>
      <c r="D4" s="123" t="n"/>
      <c r="E4" s="128" t="n"/>
      <c r="F4" s="123" t="n">
        <v>16500</v>
      </c>
      <c r="G4" s="123" t="n">
        <v>32000</v>
      </c>
      <c r="H4" s="123" t="n">
        <v>37000</v>
      </c>
      <c r="I4" s="123" t="n">
        <v>4660</v>
      </c>
      <c r="J4" s="123" t="n">
        <v>28000</v>
      </c>
      <c r="K4" s="155" t="n">
        <v>14000</v>
      </c>
      <c r="L4" s="123" t="n">
        <v>700</v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57010192</v>
      </c>
      <c r="B5" s="134" t="inlineStr">
        <is>
          <t xml:space="preserve">Commissioni Expedia </t>
        </is>
      </c>
      <c r="C5" s="125">
        <f>SUM(D5:L5)</f>
        <v/>
      </c>
      <c r="D5" s="128" t="n"/>
      <c r="E5" s="128" t="n"/>
      <c r="F5" s="128" t="n">
        <v>6600</v>
      </c>
      <c r="G5" s="128" t="n">
        <v>7300</v>
      </c>
      <c r="H5" s="128" t="n">
        <v>6300</v>
      </c>
      <c r="I5" s="128" t="n">
        <v>5500</v>
      </c>
      <c r="J5" s="128" t="n"/>
      <c r="K5" s="128" t="n">
        <v>0</v>
      </c>
      <c r="L5" s="128" t="n">
        <v>7500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414</v>
      </c>
      <c r="B6" s="134" t="inlineStr">
        <is>
          <t>NEXI PAYMENTS S.p.A.</t>
        </is>
      </c>
      <c r="C6" s="125">
        <f>SUM(D6:L6)</f>
        <v/>
      </c>
      <c r="D6" s="154" t="n"/>
      <c r="E6" s="128" t="n"/>
      <c r="F6" s="128" t="n">
        <v>5.49</v>
      </c>
      <c r="G6" s="128" t="n"/>
      <c r="H6" s="128" t="n"/>
      <c r="I6" s="128" t="n"/>
      <c r="J6" s="154" t="n"/>
      <c r="K6" s="154" t="n"/>
      <c r="L6" s="154" t="n"/>
      <c r="M6" s="151" t="n"/>
      <c r="N6" s="151" t="n"/>
      <c r="O6" s="151" t="n"/>
      <c r="P6" s="151" t="n"/>
      <c r="Q6" s="151" t="n"/>
      <c r="R6" s="151" t="n"/>
      <c r="S6" s="151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/>
      <c r="B7" s="134" t="n"/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/>
      <c r="B8" s="134" t="n"/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/>
      <c r="B9" s="137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7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7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/>
      <c r="B12" s="137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4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104" t="n"/>
      <c r="C65" s="3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104" t="n"/>
      <c r="C66" s="3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104" t="n"/>
      <c r="C67" s="3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104" t="n"/>
      <c r="C68" s="3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5"/>
    <col width="11.11" customWidth="1" style="169" min="16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Mutui e Finanaziamenti</t>
        </is>
      </c>
      <c r="C3" s="115">
        <f>SUM(D3:L3)</f>
        <v/>
      </c>
      <c r="D3" s="131">
        <f>SUM(D4:D134)</f>
        <v/>
      </c>
      <c r="E3" s="131">
        <f>SUM(E4:E134)</f>
        <v/>
      </c>
      <c r="F3" s="131">
        <f>SUM(F4:F134)</f>
        <v/>
      </c>
      <c r="G3" s="131">
        <f>SUM(G4:G134)</f>
        <v/>
      </c>
      <c r="H3" s="131">
        <f>SUM(H4:H134)</f>
        <v/>
      </c>
      <c r="I3" s="131">
        <f>SUM(I4:I134)</f>
        <v/>
      </c>
      <c r="J3" s="131">
        <f>SUM(J4:J134)</f>
        <v/>
      </c>
      <c r="K3" s="131">
        <f>SUM(K4:K134)</f>
        <v/>
      </c>
      <c r="L3" s="131">
        <f>SUM(L4:L134)</f>
        <v/>
      </c>
      <c r="M3" s="63" t="n"/>
      <c r="N3" s="63" t="n"/>
      <c r="O3" s="6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310394</v>
      </c>
      <c r="B4" s="133" t="inlineStr">
        <is>
          <t xml:space="preserve">Mutuo MPS </t>
        </is>
      </c>
      <c r="C4" s="119">
        <f>SUM(D4:L4)</f>
        <v/>
      </c>
      <c r="D4" s="123" t="n"/>
      <c r="E4" s="123" t="n"/>
      <c r="F4" s="123" t="n">
        <v>166176</v>
      </c>
      <c r="G4" s="123" t="n"/>
      <c r="H4" s="123" t="n"/>
      <c r="I4" s="123" t="n"/>
      <c r="J4" s="123" t="n"/>
      <c r="K4" s="123" t="n"/>
      <c r="L4" s="123" t="n">
        <v>166176</v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310392</v>
      </c>
      <c r="B5" s="134" t="inlineStr">
        <is>
          <t>EX Muto Intesa (mps)</t>
        </is>
      </c>
      <c r="C5" s="125">
        <f>SUM(D5:L5)</f>
        <v/>
      </c>
      <c r="D5" s="128" t="n"/>
      <c r="E5" s="128" t="n"/>
      <c r="F5" s="128" t="n">
        <v>12231.88</v>
      </c>
      <c r="G5" s="128" t="n">
        <v>12265.38</v>
      </c>
      <c r="H5" s="128" t="n">
        <v>12264.67</v>
      </c>
      <c r="I5" s="128" t="n">
        <v>12233.4</v>
      </c>
      <c r="J5" s="128" t="n">
        <v>12263.24</v>
      </c>
      <c r="K5" s="128" t="n">
        <v>12234.42</v>
      </c>
      <c r="L5" s="128" t="n">
        <v>12261.8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310305</v>
      </c>
      <c r="B6" s="134" t="inlineStr">
        <is>
          <t>Finanziamento MPS 75k</t>
        </is>
      </c>
      <c r="C6" s="125">
        <f>SUM(D6:L6)</f>
        <v/>
      </c>
      <c r="D6" s="128" t="n"/>
      <c r="E6" s="128" t="n"/>
      <c r="F6" s="128" t="n">
        <v>1393.92</v>
      </c>
      <c r="G6" s="128" t="n">
        <v>1393.92</v>
      </c>
      <c r="H6" s="128" t="n">
        <v>1393.92</v>
      </c>
      <c r="I6" s="128" t="n">
        <v>1393.92</v>
      </c>
      <c r="J6" s="128" t="n">
        <v>1393.92</v>
      </c>
      <c r="K6" s="128" t="n">
        <v>1393.92</v>
      </c>
      <c r="L6" s="128" t="n">
        <v>1393.92</v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/>
      <c r="B7" s="137" t="n"/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/>
      <c r="B8" s="137" t="n"/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/>
      <c r="B9" s="137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7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7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/>
      <c r="B12" s="137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4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104" t="n"/>
      <c r="E220" s="104" t="n"/>
      <c r="F220" s="104" t="n"/>
      <c r="G220" s="104" t="n"/>
      <c r="H220" s="104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Consulenze</t>
        </is>
      </c>
      <c r="C3" s="115">
        <f>SUM(D3:L3)</f>
        <v/>
      </c>
      <c r="D3" s="131">
        <f>SUM(D4:D134)</f>
        <v/>
      </c>
      <c r="E3" s="131">
        <f>SUM(E4:E134)</f>
        <v/>
      </c>
      <c r="F3" s="131">
        <f>SUM(F4:F134)</f>
        <v/>
      </c>
      <c r="G3" s="131">
        <f>SUM(G4:G134)</f>
        <v/>
      </c>
      <c r="H3" s="131">
        <f>SUM(H4:H134)</f>
        <v/>
      </c>
      <c r="I3" s="131">
        <f>SUM(I4:I134)</f>
        <v/>
      </c>
      <c r="J3" s="131">
        <f>SUM(J4:J134)</f>
        <v/>
      </c>
      <c r="K3" s="131">
        <f>SUM(K4:K134)</f>
        <v/>
      </c>
      <c r="L3" s="131">
        <f>SUM(L4:L134)</f>
        <v/>
      </c>
      <c r="M3" s="63" t="n"/>
      <c r="N3" s="63" t="n"/>
      <c r="O3" s="63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61010191</v>
      </c>
      <c r="B4" s="133" t="inlineStr">
        <is>
          <t>Consulenza del lavoro</t>
        </is>
      </c>
      <c r="C4" s="119">
        <f>SUM(D4:L4)</f>
        <v/>
      </c>
      <c r="D4" s="123" t="n"/>
      <c r="E4" s="123" t="n"/>
      <c r="F4" s="123" t="n"/>
      <c r="G4" s="123" t="n">
        <v>2600</v>
      </c>
      <c r="H4" s="123" t="n"/>
      <c r="I4" s="123" t="n">
        <v>3700</v>
      </c>
      <c r="J4" s="123" t="n"/>
      <c r="K4" s="123" t="n">
        <v>0</v>
      </c>
      <c r="L4" s="12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610101</v>
      </c>
      <c r="B5" s="134" t="inlineStr">
        <is>
          <t>Consulenza fiscale</t>
        </is>
      </c>
      <c r="C5" s="125">
        <f>SUM(D5:L5)</f>
        <v/>
      </c>
      <c r="D5" s="123" t="n"/>
      <c r="E5" s="123" t="n"/>
      <c r="F5" s="123" t="n"/>
      <c r="G5" s="123" t="n">
        <v>5000</v>
      </c>
      <c r="H5" s="123" t="n"/>
      <c r="I5" s="128" t="n">
        <v>5000</v>
      </c>
      <c r="J5" s="128" t="n"/>
      <c r="K5" s="128" t="n"/>
      <c r="L5" s="128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610105</v>
      </c>
      <c r="B6" s="134" t="inlineStr">
        <is>
          <t>Consulenza legale</t>
        </is>
      </c>
      <c r="C6" s="125">
        <f>SUM(D6:L6)</f>
        <v/>
      </c>
      <c r="D6" s="123" t="n"/>
      <c r="E6" s="123" t="n"/>
      <c r="F6" s="123" t="n">
        <v>3522.9</v>
      </c>
      <c r="G6" s="123" t="n">
        <v>15000</v>
      </c>
      <c r="H6" s="123" t="n">
        <v>2292.04</v>
      </c>
      <c r="I6" s="128" t="n">
        <v>15000</v>
      </c>
      <c r="J6" s="136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610107</v>
      </c>
      <c r="B7" s="134" t="inlineStr">
        <is>
          <t>Consulenza notarile</t>
        </is>
      </c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1549</v>
      </c>
      <c r="B8" s="134" t="inlineStr">
        <is>
          <t>Team Work</t>
        </is>
      </c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630515</v>
      </c>
      <c r="B9" s="134" t="inlineStr">
        <is>
          <t>Polizza Generali</t>
        </is>
      </c>
      <c r="C9" s="125">
        <f>SUM(D9:L9)</f>
        <v/>
      </c>
      <c r="D9" s="128" t="n"/>
      <c r="E9" s="128" t="n"/>
      <c r="F9" s="128" t="n"/>
      <c r="G9" s="128" t="n">
        <v>9000</v>
      </c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4" t="inlineStr">
        <is>
          <t>Hospitality Project</t>
        </is>
      </c>
      <c r="C10" s="125">
        <f>SUM(D10:L10)</f>
        <v/>
      </c>
      <c r="D10" s="128" t="n"/>
      <c r="E10" s="128" t="n"/>
      <c r="F10" s="128" t="n">
        <v>3416</v>
      </c>
      <c r="G10" s="128" t="n">
        <v>3416</v>
      </c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>
        <v>1693</v>
      </c>
      <c r="B11" s="134" t="inlineStr">
        <is>
          <t>JoAnne Dunn Photographers</t>
        </is>
      </c>
      <c r="C11" s="125">
        <f>SUM(D11:L11)</f>
        <v/>
      </c>
      <c r="D11" s="136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>
        <v>132</v>
      </c>
      <c r="B12" s="137" t="inlineStr">
        <is>
          <t>STUDIO QUATTRO S.R.L.</t>
        </is>
      </c>
      <c r="C12" s="125">
        <f>SUM(D12:L12)</f>
        <v/>
      </c>
      <c r="D12" s="128" t="n"/>
      <c r="E12" s="128" t="n"/>
      <c r="F12" s="128" t="n"/>
      <c r="G12" s="128" t="n">
        <v>1742.16</v>
      </c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4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39" t="inlineStr">
        <is>
          <t>APRILE</t>
        </is>
      </c>
      <c r="E2" s="139" t="inlineStr">
        <is>
          <t>MAGGIO</t>
        </is>
      </c>
      <c r="F2" s="139" t="inlineStr">
        <is>
          <t>GIUGNO</t>
        </is>
      </c>
      <c r="G2" s="139" t="inlineStr">
        <is>
          <t>LUGLIO</t>
        </is>
      </c>
      <c r="H2" s="139" t="inlineStr">
        <is>
          <t>AGOSTO</t>
        </is>
      </c>
      <c r="I2" s="139" t="inlineStr">
        <is>
          <t>SETTEMBRE</t>
        </is>
      </c>
      <c r="J2" s="139" t="inlineStr">
        <is>
          <t>OTTOBRE</t>
        </is>
      </c>
      <c r="K2" s="139" t="inlineStr">
        <is>
          <t>NOVEMBRE</t>
        </is>
      </c>
      <c r="L2" s="139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05" t="n"/>
      <c r="B3" s="106" t="n"/>
      <c r="C3" s="105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7" t="n"/>
      <c r="N3" s="17" t="n"/>
      <c r="O3" s="17" t="n"/>
      <c r="P3" s="17" t="n"/>
      <c r="Q3" s="17" t="n"/>
      <c r="R3" s="17" t="n"/>
      <c r="S3" s="17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14" t="n"/>
      <c r="B4" s="115" t="inlineStr">
        <is>
          <t>Gofimento Beni di Terzi</t>
        </is>
      </c>
      <c r="C4" s="115">
        <f>SUM(D4:L4)</f>
        <v/>
      </c>
      <c r="D4" s="116">
        <f>SUM(D5:D135)</f>
        <v/>
      </c>
      <c r="E4" s="116">
        <f>SUM(E5:E135)</f>
        <v/>
      </c>
      <c r="F4" s="116">
        <f>SUM(F5:F135)</f>
        <v/>
      </c>
      <c r="G4" s="116">
        <f>SUM(G5:G135)</f>
        <v/>
      </c>
      <c r="H4" s="116">
        <f>SUM(H5:H135)</f>
        <v/>
      </c>
      <c r="I4" s="116">
        <f>SUM(I5:I135)</f>
        <v/>
      </c>
      <c r="J4" s="116">
        <f>SUM(J5:J135)</f>
        <v/>
      </c>
      <c r="K4" s="116">
        <f>SUM(K5:K135)</f>
        <v/>
      </c>
      <c r="L4" s="116">
        <f>SUM(L5:L135)</f>
        <v/>
      </c>
      <c r="M4" s="3" t="n"/>
      <c r="N4" s="63" t="n"/>
      <c r="O4" s="63" t="n"/>
      <c r="P4" s="63" t="n"/>
      <c r="Q4" s="63" t="n"/>
      <c r="R4" s="63" t="n"/>
      <c r="S4" s="63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146" t="n">
        <v>651101</v>
      </c>
      <c r="B5" s="133" t="inlineStr">
        <is>
          <t>Fitto Ramo d' Azienda</t>
        </is>
      </c>
      <c r="C5" s="119">
        <f>SUM(D5:L5)</f>
        <v/>
      </c>
      <c r="D5" s="123" t="n"/>
      <c r="E5" s="123" t="n"/>
      <c r="F5" s="123" t="n">
        <v>446425.69</v>
      </c>
      <c r="G5" s="123" t="n">
        <v>122000</v>
      </c>
      <c r="H5" s="123" t="n"/>
      <c r="I5" s="123" t="n"/>
      <c r="J5" s="123" t="n"/>
      <c r="K5" s="123" t="n"/>
      <c r="L5" s="12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651101</v>
      </c>
      <c r="B6" s="134" t="inlineStr">
        <is>
          <t>Fitto AR</t>
        </is>
      </c>
      <c r="C6" s="125">
        <f>SUM(D6:L6)</f>
        <v/>
      </c>
      <c r="D6" s="128" t="n"/>
      <c r="E6" s="128" t="n"/>
      <c r="F6" s="128" t="n"/>
      <c r="G6" s="128" t="n"/>
      <c r="H6" s="128" t="n">
        <v>120000</v>
      </c>
      <c r="I6" s="128" t="n"/>
      <c r="J6" s="128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651101</v>
      </c>
      <c r="B7" s="134" t="inlineStr">
        <is>
          <t>Fitto CVM</t>
        </is>
      </c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>
        <v>100000</v>
      </c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/>
      <c r="B8" s="134" t="n"/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/>
      <c r="B9" s="137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7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7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/>
      <c r="B12" s="137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3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146" t="n"/>
      <c r="B69" s="147" t="n"/>
      <c r="C69" s="125">
        <f>SUM(D69:L69)</f>
        <v/>
      </c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104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0666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39" t="inlineStr">
        <is>
          <t>APRILE</t>
        </is>
      </c>
      <c r="E2" s="139" t="inlineStr">
        <is>
          <t>MAGGIO</t>
        </is>
      </c>
      <c r="F2" s="139" t="inlineStr">
        <is>
          <t>GIUGNO</t>
        </is>
      </c>
      <c r="G2" s="139" t="inlineStr">
        <is>
          <t>LUGLIO</t>
        </is>
      </c>
      <c r="H2" s="139" t="inlineStr">
        <is>
          <t>AGOSTO</t>
        </is>
      </c>
      <c r="I2" s="139" t="inlineStr">
        <is>
          <t>SETTEMBRE</t>
        </is>
      </c>
      <c r="J2" s="139" t="inlineStr">
        <is>
          <t>OTTOBRE</t>
        </is>
      </c>
      <c r="K2" s="139" t="inlineStr">
        <is>
          <t>NOVEMBRE</t>
        </is>
      </c>
      <c r="L2" s="139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05" t="n"/>
      <c r="B3" s="106" t="n"/>
      <c r="C3" s="105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7" t="n"/>
      <c r="N3" s="17" t="n"/>
      <c r="O3" s="17" t="n"/>
      <c r="P3" s="17" t="n"/>
      <c r="Q3" s="17" t="n"/>
      <c r="R3" s="17" t="n"/>
      <c r="S3" s="17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14" t="n"/>
      <c r="B4" s="115" t="inlineStr">
        <is>
          <t>Canoni e servizi</t>
        </is>
      </c>
      <c r="C4" s="115">
        <f>SUM(D4:L4)</f>
        <v/>
      </c>
      <c r="D4" s="116">
        <f>SUM(D5:D131)</f>
        <v/>
      </c>
      <c r="E4" s="116">
        <f>SUM(E5:E131)</f>
        <v/>
      </c>
      <c r="F4" s="116">
        <f>SUM(F5:F131)</f>
        <v/>
      </c>
      <c r="G4" s="116">
        <f>SUM(G5:G131)</f>
        <v/>
      </c>
      <c r="H4" s="116">
        <f>SUM(H5:H131)</f>
        <v/>
      </c>
      <c r="I4" s="116">
        <f>SUM(I5:I131)</f>
        <v/>
      </c>
      <c r="J4" s="116">
        <f>SUM(J5:J131)</f>
        <v/>
      </c>
      <c r="K4" s="116">
        <f>SUM(K5:K131)</f>
        <v/>
      </c>
      <c r="L4" s="116">
        <f>SUM(L5:L131)</f>
        <v/>
      </c>
      <c r="M4" s="63" t="n"/>
      <c r="N4" s="63" t="n"/>
      <c r="O4" s="63" t="n"/>
      <c r="P4" s="63" t="n"/>
      <c r="Q4" s="63" t="n"/>
      <c r="R4" s="63" t="n"/>
      <c r="S4" s="63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146" t="n">
        <v>12</v>
      </c>
      <c r="B5" s="133" t="inlineStr">
        <is>
          <t>Proxima Service</t>
        </is>
      </c>
      <c r="C5" s="119">
        <f>SUM(D5:L5)</f>
        <v/>
      </c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948</v>
      </c>
      <c r="B6" s="134" t="inlineStr">
        <is>
          <t>Hoxell</t>
        </is>
      </c>
      <c r="C6" s="125">
        <f>SUM(D6:L6)</f>
        <v/>
      </c>
      <c r="D6" s="136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10</v>
      </c>
      <c r="B7" s="134" t="inlineStr">
        <is>
          <t>Sistemi (E_solver)</t>
        </is>
      </c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/>
      <c r="B8" s="134" t="inlineStr">
        <is>
          <t xml:space="preserve">Zucchetti </t>
        </is>
      </c>
      <c r="C8" s="125">
        <f>SUM(D8:L8)</f>
        <v/>
      </c>
      <c r="D8" s="128" t="n"/>
      <c r="E8" s="128" t="n"/>
      <c r="F8" s="128" t="n"/>
      <c r="G8" s="128" t="n">
        <v>152.5</v>
      </c>
      <c r="H8" s="128" t="n"/>
      <c r="I8" s="128" t="n"/>
      <c r="J8" s="128" t="n"/>
      <c r="K8" s="128" t="n"/>
      <c r="L8" s="128" t="n">
        <v>16600</v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1270</v>
      </c>
      <c r="B9" s="134" t="inlineStr">
        <is>
          <t>BESTRANK SOCIETA' A</t>
        </is>
      </c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>
        <v>81</v>
      </c>
      <c r="B10" s="134" t="inlineStr">
        <is>
          <t>PLAN ITALIA S.R.L.</t>
        </is>
      </c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4" t="inlineStr">
        <is>
          <t>Altamira</t>
        </is>
      </c>
      <c r="C11" s="125">
        <f>SUM(D11:L11)</f>
        <v/>
      </c>
      <c r="D11" s="128" t="n"/>
      <c r="E11" s="128" t="n"/>
      <c r="F11" s="128">
        <f>310*1.22</f>
        <v/>
      </c>
      <c r="G11" s="128">
        <f>310*1.22</f>
        <v/>
      </c>
      <c r="H11" s="128">
        <f>310*1.22</f>
        <v/>
      </c>
      <c r="I11" s="128">
        <f>310*1.22</f>
        <v/>
      </c>
      <c r="J11" s="128">
        <f>310*1.22</f>
        <v/>
      </c>
      <c r="K11" s="128">
        <f>310*1.22</f>
        <v/>
      </c>
      <c r="L11" s="128">
        <f>310*1.22</f>
        <v/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>
        <v>750195</v>
      </c>
      <c r="B12" s="134" t="inlineStr">
        <is>
          <t>Commissioni Transato Pos</t>
        </is>
      </c>
      <c r="C12" s="125">
        <f>SUM(D12:L12)</f>
        <v/>
      </c>
      <c r="D12" s="128" t="n"/>
      <c r="E12" s="128" t="n"/>
      <c r="F12" s="128" t="n">
        <v>15731.32</v>
      </c>
      <c r="G12" s="128" t="n">
        <v>7362.04</v>
      </c>
      <c r="H12" s="128" t="n">
        <v>813.88</v>
      </c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>
        <v>76</v>
      </c>
      <c r="B13" s="134" t="inlineStr">
        <is>
          <t>Soft tecnology</t>
        </is>
      </c>
      <c r="C13" s="125">
        <f>SUM(D13:L13)</f>
        <v/>
      </c>
      <c r="D13" s="128" t="n"/>
      <c r="E13" s="128" t="n"/>
      <c r="F13" s="128" t="n"/>
      <c r="G13" s="128" t="n">
        <v>742.86</v>
      </c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>
        <v>750107</v>
      </c>
      <c r="B14" s="134" t="inlineStr">
        <is>
          <t>Commissioni e spese Bancarie Varie(Imposta di bollo/tenuta conto/bonifici/etc )</t>
        </is>
      </c>
      <c r="C14" s="125">
        <f>SUM(D14:L14)</f>
        <v/>
      </c>
      <c r="D14" s="128" t="n"/>
      <c r="E14" s="128" t="n"/>
      <c r="F14" s="128" t="n"/>
      <c r="G14" s="128" t="n"/>
      <c r="H14" s="128" t="n">
        <v>2000</v>
      </c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>
        <v>1076</v>
      </c>
      <c r="B15" s="157" t="inlineStr">
        <is>
          <t>Noleggio Tesla</t>
        </is>
      </c>
      <c r="C15" s="125">
        <f>SUM(D15:L15)</f>
        <v/>
      </c>
      <c r="D15" s="128" t="n"/>
      <c r="E15" s="128" t="n"/>
      <c r="F15" s="128" t="n"/>
      <c r="G15" s="128" t="n">
        <v>1030.64</v>
      </c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>
        <v>1276</v>
      </c>
      <c r="B16" s="157" t="inlineStr">
        <is>
          <t>Alba Leasing S.P.A.</t>
        </is>
      </c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>
        <v>137</v>
      </c>
      <c r="B17" s="137" t="inlineStr">
        <is>
          <t>Primavera Servizi Srl</t>
        </is>
      </c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>
        <v>630515</v>
      </c>
      <c r="B18" s="157" t="inlineStr">
        <is>
          <t>Polizza Generali</t>
        </is>
      </c>
      <c r="C18" s="125">
        <f>SUM(D18:L18)</f>
        <v/>
      </c>
      <c r="D18" s="128" t="n"/>
      <c r="E18" s="128" t="n"/>
      <c r="F18" s="128" t="n"/>
      <c r="G18" s="128" t="n">
        <v>9000</v>
      </c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>
        <v>52</v>
      </c>
      <c r="B19" s="137" t="inlineStr">
        <is>
          <t>Aruba</t>
        </is>
      </c>
      <c r="C19" s="125">
        <f>SUM(D19:L19)</f>
        <v/>
      </c>
      <c r="D19" s="128" t="n"/>
      <c r="E19" s="128" t="n"/>
      <c r="F19" s="128" t="n">
        <v>14.52</v>
      </c>
      <c r="G19" s="128" t="n">
        <v>12.08</v>
      </c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>
        <v>654</v>
      </c>
      <c r="B20" s="137" t="inlineStr">
        <is>
          <t>GOOGLE CLOUD ITALY S.R.L.</t>
        </is>
      </c>
      <c r="C20" s="125">
        <f>SUM(D20:L20)</f>
        <v/>
      </c>
      <c r="D20" s="128" t="n"/>
      <c r="E20" s="128" t="n"/>
      <c r="F20" s="128" t="n">
        <v>10.58</v>
      </c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>
        <v>1222</v>
      </c>
      <c r="B21" s="137" t="inlineStr">
        <is>
          <t>Pietra Di Luna Hotel - S.R.L.</t>
        </is>
      </c>
      <c r="C21" s="125">
        <f>SUM(D21:L21)</f>
        <v/>
      </c>
      <c r="D21" s="128" t="n"/>
      <c r="E21" s="128" t="n"/>
      <c r="F21" s="128" t="n">
        <v>573.4</v>
      </c>
      <c r="G21" s="128" t="n">
        <v>347.7</v>
      </c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47" t="n"/>
      <c r="C66" s="125">
        <f>SUM(D66:L66)</f>
        <v/>
      </c>
      <c r="D66" s="158" t="n"/>
      <c r="E66" s="158" t="n"/>
      <c r="F66" s="158" t="n"/>
      <c r="G66" s="158" t="n"/>
      <c r="H66" s="158" t="n"/>
      <c r="I66" s="158" t="n"/>
      <c r="J66" s="158" t="n"/>
      <c r="K66" s="158" t="n"/>
      <c r="L66" s="15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104" t="n"/>
      <c r="C67" s="3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104" t="n"/>
      <c r="C68" s="3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A9999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6" t="n">
        <v>2026</v>
      </c>
      <c r="H1" s="177" t="n"/>
      <c r="I1" s="178" t="n"/>
      <c r="J1" s="179" t="n"/>
      <c r="K1" s="179" t="n"/>
      <c r="L1" s="179" t="n"/>
      <c r="M1" s="179" t="n"/>
      <c r="N1" s="179" t="n"/>
      <c r="O1" s="180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63" t="n"/>
      <c r="N2" s="164" t="n"/>
      <c r="O2" s="164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Variee ed Eventuali</t>
        </is>
      </c>
      <c r="C3" s="115">
        <f>SUM(D3:L3)</f>
        <v/>
      </c>
      <c r="D3" s="131">
        <f>SUM(D4:D134)</f>
        <v/>
      </c>
      <c r="E3" s="131">
        <f>SUM(E4:E134)</f>
        <v/>
      </c>
      <c r="F3" s="131">
        <f>SUM(F4:F134)</f>
        <v/>
      </c>
      <c r="G3" s="131">
        <f>SUM(G4:G134)</f>
        <v/>
      </c>
      <c r="H3" s="131">
        <f>SUM(H4:H134)</f>
        <v/>
      </c>
      <c r="I3" s="131">
        <f>SUM(I4:I134)</f>
        <v/>
      </c>
      <c r="J3" s="131">
        <f>SUM(J4:J134)</f>
        <v/>
      </c>
      <c r="K3" s="131">
        <f>SUM(K4:K134)</f>
        <v/>
      </c>
      <c r="L3" s="131">
        <f>SUM(L4:L134)</f>
        <v/>
      </c>
      <c r="M3" s="165" t="n"/>
      <c r="N3" s="165" t="n"/>
      <c r="O3" s="165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801</v>
      </c>
      <c r="B4" s="166" t="inlineStr">
        <is>
          <t>A. MIGLIORE S.R.L.</t>
        </is>
      </c>
      <c r="C4" s="119">
        <f>SUM(D4:L4)</f>
        <v/>
      </c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35" t="n"/>
      <c r="N4" s="135" t="n"/>
      <c r="O4" s="135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650107</v>
      </c>
      <c r="B5" s="166" t="inlineStr">
        <is>
          <t>Spese Condominiali</t>
        </is>
      </c>
      <c r="C5" s="125">
        <f>SUM(D5:L5)</f>
        <v/>
      </c>
      <c r="D5" s="128" t="n"/>
      <c r="E5" s="128" t="n"/>
      <c r="F5" s="128" t="n">
        <v>42534.57</v>
      </c>
      <c r="G5" s="128" t="n">
        <v>42534.57</v>
      </c>
      <c r="H5" s="128" t="n"/>
      <c r="I5" s="128" t="n"/>
      <c r="J5" s="128" t="n"/>
      <c r="K5" s="128" t="n"/>
      <c r="L5" s="128" t="n"/>
      <c r="M5" s="167" t="n"/>
      <c r="N5" s="167" t="n"/>
      <c r="O5" s="167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1080</v>
      </c>
      <c r="B6" s="137" t="inlineStr">
        <is>
          <t>AUTOSTRADE PER L'ITALIA S.P.A.</t>
        </is>
      </c>
      <c r="C6" s="125">
        <f>SUM(D6:L6)</f>
        <v/>
      </c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67" t="n"/>
      <c r="N6" s="167" t="n"/>
      <c r="O6" s="167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795</v>
      </c>
      <c r="B7" s="137" t="inlineStr">
        <is>
          <t>DEL RISPARMIO</t>
        </is>
      </c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68" t="n"/>
      <c r="N7" s="168" t="n"/>
      <c r="O7" s="168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1625</v>
      </c>
      <c r="B8" s="137" t="inlineStr">
        <is>
          <t>EDILIZIA ED</t>
        </is>
      </c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68" t="n"/>
      <c r="N8" s="168" t="n"/>
      <c r="O8" s="168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127</v>
      </c>
      <c r="B9" s="137" t="inlineStr">
        <is>
          <t>FEIO S.R.L.</t>
        </is>
      </c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68" t="n"/>
      <c r="N9" s="168" t="n"/>
      <c r="O9" s="168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>
        <v>647</v>
      </c>
      <c r="B10" s="137" t="inlineStr">
        <is>
          <t>H &amp; M HENNES &amp; MAURITZ S.R.L.</t>
        </is>
      </c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68" t="n"/>
      <c r="N10" s="168" t="n"/>
      <c r="O10" s="168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>
        <v>1629</v>
      </c>
      <c r="B11" s="137" t="inlineStr">
        <is>
          <t>Mana  srls</t>
        </is>
      </c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68" t="n"/>
      <c r="N11" s="168" t="n"/>
      <c r="O11" s="168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>
        <v>1626</v>
      </c>
      <c r="B12" s="137" t="inlineStr">
        <is>
          <t>ROSANTO S.R.L.</t>
        </is>
      </c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67" t="n"/>
      <c r="N12" s="167" t="n"/>
      <c r="O12" s="167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>
        <v>1638</v>
      </c>
      <c r="B13" s="137" t="inlineStr">
        <is>
          <t>CENTRO MODA S.R.L.</t>
        </is>
      </c>
      <c r="C13" s="125">
        <f>SUM(D13:L13)</f>
        <v/>
      </c>
      <c r="D13" s="128" t="n"/>
      <c r="E13" s="128" t="n"/>
      <c r="F13" s="128" t="n">
        <v>1997.01</v>
      </c>
      <c r="G13" s="128" t="n"/>
      <c r="H13" s="128" t="n"/>
      <c r="I13" s="128" t="n"/>
      <c r="J13" s="128" t="n"/>
      <c r="K13" s="128" t="n"/>
      <c r="L13" s="128" t="n"/>
      <c r="M13" s="168" t="n"/>
      <c r="N13" s="168" t="n"/>
      <c r="O13" s="168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>
        <v>1646</v>
      </c>
      <c r="B14" s="137" t="inlineStr">
        <is>
          <t>DIECI S.R.L.S.</t>
        </is>
      </c>
      <c r="C14" s="125">
        <f>SUM(D14:L14)</f>
        <v/>
      </c>
      <c r="D14" s="128" t="n"/>
      <c r="E14" s="128" t="n"/>
      <c r="F14" s="128" t="n">
        <v>198.01</v>
      </c>
      <c r="G14" s="128" t="n"/>
      <c r="H14" s="128" t="n"/>
      <c r="I14" s="128" t="n"/>
      <c r="J14" s="128" t="n"/>
      <c r="K14" s="128" t="n"/>
      <c r="L14" s="128" t="n"/>
      <c r="M14" s="168" t="n"/>
      <c r="N14" s="168" t="n"/>
      <c r="O14" s="168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>
        <v>1647</v>
      </c>
      <c r="B15" s="137" t="inlineStr">
        <is>
          <t>HAIR GALLERY EUROPE SRL</t>
        </is>
      </c>
      <c r="C15" s="125">
        <f>SUM(D15:L15)</f>
        <v/>
      </c>
      <c r="D15" s="128" t="n"/>
      <c r="E15" s="128" t="n"/>
      <c r="F15" s="128" t="n">
        <v>15.84</v>
      </c>
      <c r="G15" s="128" t="n"/>
      <c r="H15" s="128" t="n"/>
      <c r="I15" s="128" t="n"/>
      <c r="J15" s="128" t="n"/>
      <c r="K15" s="128" t="n"/>
      <c r="L15" s="128" t="n"/>
      <c r="M15" s="168" t="n"/>
      <c r="N15" s="168" t="n"/>
      <c r="O15" s="168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>
        <v>179</v>
      </c>
      <c r="B16" s="137" t="inlineStr">
        <is>
          <t>FERRIGNO MARIA C S N C</t>
        </is>
      </c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68" t="n"/>
      <c r="N16" s="168" t="n"/>
      <c r="O16" s="168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>
        <v>744</v>
      </c>
      <c r="B17" s="137" t="inlineStr">
        <is>
          <t>Nola Ferramenta Srl</t>
        </is>
      </c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68" t="n"/>
      <c r="N17" s="168" t="n"/>
      <c r="O17" s="168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>
        <v>1036</v>
      </c>
      <c r="B18" s="137" t="inlineStr">
        <is>
          <t>Re Denari di Marco Oliva &amp; C. Sas</t>
        </is>
      </c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68" t="n"/>
      <c r="N18" s="168" t="n"/>
      <c r="O18" s="168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>
        <v>70</v>
      </c>
      <c r="B19" s="137" t="inlineStr">
        <is>
          <t>MAGALDI LIFE SRL SOC. UNIP.</t>
        </is>
      </c>
      <c r="C19" s="125">
        <f>SUM(D19:L19)</f>
        <v/>
      </c>
      <c r="D19" s="128" t="n"/>
      <c r="E19" s="128" t="n"/>
      <c r="F19" s="128" t="n">
        <v>206.47</v>
      </c>
      <c r="G19" s="128" t="n"/>
      <c r="H19" s="128" t="n"/>
      <c r="I19" s="128" t="n"/>
      <c r="J19" s="128" t="n"/>
      <c r="K19" s="128" t="n"/>
      <c r="L19" s="128" t="n"/>
      <c r="M19" s="168" t="n"/>
      <c r="N19" s="168" t="n"/>
      <c r="O19" s="168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>
        <v>1696</v>
      </c>
      <c r="B20" s="137" t="inlineStr">
        <is>
          <t>READYPRINT DI PIPITONE BRUNO</t>
        </is>
      </c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68" t="n"/>
      <c r="N20" s="168" t="n"/>
      <c r="O20" s="168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>
        <v>170</v>
      </c>
      <c r="B21" s="137" t="inlineStr">
        <is>
          <t>Leroy Merlin Italia srl</t>
        </is>
      </c>
      <c r="C21" s="125">
        <f>SUM(D21:L21)</f>
        <v/>
      </c>
      <c r="D21" s="128" t="n"/>
      <c r="E21" s="128" t="n"/>
      <c r="F21" s="128" t="n">
        <v>81.88</v>
      </c>
      <c r="G21" s="128" t="n"/>
      <c r="H21" s="128" t="n"/>
      <c r="I21" s="128" t="n"/>
      <c r="J21" s="128" t="n"/>
      <c r="K21" s="128" t="n"/>
      <c r="L21" s="128" t="n"/>
      <c r="M21" s="168" t="n"/>
      <c r="N21" s="168" t="n"/>
      <c r="O21" s="168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>
        <v>109</v>
      </c>
      <c r="B22" s="137" t="inlineStr">
        <is>
          <t>MEDIAMARKET S.P.A. CON SOCIO UNICO</t>
        </is>
      </c>
      <c r="C22" s="125">
        <f>SUM(D22:L22)</f>
        <v/>
      </c>
      <c r="D22" s="128" t="n"/>
      <c r="E22" s="128" t="n"/>
      <c r="F22" s="128" t="n">
        <v>213.88</v>
      </c>
      <c r="G22" s="128" t="n"/>
      <c r="H22" s="128" t="n"/>
      <c r="I22" s="128" t="n"/>
      <c r="J22" s="128" t="n"/>
      <c r="K22" s="128" t="n"/>
      <c r="L22" s="128" t="n"/>
      <c r="M22" s="168" t="n"/>
      <c r="N22" s="168" t="n"/>
      <c r="O22" s="168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>
        <v>123</v>
      </c>
      <c r="B23" s="137" t="inlineStr">
        <is>
          <t>PREGIS S.P.A.</t>
        </is>
      </c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68" t="n"/>
      <c r="N23" s="168" t="n"/>
      <c r="O23" s="168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>
        <v>1183</v>
      </c>
      <c r="B24" s="137" t="inlineStr">
        <is>
          <t>ADRA S.R.L.</t>
        </is>
      </c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68" t="n"/>
      <c r="N24" s="168" t="n"/>
      <c r="O24" s="168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>
        <v>618</v>
      </c>
      <c r="B25" s="137" t="inlineStr">
        <is>
          <t>Apple Retail Italia</t>
        </is>
      </c>
      <c r="C25" s="125">
        <f>SUM(D25:L25)</f>
        <v/>
      </c>
      <c r="D25" s="128" t="n"/>
      <c r="E25" s="128" t="n"/>
      <c r="F25" s="128" t="n">
        <v>22.5</v>
      </c>
      <c r="G25" s="128" t="n"/>
      <c r="H25" s="128" t="n"/>
      <c r="I25" s="128" t="n"/>
      <c r="J25" s="128" t="n"/>
      <c r="K25" s="128" t="n"/>
      <c r="L25" s="128" t="n"/>
      <c r="M25" s="168" t="n"/>
      <c r="N25" s="168" t="n"/>
      <c r="O25" s="168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>
        <v>1724</v>
      </c>
      <c r="B26" s="137" t="inlineStr">
        <is>
          <t>D.L. Brothers</t>
        </is>
      </c>
      <c r="C26" s="125">
        <f>SUM(D26:L26)</f>
        <v/>
      </c>
      <c r="D26" s="128" t="n"/>
      <c r="E26" s="128" t="n"/>
      <c r="F26" s="128" t="n">
        <v>296.56</v>
      </c>
      <c r="G26" s="128" t="n"/>
      <c r="H26" s="128" t="n"/>
      <c r="I26" s="128" t="n"/>
      <c r="J26" s="128" t="n"/>
      <c r="K26" s="128" t="n"/>
      <c r="L26" s="128" t="n"/>
      <c r="M26" s="168" t="n"/>
      <c r="N26" s="168" t="n"/>
      <c r="O26" s="168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>
        <v>1748</v>
      </c>
      <c r="B27" s="137" t="inlineStr">
        <is>
          <t>Doctor Spy Societa' A Responsabilita' Limitata</t>
        </is>
      </c>
      <c r="C27" s="125">
        <f>SUM(D27:L27)</f>
        <v/>
      </c>
      <c r="D27" s="128" t="n"/>
      <c r="E27" s="128" t="n"/>
      <c r="F27" s="128" t="n">
        <v>600</v>
      </c>
      <c r="G27" s="128" t="n"/>
      <c r="H27" s="128" t="n"/>
      <c r="I27" s="128" t="n"/>
      <c r="J27" s="128" t="n"/>
      <c r="K27" s="128" t="n"/>
      <c r="L27" s="128" t="n"/>
      <c r="M27" s="168" t="n"/>
      <c r="N27" s="168" t="n"/>
      <c r="O27" s="168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68" t="n"/>
      <c r="N28" s="168" t="n"/>
      <c r="O28" s="168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68" t="n"/>
      <c r="N29" s="168" t="n"/>
      <c r="O29" s="168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68" t="n"/>
      <c r="N30" s="168" t="n"/>
      <c r="O30" s="168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68" t="n"/>
      <c r="N31" s="168" t="n"/>
      <c r="O31" s="168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68" t="n"/>
      <c r="N32" s="168" t="n"/>
      <c r="O32" s="168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68" t="n"/>
      <c r="N33" s="168" t="n"/>
      <c r="O33" s="168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68" t="n"/>
      <c r="N34" s="168" t="n"/>
      <c r="O34" s="168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68" t="n"/>
      <c r="N35" s="168" t="n"/>
      <c r="O35" s="168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68" t="n"/>
      <c r="N36" s="168" t="n"/>
      <c r="O36" s="168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68" t="n"/>
      <c r="N37" s="168" t="n"/>
      <c r="O37" s="168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68" t="n"/>
      <c r="N38" s="168" t="n"/>
      <c r="O38" s="168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68" t="n"/>
      <c r="N39" s="168" t="n"/>
      <c r="O39" s="168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68" t="n"/>
      <c r="N40" s="168" t="n"/>
      <c r="O40" s="168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68" t="n"/>
      <c r="N41" s="168" t="n"/>
      <c r="O41" s="168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68" t="n"/>
      <c r="N42" s="168" t="n"/>
      <c r="O42" s="168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68" t="n"/>
      <c r="N43" s="168" t="n"/>
      <c r="O43" s="168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68" t="n"/>
      <c r="N44" s="168" t="n"/>
      <c r="O44" s="168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68" t="n"/>
      <c r="N45" s="168" t="n"/>
      <c r="O45" s="168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68" t="n"/>
      <c r="N46" s="168" t="n"/>
      <c r="O46" s="168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68" t="n"/>
      <c r="N47" s="168" t="n"/>
      <c r="O47" s="168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68" t="n"/>
      <c r="N48" s="168" t="n"/>
      <c r="O48" s="168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68" t="n"/>
      <c r="N49" s="168" t="n"/>
      <c r="O49" s="168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68" t="n"/>
      <c r="N50" s="168" t="n"/>
      <c r="O50" s="168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68" t="n"/>
      <c r="N51" s="168" t="n"/>
      <c r="O51" s="168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68" t="n"/>
      <c r="N52" s="168" t="n"/>
      <c r="O52" s="168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68" t="n"/>
      <c r="N53" s="168" t="n"/>
      <c r="O53" s="168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68" t="n"/>
      <c r="N54" s="168" t="n"/>
      <c r="O54" s="168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68" t="n"/>
      <c r="N55" s="168" t="n"/>
      <c r="O55" s="168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68" t="n"/>
      <c r="N56" s="168" t="n"/>
      <c r="O56" s="168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68" t="n"/>
      <c r="N57" s="168" t="n"/>
      <c r="O57" s="168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68" t="n"/>
      <c r="N58" s="168" t="n"/>
      <c r="O58" s="168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68" t="n"/>
      <c r="N59" s="168" t="n"/>
      <c r="O59" s="168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68" t="n"/>
      <c r="N60" s="168" t="n"/>
      <c r="O60" s="168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68" t="n"/>
      <c r="N61" s="168" t="n"/>
      <c r="O61" s="168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68" t="n"/>
      <c r="N62" s="168" t="n"/>
      <c r="O62" s="168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68" t="n"/>
      <c r="N63" s="168" t="n"/>
      <c r="O63" s="168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68" t="n"/>
      <c r="N64" s="168" t="n"/>
      <c r="O64" s="168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68" t="n"/>
      <c r="N65" s="168" t="n"/>
      <c r="O65" s="168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68" t="n"/>
      <c r="N66" s="168" t="n"/>
      <c r="O66" s="168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68" t="n"/>
      <c r="N67" s="168" t="n"/>
      <c r="O67" s="168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4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68" t="n"/>
      <c r="N68" s="168" t="n"/>
      <c r="O68" s="168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I1:O1"/>
    <mergeCell ref="D1:H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44" customWidth="1" style="169" min="2" max="2"/>
  </cols>
  <sheetData>
    <row r="1">
      <c r="A1" s="181" t="inlineStr">
        <is>
          <t>Fornitori NON mappati in d_fornitori.csv — assegnare una voce (hotelops fornitori) e rigenerare</t>
        </is>
      </c>
    </row>
    <row r="2">
      <c r="A2" s="181" t="inlineStr">
        <is>
          <t>Cod</t>
        </is>
      </c>
      <c r="B2" s="181" t="inlineStr">
        <is>
          <t>Nome (da export)</t>
        </is>
      </c>
      <c r="C2" s="181" t="inlineStr">
        <is>
          <t>GENNAIO</t>
        </is>
      </c>
      <c r="D2" s="181" t="inlineStr">
        <is>
          <t>FEBBRAIO</t>
        </is>
      </c>
      <c r="E2" s="181" t="inlineStr">
        <is>
          <t>MARZO</t>
        </is>
      </c>
      <c r="F2" s="181" t="inlineStr">
        <is>
          <t>APRILE</t>
        </is>
      </c>
      <c r="G2" s="181" t="inlineStr">
        <is>
          <t>MAGGIO</t>
        </is>
      </c>
      <c r="H2" s="181" t="inlineStr">
        <is>
          <t>GIUGNO</t>
        </is>
      </c>
      <c r="I2" s="181" t="inlineStr">
        <is>
          <t>LUGLIO</t>
        </is>
      </c>
      <c r="J2" s="181" t="inlineStr">
        <is>
          <t>AGOSTO</t>
        </is>
      </c>
      <c r="K2" s="181" t="inlineStr">
        <is>
          <t>SETTEMBRE</t>
        </is>
      </c>
      <c r="L2" s="181" t="inlineStr">
        <is>
          <t>OTTOBRE</t>
        </is>
      </c>
      <c r="M2" s="181" t="inlineStr">
        <is>
          <t>NOVEMBRE</t>
        </is>
      </c>
      <c r="N2" s="181" t="inlineStr">
        <is>
          <t>DICEMBRE</t>
        </is>
      </c>
    </row>
    <row r="3">
      <c r="A3" t="n">
        <v>1758</v>
      </c>
      <c r="B3" t="inlineStr">
        <is>
          <t>BRILY DI AVETA VINCENZO</t>
        </is>
      </c>
      <c r="H3" s="182" t="n">
        <v>14.23</v>
      </c>
    </row>
    <row r="4">
      <c r="A4" t="n">
        <v>369</v>
      </c>
      <c r="B4" t="inlineStr">
        <is>
          <t>CREATIVE IDEA S.N.C. DI DE MARTINO DIODATO &amp; C.</t>
        </is>
      </c>
      <c r="I4" s="182" t="n">
        <v>3111</v>
      </c>
    </row>
    <row r="5">
      <c r="A5" t="n">
        <v>1765</v>
      </c>
      <c r="B5" t="inlineStr">
        <is>
          <t>Fercolor s.r.l.</t>
        </is>
      </c>
      <c r="H5" s="182" t="n">
        <v>54.39</v>
      </c>
    </row>
    <row r="6">
      <c r="A6" t="n">
        <v>1773</v>
      </c>
      <c r="B6" t="inlineStr">
        <is>
          <t>Gruppo Adam s.r.l.</t>
        </is>
      </c>
      <c r="I6" s="182" t="n">
        <v>1499.9</v>
      </c>
    </row>
    <row r="7">
      <c r="A7" t="n">
        <v>1768</v>
      </c>
      <c r="B7" t="inlineStr">
        <is>
          <t>I.R.P.S. SRL</t>
        </is>
      </c>
      <c r="H7" s="182" t="n">
        <v>599.5</v>
      </c>
    </row>
    <row r="8">
      <c r="A8" t="n">
        <v>231</v>
      </c>
      <c r="B8" t="inlineStr">
        <is>
          <t>Ikea Italia Retail Srl</t>
        </is>
      </c>
      <c r="H8" s="182" t="n">
        <v>1039</v>
      </c>
    </row>
    <row r="9">
      <c r="A9" t="n">
        <v>1752</v>
      </c>
      <c r="B9" t="inlineStr">
        <is>
          <t>LO SCOGLIO DEI F.LLI DE SIMONE S.R.L.</t>
        </is>
      </c>
      <c r="H9" s="182" t="n">
        <v>600</v>
      </c>
    </row>
    <row r="10">
      <c r="A10" t="n">
        <v>1147</v>
      </c>
      <c r="B10" t="inlineStr">
        <is>
          <t>MINIERI MARIANO</t>
        </is>
      </c>
      <c r="I10" s="182" t="n">
        <v>90.16</v>
      </c>
    </row>
    <row r="11">
      <c r="A11" t="n">
        <v>1202</v>
      </c>
      <c r="B11" t="inlineStr">
        <is>
          <t>NILA S.R.L.</t>
        </is>
      </c>
      <c r="H11" s="182" t="n">
        <v>782.2</v>
      </c>
    </row>
    <row r="12">
      <c r="A12" t="n">
        <v>1764</v>
      </c>
      <c r="B12" t="inlineStr">
        <is>
          <t>OIP SRL</t>
        </is>
      </c>
      <c r="H12" s="182" t="n">
        <v>44.94</v>
      </c>
    </row>
    <row r="13">
      <c r="A13" t="n">
        <v>1759</v>
      </c>
      <c r="B13" t="inlineStr">
        <is>
          <t>PIROTECNICA PLATINUM S.R.L.S</t>
        </is>
      </c>
      <c r="H13" s="182" t="n">
        <v>23.45</v>
      </c>
    </row>
    <row r="14">
      <c r="A14" t="n">
        <v>1772</v>
      </c>
      <c r="B14" t="inlineStr">
        <is>
          <t>PROPAC S.R.L.</t>
        </is>
      </c>
      <c r="I14" s="182" t="n">
        <v>124.95</v>
      </c>
    </row>
    <row r="15">
      <c r="A15" t="n">
        <v>797</v>
      </c>
      <c r="B15" t="inlineStr">
        <is>
          <t>PUNTOFFICE DI CARDARELLI RITA</t>
        </is>
      </c>
      <c r="H15" s="182" t="n">
        <v>58</v>
      </c>
    </row>
    <row r="16">
      <c r="A16" t="n">
        <v>980</v>
      </c>
      <c r="B16" t="inlineStr">
        <is>
          <t>RISTORANTE O PADRONE DO'MARE DI DE SIANO GIACINTO &amp; C. SNC</t>
        </is>
      </c>
      <c r="I16" s="182" t="n">
        <v>178.99</v>
      </c>
    </row>
    <row r="17">
      <c r="A17" t="n">
        <v>1762</v>
      </c>
      <c r="B17" t="inlineStr">
        <is>
          <t>SORRENTINO GIOVANNI S.N.C. DI SORRENTINO PASQUALE &amp; C.</t>
        </is>
      </c>
      <c r="H17" s="182" t="n">
        <v>40.9</v>
      </c>
    </row>
    <row r="18">
      <c r="A18" t="n">
        <v>1010</v>
      </c>
      <c r="B18" t="inlineStr">
        <is>
          <t>VALLOUFFICIO SOLUZIONI di Zavaglia Nicola &amp; C. S.A.S.</t>
        </is>
      </c>
      <c r="I18" s="182" t="n">
        <v>366</v>
      </c>
    </row>
    <row r="19">
      <c r="A19" t="n">
        <v>1755</v>
      </c>
      <c r="B19" t="inlineStr">
        <is>
          <t>VARZI GENERATION SRL</t>
        </is>
      </c>
      <c r="H19" s="182" t="n">
        <v>19.9</v>
      </c>
    </row>
    <row r="20">
      <c r="A20" t="n">
        <v>715</v>
      </c>
      <c r="B20" t="inlineStr">
        <is>
          <t>ZURLI MAURIZIO</t>
        </is>
      </c>
      <c r="I20" s="182" t="n">
        <v>196.93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4" customWidth="1" style="169" min="2" max="2"/>
    <col width="32" customWidth="1" style="169" min="15" max="15"/>
  </cols>
  <sheetData>
    <row r="1">
      <c r="A1" s="181" t="inlineStr">
        <is>
          <t>Fornitori ESCLUSI dalla cassa per scelta (is_excluded) — fuori dal saldo proiettato. NON sono un TODO: il motivo è in colonna Motivo.</t>
        </is>
      </c>
    </row>
    <row r="2">
      <c r="A2" s="181" t="inlineStr">
        <is>
          <t>Cod</t>
        </is>
      </c>
      <c r="B2" s="181" t="inlineStr">
        <is>
          <t>Nome (da CSV)</t>
        </is>
      </c>
      <c r="C2" s="181" t="inlineStr">
        <is>
          <t>GENNAIO</t>
        </is>
      </c>
      <c r="D2" s="181" t="inlineStr">
        <is>
          <t>FEBBRAIO</t>
        </is>
      </c>
      <c r="E2" s="181" t="inlineStr">
        <is>
          <t>MARZO</t>
        </is>
      </c>
      <c r="F2" s="181" t="inlineStr">
        <is>
          <t>APRILE</t>
        </is>
      </c>
      <c r="G2" s="181" t="inlineStr">
        <is>
          <t>MAGGIO</t>
        </is>
      </c>
      <c r="H2" s="181" t="inlineStr">
        <is>
          <t>GIUGNO</t>
        </is>
      </c>
      <c r="I2" s="181" t="inlineStr">
        <is>
          <t>LUGLIO</t>
        </is>
      </c>
      <c r="J2" s="181" t="inlineStr">
        <is>
          <t>AGOSTO</t>
        </is>
      </c>
      <c r="K2" s="181" t="inlineStr">
        <is>
          <t>SETTEMBRE</t>
        </is>
      </c>
      <c r="L2" s="181" t="inlineStr">
        <is>
          <t>OTTOBRE</t>
        </is>
      </c>
      <c r="M2" s="181" t="inlineStr">
        <is>
          <t>NOVEMBRE</t>
        </is>
      </c>
      <c r="N2" s="181" t="inlineStr">
        <is>
          <t>DICEMBRE</t>
        </is>
      </c>
      <c r="O2" s="181" t="inlineStr">
        <is>
          <t>Motivo</t>
        </is>
      </c>
    </row>
    <row r="3">
      <c r="A3" t="n">
        <v>27</v>
      </c>
      <c r="B3" t="inlineStr">
        <is>
          <t>AL MORO DI ROMAGNOLI ANDREA SAS</t>
        </is>
      </c>
      <c r="I3" s="182" t="n">
        <v>394.98</v>
      </c>
      <c r="O3" t="inlineStr">
        <is>
          <t>escluso da app cashflow</t>
        </is>
      </c>
    </row>
    <row r="4">
      <c r="A4" t="n">
        <v>1745</v>
      </c>
      <c r="B4" t="inlineStr">
        <is>
          <t>POPPITI ALDO</t>
        </is>
      </c>
      <c r="H4" s="182" t="n">
        <v>19.61</v>
      </c>
      <c r="O4" t="inlineStr">
        <is>
          <t>escluso da app cashflow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2026-07-15T15:51:56Z</dcterms:modified>
</cp:coreProperties>
</file>