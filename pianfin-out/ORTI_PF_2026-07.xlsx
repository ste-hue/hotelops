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mministrazione\Desktop\PF Orti_Intur  stefano da riempire\"/>
    </mc:Choice>
  </mc:AlternateContent>
  <xr:revisionPtr revIDLastSave="0" documentId="13_ncr:1_{C4CCF1AE-F04C-45E9-8D70-A01D93DE6C59}" xr6:coauthVersionLast="47" xr6:coauthVersionMax="47" xr10:uidLastSave="{00000000-0000-0000-0000-000000000000}"/>
  <bookViews>
    <workbookView xWindow="-120" yWindow="-120" windowWidth="29040" windowHeight="15720" firstSheet="3" activeTab="9" xr2:uid="{00000000-000D-0000-FFFF-FFFF00000000}"/>
  </bookViews>
  <sheets>
    <sheet name="Controlli" sheetId="1" r:id="rId1"/>
    <sheet name="Piano Finanziario" sheetId="2" r:id="rId2"/>
    <sheet name="Salari e Stipendi" sheetId="3" r:id="rId3"/>
    <sheet name="Utenze" sheetId="4" r:id="rId4"/>
    <sheet name="Materie Prime-Consumo " sheetId="5" r:id="rId5"/>
    <sheet name="Tasse e Imposte" sheetId="6" r:id="rId6"/>
    <sheet name="Commisisoni Portali" sheetId="7" r:id="rId7"/>
    <sheet name="Mutui e Finaziamenti" sheetId="8" r:id="rId8"/>
    <sheet name="Consulenze" sheetId="9" r:id="rId9"/>
    <sheet name="Godimento Beni di Terzi" sheetId="10" r:id="rId10"/>
    <sheet name="Canoni e servizi" sheetId="11" r:id="rId11"/>
    <sheet name=" Varie ed Eventuali" sheetId="12" r:id="rId12"/>
    <sheet name="DA MAPPARE" sheetId="13" r:id="rId13"/>
    <sheet name="ESCLUSI" sheetId="14" r:id="rId14"/>
    <sheet name="DA MAPPARE1" sheetId="15" r:id="rId15"/>
    <sheet name="Scadenziario 14-08" sheetId="16" r:id="rId16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5" i="2" l="1"/>
  <c r="E35" i="2"/>
  <c r="G4" i="10"/>
  <c r="F21" i="2"/>
  <c r="F27" i="2"/>
  <c r="F29" i="2"/>
  <c r="F37" i="2"/>
  <c r="G4" i="2"/>
  <c r="G37" i="2"/>
  <c r="H4" i="2"/>
  <c r="H37" i="2"/>
  <c r="I4" i="2"/>
  <c r="I37" i="2"/>
  <c r="J4" i="2"/>
  <c r="J37" i="2"/>
  <c r="K4" i="2"/>
  <c r="L4" i="10"/>
  <c r="K21" i="2"/>
  <c r="K27" i="2"/>
  <c r="K29" i="2"/>
  <c r="K37" i="2"/>
  <c r="L4" i="2"/>
  <c r="L37" i="2"/>
  <c r="M4" i="2"/>
  <c r="M37" i="2"/>
  <c r="N4" i="2"/>
  <c r="N37" i="2"/>
  <c r="O4" i="2"/>
  <c r="O37" i="2"/>
  <c r="P4" i="2"/>
  <c r="P37" i="2"/>
  <c r="Q4" i="2"/>
  <c r="B6" i="1" a="1"/>
  <c r="B6" i="1"/>
  <c r="B13" i="1" a="1"/>
  <c r="B13" i="1"/>
  <c r="B16" i="1" a="1"/>
  <c r="B29" i="1" a="1"/>
  <c r="Q37" i="2"/>
  <c r="B34" i="1" a="1"/>
  <c r="F45" i="2"/>
  <c r="G45" i="2"/>
  <c r="H45" i="2"/>
  <c r="I45" i="2"/>
  <c r="J45" i="2"/>
  <c r="K45" i="2"/>
  <c r="L45" i="2"/>
  <c r="M45" i="2"/>
  <c r="N45" i="2"/>
  <c r="O45" i="2"/>
  <c r="P45" i="2"/>
  <c r="Q45" i="2"/>
  <c r="B37" i="1" a="1"/>
  <c r="R27" i="2"/>
  <c r="B41" i="1"/>
  <c r="R29" i="2"/>
  <c r="B42" i="1"/>
  <c r="R21" i="2"/>
  <c r="B46" i="1" a="1"/>
  <c r="R37" i="2"/>
  <c r="R45" i="2"/>
  <c r="B47" i="1"/>
  <c r="B16" i="1"/>
  <c r="B29" i="1"/>
  <c r="B34" i="1"/>
  <c r="B37" i="1"/>
  <c r="B46" i="1"/>
  <c r="B49" i="1"/>
  <c r="B45" i="1" a="1"/>
  <c r="B40" i="1"/>
  <c r="B31" i="1" a="1"/>
  <c r="B30" i="1" a="1"/>
  <c r="B28" i="1" a="1"/>
  <c r="B27" i="1" a="1"/>
  <c r="B26" i="1" a="1"/>
  <c r="B25" i="1" a="1"/>
  <c r="B24" i="1" a="1"/>
  <c r="B23" i="1" a="1"/>
  <c r="B22" i="1" a="1"/>
  <c r="B10" i="1" a="1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C3" i="12"/>
  <c r="D3" i="12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C11" i="11"/>
  <c r="C10" i="11"/>
  <c r="C9" i="11"/>
  <c r="C8" i="11"/>
  <c r="C7" i="11"/>
  <c r="C6" i="11"/>
  <c r="C5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R4" i="10"/>
  <c r="Q4" i="10"/>
  <c r="P4" i="10"/>
  <c r="O4" i="10"/>
  <c r="N4" i="10"/>
  <c r="M4" i="10"/>
  <c r="K4" i="10"/>
  <c r="J4" i="10"/>
  <c r="I4" i="10"/>
  <c r="H4" i="10"/>
  <c r="F4" i="10"/>
  <c r="E4" i="10"/>
  <c r="D4" i="10"/>
  <c r="C4" i="10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R3" i="8"/>
  <c r="Q19" i="2"/>
  <c r="Q3" i="8"/>
  <c r="P19" i="2"/>
  <c r="P3" i="8"/>
  <c r="O19" i="2"/>
  <c r="O3" i="8"/>
  <c r="N19" i="2"/>
  <c r="N3" i="8"/>
  <c r="M19" i="2"/>
  <c r="M3" i="8"/>
  <c r="L19" i="2"/>
  <c r="L3" i="8"/>
  <c r="K19" i="2"/>
  <c r="K3" i="8"/>
  <c r="J19" i="2"/>
  <c r="J3" i="8"/>
  <c r="I19" i="2"/>
  <c r="I3" i="8"/>
  <c r="H19" i="2"/>
  <c r="H3" i="8"/>
  <c r="G19" i="2"/>
  <c r="G3" i="8"/>
  <c r="F19" i="2"/>
  <c r="F3" i="8"/>
  <c r="E19" i="2"/>
  <c r="E3" i="8"/>
  <c r="D19" i="2"/>
  <c r="D3" i="8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R3" i="7"/>
  <c r="Q18" i="2"/>
  <c r="Q3" i="7"/>
  <c r="P18" i="2"/>
  <c r="P3" i="7"/>
  <c r="O18" i="2"/>
  <c r="O3" i="7"/>
  <c r="N18" i="2"/>
  <c r="N3" i="7"/>
  <c r="M18" i="2"/>
  <c r="M3" i="7"/>
  <c r="L18" i="2"/>
  <c r="L3" i="7"/>
  <c r="K18" i="2"/>
  <c r="K3" i="7"/>
  <c r="J18" i="2"/>
  <c r="J3" i="7"/>
  <c r="I18" i="2"/>
  <c r="I3" i="7"/>
  <c r="H18" i="2"/>
  <c r="H3" i="7"/>
  <c r="G18" i="2"/>
  <c r="G3" i="7"/>
  <c r="F18" i="2"/>
  <c r="F3" i="7"/>
  <c r="E18" i="2"/>
  <c r="E3" i="7"/>
  <c r="D18" i="2"/>
  <c r="D3" i="7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7" i="6"/>
  <c r="C6" i="6"/>
  <c r="K5" i="6"/>
  <c r="C5" i="6"/>
  <c r="C4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C3" i="5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A49" i="1"/>
  <c r="B4" i="1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R43" i="2"/>
  <c r="C35" i="2"/>
  <c r="R24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Q21" i="2"/>
  <c r="P21" i="2"/>
  <c r="O21" i="2"/>
  <c r="N21" i="2"/>
  <c r="M21" i="2"/>
  <c r="L21" i="2"/>
  <c r="J21" i="2"/>
  <c r="I21" i="2"/>
  <c r="H21" i="2"/>
  <c r="G21" i="2"/>
  <c r="E21" i="2"/>
  <c r="D21" i="2"/>
  <c r="C21" i="2"/>
  <c r="Q20" i="2"/>
  <c r="P20" i="2"/>
  <c r="O20" i="2"/>
  <c r="N20" i="2"/>
  <c r="M20" i="2"/>
  <c r="R20" i="2"/>
  <c r="L20" i="2"/>
  <c r="K20" i="2"/>
  <c r="J20" i="2"/>
  <c r="I20" i="2"/>
  <c r="H20" i="2"/>
  <c r="G20" i="2"/>
  <c r="F20" i="2"/>
  <c r="E20" i="2"/>
  <c r="D20" i="2"/>
  <c r="C20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R17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Q12" i="2"/>
  <c r="P12" i="2"/>
  <c r="O12" i="2"/>
  <c r="N12" i="2"/>
  <c r="M12" i="2"/>
  <c r="L12" i="2"/>
  <c r="K12" i="2"/>
  <c r="J12" i="2"/>
  <c r="H12" i="2"/>
  <c r="G12" i="2"/>
  <c r="F12" i="2"/>
  <c r="E12" i="2"/>
  <c r="D12" i="2"/>
  <c r="C12" i="2"/>
  <c r="R11" i="2"/>
  <c r="R10" i="2"/>
  <c r="R9" i="2"/>
  <c r="I8" i="2"/>
  <c r="R8" i="2"/>
  <c r="I7" i="2"/>
  <c r="R7" i="2"/>
  <c r="I6" i="2"/>
  <c r="C3" i="8"/>
  <c r="C19" i="2"/>
  <c r="C3" i="7"/>
  <c r="C18" i="2"/>
  <c r="R23" i="2"/>
  <c r="R22" i="2"/>
  <c r="R16" i="2"/>
  <c r="R15" i="2"/>
  <c r="C27" i="2"/>
  <c r="R14" i="2"/>
  <c r="C29" i="2"/>
  <c r="R6" i="2"/>
  <c r="I12" i="2"/>
  <c r="Q27" i="2"/>
  <c r="Q29" i="2"/>
  <c r="P27" i="2"/>
  <c r="P29" i="2"/>
  <c r="O27" i="2"/>
  <c r="O29" i="2"/>
  <c r="N27" i="2"/>
  <c r="N29" i="2"/>
  <c r="M27" i="2"/>
  <c r="M29" i="2"/>
  <c r="L27" i="2"/>
  <c r="J27" i="2"/>
  <c r="J29" i="2"/>
  <c r="I27" i="2"/>
  <c r="H27" i="2"/>
  <c r="H29" i="2"/>
  <c r="G27" i="2"/>
  <c r="G29" i="2"/>
  <c r="E27" i="2"/>
  <c r="E29" i="2"/>
  <c r="E37" i="2"/>
  <c r="F4" i="2"/>
  <c r="D27" i="2"/>
  <c r="D29" i="2"/>
  <c r="D37" i="2"/>
  <c r="D45" i="2"/>
  <c r="R19" i="2"/>
  <c r="R18" i="2"/>
  <c r="C37" i="2"/>
  <c r="E45" i="2"/>
  <c r="I29" i="2"/>
  <c r="R12" i="2"/>
  <c r="L29" i="2"/>
  <c r="C45" i="2"/>
  <c r="B5" i="1"/>
  <c r="B45" i="1"/>
  <c r="B31" i="1"/>
  <c r="B30" i="1"/>
  <c r="B28" i="1"/>
  <c r="B27" i="1"/>
  <c r="B26" i="1"/>
  <c r="B25" i="1"/>
  <c r="B24" i="1"/>
  <c r="B23" i="1"/>
  <c r="B22" i="1"/>
  <c r="B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Stefano Della Pietra</author>
    <author>None</author>
  </authors>
  <commentList>
    <comment ref="C4" authorId="0" shapeId="0" xr:uid="{A818CE88-D963-C448-94FE-6BFE2ED8F598}">
      <text>
        <r>
          <rPr>
            <b/>
            <sz val="10"/>
            <color rgb="FF000000"/>
            <rFont val="Tahoma"/>
            <family val="2"/>
          </rPr>
          <t>Stefano Della Pietra:</t>
        </r>
        <r>
          <rPr>
            <sz val="10"/>
            <color rgb="FF000000"/>
            <rFont val="Tahoma"/>
            <family val="2"/>
          </rPr>
          <t xml:space="preserve">
Storico inerte — mese chiuso. Non alimenta la catena: D4 ed E4 sono hardcoded indipendenti. L'unico seed della proiezione e' E4 (giugno) = saldo reale banche al 30/06 (E35).</t>
        </r>
      </text>
    </comment>
    <comment ref="D4" authorId="0" shapeId="0" xr:uid="{2FDF640B-92F5-DF49-B45F-0640C295D05D}">
      <text>
        <r>
          <rPr>
            <b/>
            <sz val="10"/>
            <color rgb="FF000000"/>
            <rFont val="Tahoma"/>
            <family val="2"/>
          </rPr>
          <t>Stefano Della Pietra:</t>
        </r>
        <r>
          <rPr>
            <sz val="10"/>
            <color rgb="FF000000"/>
            <rFont val="Tahoma"/>
            <family val="2"/>
          </rPr>
          <t xml:space="preserve">
Storico inerte — mese chiuso. Non alimenta la catena: E4 e' hardcoded indipendente. L'unico seed della proiezione e' E4 (giugno) = saldo reale banche al 30/06 (E35).</t>
        </r>
      </text>
    </comment>
    <comment ref="E4" authorId="0" shapeId="0" xr:uid="{A14A525A-4351-474A-9010-DB13018EA0F2}">
      <text>
        <r>
          <rPr>
            <b/>
            <sz val="10"/>
            <color rgb="FF000000"/>
            <rFont val="Tahoma"/>
            <family val="2"/>
          </rPr>
          <t>Stefano Della Pietra:</t>
        </r>
        <r>
          <rPr>
            <sz val="10"/>
            <color rgb="FF000000"/>
            <rFont val="Tahoma"/>
            <family val="2"/>
          </rPr>
          <t xml:space="preserve">
SEED DELLA PROIEZIONE — saldo reale banche al 30/06/2026 (= E35, MPS + Intesa). Da qui parte la catena: E37 -&gt; F4 -&gt; F37 -&gt; ... -&gt; Q4. Aggiornare questo valore al rollo del mese.</t>
        </r>
      </text>
    </comment>
    <comment ref="A14" authorId="1" shapeId="0" xr:uid="{00000000-0006-0000-0100-000001000000}">
      <text>
        <r>
          <rPr>
            <sz val="12"/>
            <color theme="1"/>
            <rFont val="Aptos Narrow"/>
            <family val="2"/>
            <scheme val="minor"/>
          </rPr>
          <t>======
ID#AAACFWyTS2E
Antonio Russo    (2024-09-20 08:25:32)
Stima</t>
        </r>
      </text>
    </comment>
    <comment ref="A16" authorId="1" shapeId="0" xr:uid="{00000000-0006-0000-0100-000002000000}">
      <text>
        <r>
          <rPr>
            <sz val="12"/>
            <color theme="1"/>
            <rFont val="Aptos Narrow"/>
            <family val="2"/>
            <scheme val="minor"/>
          </rPr>
          <t>======
ID#AAACFWyTS1s
Economato Panorama Group    (2025-01-24 11:45:42)
Ripartato consuntivo da conto economico menisle 2024 secondo accordi con fornitori</t>
        </r>
      </text>
    </comment>
    <comment ref="C32" authorId="0" shapeId="0" xr:uid="{DD60A7B3-F029-9443-AFAE-15DAA5039503}">
      <text>
        <r>
          <rPr>
            <b/>
            <sz val="10"/>
            <color rgb="FF000000"/>
            <rFont val="Tahoma"/>
            <family val="2"/>
          </rPr>
          <t>Stefano Della Pietra:</t>
        </r>
        <r>
          <rPr>
            <sz val="10"/>
            <color rgb="FF000000"/>
            <rFont val="Tahoma"/>
            <family val="2"/>
          </rPr>
          <t xml:space="preserve">
Corretto 14/08/2026. Il valore precedente (726.946,18) era il saldo MPS al 31/07, non al 30/04. Fonte: foglio Drive saldi banche (Rosa).</t>
        </r>
      </text>
    </comment>
    <comment ref="E32" authorId="0" shapeId="0" xr:uid="{E0F55F71-9802-274C-A3FF-D14E7218D087}">
      <text>
        <r>
          <rPr>
            <b/>
            <sz val="10"/>
            <color rgb="FF000000"/>
            <rFont val="Tahoma"/>
            <family val="2"/>
          </rPr>
          <t>Stefano Della Pietra:</t>
        </r>
        <r>
          <rPr>
            <sz val="10"/>
            <color rgb="FF000000"/>
            <rFont val="Tahoma"/>
            <family val="2"/>
          </rPr>
          <t xml:space="preserve">
DA VERIFICARE con foglio Drive saldi banche (Rosa). E33 riporta 136.312,45, lo stesso numero risultato fuori posto in C33 (era il saldo al 31/07). Attenzione: E35 = E4 e' il seed di tutta la proiezione, un errore qui si propaga fino a giugno 2027.</t>
        </r>
      </text>
    </comment>
    <comment ref="C33" authorId="0" shapeId="0" xr:uid="{F393D01C-79E2-6144-9106-E37168B4F3F3}">
      <text>
        <r>
          <rPr>
            <b/>
            <sz val="10"/>
            <color rgb="FF000000"/>
            <rFont val="Tahoma"/>
            <family val="2"/>
          </rPr>
          <t>Stefano Della Pietra:</t>
        </r>
        <r>
          <rPr>
            <sz val="10"/>
            <color rgb="FF000000"/>
            <rFont val="Tahoma"/>
            <family val="2"/>
          </rPr>
          <t xml:space="preserve">
Corretto 14/08/2026. Il valore precedente (136.312,45) era il saldo Intesa al 31/07, non al 30/04. Fonte: foglio Drive saldi banche (Rosa).</t>
        </r>
      </text>
    </comment>
    <comment ref="E33" authorId="0" shapeId="0" xr:uid="{9666EADE-1D6C-9047-BFE3-EF6B798BC933}">
      <text>
        <r>
          <rPr>
            <b/>
            <sz val="10"/>
            <color rgb="FF000000"/>
            <rFont val="Tahoma"/>
            <family val="2"/>
          </rPr>
          <t>Stefano Della Pietra: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 VERIFICARE: 136.312,45 e' identico al valore erroneamente inserito in C33 per aprile (in realta' saldo al 31/07). Confermare il saldo Intesa reale al 30/06/2026 sul foglio Drive di Rosa.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H7" authorId="0" shapeId="0" xr:uid="{00000000-0006-0000-0500-000001000000}">
      <text>
        <r>
          <rPr>
            <sz val="12"/>
            <color theme="1"/>
            <rFont val="Aptos Narrow"/>
            <family val="2"/>
            <scheme val="minor"/>
          </rPr>
          <t>======
ID#AAACFWyTS18
Amministrazione    (2025-01-28 16:04:53)
ACCONTO IVA 2025 - SCAD PAG 27/12/2025</t>
        </r>
      </text>
    </comment>
    <comment ref="B10" authorId="0" shapeId="0" xr:uid="{00000000-0006-0000-0500-000002000000}">
      <text>
        <r>
          <rPr>
            <sz val="12"/>
            <color theme="1"/>
            <rFont val="Aptos Narrow"/>
            <family val="2"/>
            <scheme val="minor"/>
          </rPr>
          <t>======
ID#AAACFWyTS10
Amministrazione    (2025-01-27 13:30:23)
33,33% del complessivo versato</t>
        </r>
      </text>
    </comment>
    <comment ref="F15" authorId="0" shapeId="0" xr:uid="{00000000-0006-0000-0500-000003000000}">
      <text>
        <r>
          <rPr>
            <sz val="12"/>
            <color theme="1"/>
            <rFont val="Aptos Narrow"/>
            <family val="2"/>
            <scheme val="minor"/>
          </rPr>
          <t>======
ID#AAACFWyTS14
Antonio Russo    (2025-11-11 09:45:57)
STIMA DI DINO SU UTILE DI 800K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B4" authorId="0" shapeId="0" xr:uid="{00000000-0006-0000-0800-000001000000}">
      <text>
        <r>
          <rPr>
            <sz val="12"/>
            <color theme="1"/>
            <rFont val="Aptos Narrow"/>
            <family val="2"/>
            <scheme val="minor"/>
          </rPr>
          <t>======
ID#AAACFWyTS2A
Economato Panorama Group    (2025-01-24 11:30:18)
Valore stimato su fatturato 2024</t>
        </r>
      </text>
    </comment>
    <comment ref="B5" authorId="0" shapeId="0" xr:uid="{00000000-0006-0000-0800-000002000000}">
      <text>
        <r>
          <rPr>
            <sz val="12"/>
            <color theme="1"/>
            <rFont val="Aptos Narrow"/>
            <family val="2"/>
            <scheme val="minor"/>
          </rPr>
          <t>======
ID#AAACFWyTS1w
Economato Panorama Group    (2025-01-24 11:30:25)
Valore stimato su fatturato 2024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C5" authorId="0" shapeId="0" xr:uid="{00000000-0006-0000-0A00-000001000000}">
      <text>
        <r>
          <rPr>
            <sz val="12"/>
            <color theme="1"/>
            <rFont val="Aptos Narrow"/>
            <family val="2"/>
            <scheme val="minor"/>
          </rPr>
          <t>======
ID#AAACFWyTS2I
Amministrazione    (2025-10-22 08:36:07)
Avuto il dettaglio il 22/10/2025</t>
        </r>
      </text>
    </comment>
    <comment ref="B14" authorId="0" shapeId="0" xr:uid="{00000000-0006-0000-0A00-000002000000}">
      <text>
        <r>
          <rPr>
            <sz val="12"/>
            <color theme="1"/>
            <rFont val="Aptos Narrow"/>
            <family val="2"/>
            <scheme val="minor"/>
          </rPr>
          <t>======
ID#AAACFWyTS1o
Economato Panorama Group    (2025-01-24 11:21:30)
Valore indicativo di € 8000,00 divisi per trimestri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<sst xmlns="http://schemas.openxmlformats.org/spreadsheetml/2006/main" count="1715" uniqueCount="683">
  <si>
    <t>ORTI S.R.L.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</si>
  <si>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</si>
  <si>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</si>
  <si>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</si>
  <si>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</si>
  <si>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</si>
  <si>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</si>
  <si>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</si>
  <si>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</si>
  <si>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</si>
  <si>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GENNAIO</t>
  </si>
  <si>
    <t>FEBBRAIO</t>
  </si>
  <si>
    <t>MARZO</t>
  </si>
  <si>
    <t>TOTALI</t>
  </si>
  <si>
    <t>SALDO MESE PRECED</t>
  </si>
  <si>
    <t xml:space="preserve">Entrate Hotel </t>
  </si>
  <si>
    <t>Entrate Residence</t>
  </si>
  <si>
    <t>Entrate CVM</t>
  </si>
  <si>
    <t>Entrate Supermercato</t>
  </si>
  <si>
    <t>Rientro Sospesi</t>
  </si>
  <si>
    <t>Caparre Intur</t>
  </si>
  <si>
    <t>TOTALE ENTRATE</t>
  </si>
  <si>
    <t>Salari e Stipendi</t>
  </si>
  <si>
    <t>Utenze</t>
  </si>
  <si>
    <t>Materie Prime/Consumo</t>
  </si>
  <si>
    <t>Tasse e Imposte</t>
  </si>
  <si>
    <t>Commissioni Portali</t>
  </si>
  <si>
    <t>Mutui e Finaziamenti</t>
  </si>
  <si>
    <t>Consulenze</t>
  </si>
  <si>
    <t>Godimento Beni di Terzi</t>
  </si>
  <si>
    <t>Varie ed Eventuali</t>
  </si>
  <si>
    <t>Canoni e servizi</t>
  </si>
  <si>
    <t>Deposito Fitto</t>
  </si>
  <si>
    <t xml:space="preserve">TOTALE USCITE </t>
  </si>
  <si>
    <t>Cash Flow</t>
  </si>
  <si>
    <t>Saldo MPS</t>
  </si>
  <si>
    <t>Saldo Intesa</t>
  </si>
  <si>
    <t xml:space="preserve">TOTALE BANCHE </t>
  </si>
  <si>
    <t xml:space="preserve">Saldo di Periodo/Proiettato </t>
  </si>
  <si>
    <t xml:space="preserve">Fin. MPS 60 mesi </t>
  </si>
  <si>
    <t xml:space="preserve">TOTALE AFFIDAMENTI  </t>
  </si>
  <si>
    <t>CASH FLOW CON AFFID.</t>
  </si>
  <si>
    <t>CONTROLLI PIANO FINANZIARIO — ORTI</t>
  </si>
  <si>
    <t>1. SALDO PARTENZA</t>
  </si>
  <si>
    <t>C4:E4 = saldi iniziali hardcoded (mesi chiusi)?</t>
  </si>
  <si>
    <t>F4 = E37 (luglio parte da saldo reale giugno)?</t>
  </si>
  <si>
    <t>(non applicabile — mesi passati rimossi)</t>
  </si>
  <si>
    <t>OK</t>
  </si>
  <si>
    <t>2. TOTALE ENTRATE (riga 12)</t>
  </si>
  <si>
    <t>3. TOTALE USCITE (riga 27)</t>
  </si>
  <si>
    <t>4. CASH FLOW (riga 29)</t>
  </si>
  <si>
    <t>Riga 14 — Salari e Stipendi</t>
  </si>
  <si>
    <t>Riga 15 — Utenze</t>
  </si>
  <si>
    <t>Riga 16 — Materie Prime/Consumo</t>
  </si>
  <si>
    <t>Riga 17 — Tasse e Imposte</t>
  </si>
  <si>
    <t>Riga 18 — Commissioni Portali</t>
  </si>
  <si>
    <t>Riga 19 — Mutui e Finanziamenti</t>
  </si>
  <si>
    <t>Riga 20 — Consulenze</t>
  </si>
  <si>
    <t>Riga 21 — Godimento Beni di Terzi</t>
  </si>
  <si>
    <t>Riga 22 — Varie ed Eventuali</t>
  </si>
  <si>
    <t>Riga 23 — Canoni e servizi</t>
  </si>
  <si>
    <t>7. SALDO PROIETTATO (riga 37)</t>
  </si>
  <si>
    <t>8. CASH FLOW CON AFFIDAMENTI (riga 45)</t>
  </si>
  <si>
    <t>CODICE</t>
  </si>
  <si>
    <t xml:space="preserve">SALARI </t>
  </si>
  <si>
    <t xml:space="preserve">F24 </t>
  </si>
  <si>
    <t>Energia elettrica</t>
  </si>
  <si>
    <t>Gas</t>
  </si>
  <si>
    <t>Acqua - Ausino</t>
  </si>
  <si>
    <t>Vodafone (intur)</t>
  </si>
  <si>
    <t xml:space="preserve">Connectivia  </t>
  </si>
  <si>
    <t>PREVISIONALE</t>
  </si>
  <si>
    <t xml:space="preserve">Materie Prime e Consumo </t>
  </si>
  <si>
    <t>A. Migliore srl</t>
  </si>
  <si>
    <t>Abiti da lavoro Cavaliere srls</t>
  </si>
  <si>
    <t>Adra srl</t>
  </si>
  <si>
    <t>Alberto D'Urso</t>
  </si>
  <si>
    <t>Alnumar di Garofalo Massimiliano</t>
  </si>
  <si>
    <t>Amalfi sei esse</t>
  </si>
  <si>
    <t>Amalfi ghiaccio</t>
  </si>
  <si>
    <t>Amalfi Web</t>
  </si>
  <si>
    <t>Amato Filippo</t>
  </si>
  <si>
    <t>Alfera srl</t>
  </si>
  <si>
    <t>Allestimenti Di Palo</t>
  </si>
  <si>
    <t>Amato Prisco pane</t>
  </si>
  <si>
    <t>Aniello Bisogno &amp; Figli</t>
  </si>
  <si>
    <t>Attianese Frutta e Verdura</t>
  </si>
  <si>
    <t>Apicella Lorenzo</t>
  </si>
  <si>
    <t>B&amp;G Di Palo Commercio</t>
  </si>
  <si>
    <t>Bellagaia</t>
  </si>
  <si>
    <t>Campitiello Fabio</t>
  </si>
  <si>
    <t>Capuano Raffaele</t>
  </si>
  <si>
    <t>Casa Vinicola Sammarco</t>
  </si>
  <si>
    <t>Coccorullo Falegnamenria</t>
  </si>
  <si>
    <t>Centro Distribuzione Maglio</t>
  </si>
  <si>
    <t>Centro service Snc</t>
  </si>
  <si>
    <t>Cica</t>
  </si>
  <si>
    <t>Cimmini Filomena</t>
  </si>
  <si>
    <t>Creative Idea</t>
  </si>
  <si>
    <t>Ditta Pansa</t>
  </si>
  <si>
    <t>De Luca</t>
  </si>
  <si>
    <t>DG Network</t>
  </si>
  <si>
    <t>Di Sarno Coffee</t>
  </si>
  <si>
    <t>Ditta Apicella</t>
  </si>
  <si>
    <t>Fabbrocino Michele</t>
  </si>
  <si>
    <t>Barela Farmacia</t>
  </si>
  <si>
    <t>Feio Srl</t>
  </si>
  <si>
    <t>Ferrigno Maria</t>
  </si>
  <si>
    <t>Gallo Giovanni</t>
  </si>
  <si>
    <t>Giacinto Di Palma</t>
  </si>
  <si>
    <t>Granato Vincenzo</t>
  </si>
  <si>
    <t>Granato Nino</t>
  </si>
  <si>
    <t>Hospitality Project</t>
  </si>
  <si>
    <t>Hotel Service</t>
  </si>
  <si>
    <t>I.C.P srl</t>
  </si>
  <si>
    <t>Il centro CSC</t>
  </si>
  <si>
    <t>Il piacere della tavola</t>
  </si>
  <si>
    <t>Ingrosso frutta di Michele e Vincenzo</t>
  </si>
  <si>
    <t>IPEI SRL</t>
  </si>
  <si>
    <t>La Contadina Srl</t>
  </si>
  <si>
    <t>La Floreale</t>
  </si>
  <si>
    <t xml:space="preserve">La Nuova Autocarrozzaria </t>
  </si>
  <si>
    <t>Le Croissant srl</t>
  </si>
  <si>
    <t>Lovali d'autore</t>
  </si>
  <si>
    <t>L'Europea</t>
  </si>
  <si>
    <t>Napolamp</t>
  </si>
  <si>
    <t>Ninni</t>
  </si>
  <si>
    <t>Oceano Distribuzione</t>
  </si>
  <si>
    <t>Paolillo Aldo</t>
  </si>
  <si>
    <t>Paravia Srl</t>
  </si>
  <si>
    <t>Primavera Servizi</t>
  </si>
  <si>
    <t>Pisacane Raffaele</t>
  </si>
  <si>
    <t>Pregis</t>
  </si>
  <si>
    <t>Prodotti tipici di CarloTagliafierro</t>
  </si>
  <si>
    <t>Pepe Mastro dolciario</t>
  </si>
  <si>
    <t>Prisa</t>
  </si>
  <si>
    <t>Reidos srl</t>
  </si>
  <si>
    <t>Salzano Tiziano</t>
  </si>
  <si>
    <t>Santelia Antonio</t>
  </si>
  <si>
    <t>Serverplan srl</t>
  </si>
  <si>
    <t>Studio quattro</t>
  </si>
  <si>
    <t>Tur.Com</t>
  </si>
  <si>
    <t>Valgarda Srl</t>
  </si>
  <si>
    <t>Vicart</t>
  </si>
  <si>
    <t>Vitagliano</t>
  </si>
  <si>
    <t>Pietra di luna</t>
  </si>
  <si>
    <t>Bianco Bufala</t>
  </si>
  <si>
    <t>Croce Rossa Italiana (trasporto sujith)</t>
  </si>
  <si>
    <t>Costieraagrumi</t>
  </si>
  <si>
    <t>Finsal</t>
  </si>
  <si>
    <t>Gambardella</t>
  </si>
  <si>
    <t>Mammato Anna</t>
  </si>
  <si>
    <t>Fioraio Santelia</t>
  </si>
  <si>
    <t>Arch. Marigliano Savio</t>
  </si>
  <si>
    <t>Mint Architettura</t>
  </si>
  <si>
    <t>Musica totale</t>
  </si>
  <si>
    <t>Romano Ciro</t>
  </si>
  <si>
    <t>Sal de Riso</t>
  </si>
  <si>
    <t>Samar</t>
  </si>
  <si>
    <t>Sistemi ESolver</t>
  </si>
  <si>
    <t>Tappezzeria Cent'anni</t>
  </si>
  <si>
    <t>AFFINITO SRL</t>
  </si>
  <si>
    <t>ALBERGO SANTA CHIARA</t>
  </si>
  <si>
    <t>AMAZON EU S.A R.L.</t>
  </si>
  <si>
    <t>AP COMMERCIALE S.R.L.</t>
  </si>
  <si>
    <t>C&amp;C S.p.A.</t>
  </si>
  <si>
    <t>Dr. Vranjes Firenze S.p.A.</t>
  </si>
  <si>
    <t>EXORH DI CHIESA PAOLA</t>
  </si>
  <si>
    <t>Gest. D.M.F. Srl</t>
  </si>
  <si>
    <t>HAPPY CASA STORE S.R.L.</t>
  </si>
  <si>
    <t>IDRO-TOP S.R.L.</t>
  </si>
  <si>
    <t>KING CATERING S.R.L.</t>
  </si>
  <si>
    <t>LE SETTE SORELLE SOCIETA' A</t>
  </si>
  <si>
    <t>MIELE GIUSEPPE E FIGLI SPA</t>
  </si>
  <si>
    <t>PEPPINO RISTORAZIONE S.R.L.</t>
  </si>
  <si>
    <t>RISALITI SRL</t>
  </si>
  <si>
    <t>SOCIETA' INGROSSO TELEVISORI ELETTRODOMESTICI AFFINI S.R.L.</t>
  </si>
  <si>
    <t>ACQUAVERDE SRL</t>
  </si>
  <si>
    <t>GENERAL BEVERAGE S.R.L.</t>
  </si>
  <si>
    <t>MARR SPA</t>
  </si>
  <si>
    <t>Casalinghi Sicignano</t>
  </si>
  <si>
    <t>Foraggio Srl</t>
  </si>
  <si>
    <t>Minieri Mariano</t>
  </si>
  <si>
    <t>Oip Srl</t>
  </si>
  <si>
    <t>Pirotecnica Platinum S.R.L.S</t>
  </si>
  <si>
    <t>Sorrentino Giovanni S.N.C. Di Sorrentino Pasquale &amp; C.</t>
  </si>
  <si>
    <t>Zurli Maurizio</t>
  </si>
  <si>
    <t>Pietra Di Luna</t>
  </si>
  <si>
    <t>Tecno Piscine</t>
  </si>
  <si>
    <t>IMU</t>
  </si>
  <si>
    <t>IMPOSTE</t>
  </si>
  <si>
    <t>NOVEMBRE I ACCONTO E II ACCONTO TOTALI</t>
  </si>
  <si>
    <t xml:space="preserve">TARI HOTEL </t>
  </si>
  <si>
    <t>IVA</t>
  </si>
  <si>
    <t>RITENUTE PROFESSIONISTI (1040)</t>
  </si>
  <si>
    <t>IMPOSTA DI SOGGIORNO HP</t>
  </si>
  <si>
    <t>IMPOSTA DI SOGGIORNO AR</t>
  </si>
  <si>
    <t>IMPOSTA DI SOGGIORNO CVM</t>
  </si>
  <si>
    <t>IMPOSTA DI SOGGIORNO APT</t>
  </si>
  <si>
    <t>TARI RESIDENCE</t>
  </si>
  <si>
    <t>TARI CVM</t>
  </si>
  <si>
    <t>IRES/IRAP</t>
  </si>
  <si>
    <t>Commisisoni Portali</t>
  </si>
  <si>
    <t xml:space="preserve">Commissioni Booking </t>
  </si>
  <si>
    <t xml:space="preserve">Commissioni Expedia </t>
  </si>
  <si>
    <t>NEXI PAYMENTS S.p.A.</t>
  </si>
  <si>
    <t>Mutui e Finanaziamenti</t>
  </si>
  <si>
    <t xml:space="preserve">Mutuo MPS </t>
  </si>
  <si>
    <t>EX Muto Intesa (mps)</t>
  </si>
  <si>
    <t>Finanziamento MPS 75k</t>
  </si>
  <si>
    <t>Consulenza del lavoro</t>
  </si>
  <si>
    <t>Consulenza fiscale</t>
  </si>
  <si>
    <t>Consulenza legale</t>
  </si>
  <si>
    <t>Consulenza notarile</t>
  </si>
  <si>
    <t>Team Work</t>
  </si>
  <si>
    <t>Polizza Generali</t>
  </si>
  <si>
    <t>Creative Idea S.N.C. Di De Martino Diodato &amp; C.</t>
  </si>
  <si>
    <t>STUDIO QUATTRO S.R.L.</t>
  </si>
  <si>
    <t>Gofimento Beni di Terzi</t>
  </si>
  <si>
    <t>Fitto Ramo d' Azienda</t>
  </si>
  <si>
    <t>Fitto AR</t>
  </si>
  <si>
    <t>Fitto CVM</t>
  </si>
  <si>
    <t>Proxima Service</t>
  </si>
  <si>
    <t>Hoxell</t>
  </si>
  <si>
    <t>Sistemi (E_solver)</t>
  </si>
  <si>
    <t xml:space="preserve">Zucchetti </t>
  </si>
  <si>
    <t>BESTRANK SOCIETA' A</t>
  </si>
  <si>
    <t>PLAN ITALIA S.R.L.</t>
  </si>
  <si>
    <t>Altamira</t>
  </si>
  <si>
    <t>Commissioni Transato Pos</t>
  </si>
  <si>
    <t>Soft tecnology</t>
  </si>
  <si>
    <t>Commissioni e spese Bancarie Varie(Imposta di bollo/tenuta conto/bonifici/etc )</t>
  </si>
  <si>
    <t>Noleggio Tesla</t>
  </si>
  <si>
    <t>Alba Leasing S.P.A.</t>
  </si>
  <si>
    <t>Primavera Servizi Srl</t>
  </si>
  <si>
    <t>L'Europea derattizzazione</t>
  </si>
  <si>
    <t>GOOGLE CLOUD ITALY S.R.L.</t>
  </si>
  <si>
    <t>Pietra Di Luna Hotel - S.R.L.</t>
  </si>
  <si>
    <t>VALLOUFFICIO SOLUZIONI di Zavaglia Nicola &amp; C. S.A.S.</t>
  </si>
  <si>
    <t>Variee ed Eventuali</t>
  </si>
  <si>
    <t>Spese Condominiali</t>
  </si>
  <si>
    <t>AUTOSTRADE PER L'ITALIA S.P.A.</t>
  </si>
  <si>
    <t>DEL RISPARMIO</t>
  </si>
  <si>
    <t>EDILIZIA ED</t>
  </si>
  <si>
    <t>FEIO S.R.L.</t>
  </si>
  <si>
    <t>H &amp; M HENNES &amp; MAURITZ S.R.L.</t>
  </si>
  <si>
    <t>Mana  srls</t>
  </si>
  <si>
    <t>ROSANTO S.R.L.</t>
  </si>
  <si>
    <t>CENTRO MODA S.R.L.</t>
  </si>
  <si>
    <t>DIECI S.R.L.S.</t>
  </si>
  <si>
    <t>HAIR GALLERY EUROPE SRL</t>
  </si>
  <si>
    <t>FERRIGNO MARIA C S N C</t>
  </si>
  <si>
    <t>Nola Ferramenta Srl</t>
  </si>
  <si>
    <t>Re Denari di Marco Oliva &amp; C. Sas</t>
  </si>
  <si>
    <t>MAGALDI LIFE SRL SOC. UNIP.</t>
  </si>
  <si>
    <t>READYPRINT DI PIPITONE BRUNO</t>
  </si>
  <si>
    <t>Leroy Merlin Italia srl</t>
  </si>
  <si>
    <t>MEDIAMARKET S.P.A. CON SOCIO UNICO</t>
  </si>
  <si>
    <t>PREGIS S.P.A.</t>
  </si>
  <si>
    <t>ADRA S.R.L.</t>
  </si>
  <si>
    <t>Apple Retail Italia</t>
  </si>
  <si>
    <t>D.L. Brothers</t>
  </si>
  <si>
    <t>Doctor Spy Societa' A Responsabilita' Limitata</t>
  </si>
  <si>
    <t>Gruppo Adam s.r.l.</t>
  </si>
  <si>
    <t>I.R.P.S. Srl</t>
  </si>
  <si>
    <t>Ikea Italia Retail Srl</t>
  </si>
  <si>
    <t>Lo Scoglio Dei F.Lli De Simone S.R.L.</t>
  </si>
  <si>
    <t>Nila S.R.L.</t>
  </si>
  <si>
    <t>Propac S.R.L.</t>
  </si>
  <si>
    <t>Puntoffice Di Cardarelli Rita</t>
  </si>
  <si>
    <t>Ristorante O Padrone Do'Mare Di De Siano Giacinto &amp; C. Snc</t>
  </si>
  <si>
    <t>Fornitori NON mappati in d_fornitori.csv — assegnare una voce (hotelops fornitori) e rigenerare</t>
  </si>
  <si>
    <t>Cod</t>
  </si>
  <si>
    <t>Nome (da export)</t>
  </si>
  <si>
    <t>Fornitori ESCLUSI dalla cassa per scelta (is_excluded) — fuori dal saldo proiettato. NON sono un TODO: il motivo è in colonna Motivo.</t>
  </si>
  <si>
    <t>Nome (da CSV)</t>
  </si>
  <si>
    <t>Motivo</t>
  </si>
  <si>
    <t>AL MORO DI ROMAGNOLI ANDREA SAS</t>
  </si>
  <si>
    <t>escluso da app cashflow</t>
  </si>
  <si>
    <t>BRILY DI AVETA VINCENZO</t>
  </si>
  <si>
    <t>Fercolor s.r.l.</t>
  </si>
  <si>
    <t>POPPITI ALDO</t>
  </si>
  <si>
    <t>VARZI GENERATION SRL</t>
  </si>
  <si>
    <t>ALBA NEON S.R.L.</t>
  </si>
  <si>
    <t>ASSOCIAZIONE SOUL FOOD</t>
  </si>
  <si>
    <t>LEIDIVA DI SEPE ROSARIO</t>
  </si>
  <si>
    <t>Export Esolver 14/08/2026 — SENZA le 2 fatture arretrate Panorama Company (446.425,69, non si contano nel PF — decisione 14/08)</t>
  </si>
  <si>
    <t>Fornitore</t>
  </si>
  <si>
    <t>Voce (d_fornitori)</t>
  </si>
  <si>
    <t>Documento</t>
  </si>
  <si>
    <t>Mese PF</t>
  </si>
  <si>
    <t>Importo</t>
  </si>
  <si>
    <t>DI SARNO COFFEE SERVICE DI</t>
  </si>
  <si>
    <t>DA MAPPARE</t>
  </si>
  <si>
    <t>FT n. 670 del 29/07/2026</t>
  </si>
  <si>
    <t>2026-08</t>
  </si>
  <si>
    <t>FT n. 122 del 10/08/2026</t>
  </si>
  <si>
    <t>Giordano Associati S.r.l</t>
  </si>
  <si>
    <t>FT n. 487 del 10/07/2026</t>
  </si>
  <si>
    <t>FT n. 557 del  2/07/2026</t>
  </si>
  <si>
    <t>ALNUMAR DI GAROFALO</t>
  </si>
  <si>
    <t>FT n. 321 del 31/07/2026</t>
  </si>
  <si>
    <t>CENTRO DISTRIBUZIONI MAGLIO</t>
  </si>
  <si>
    <t>FT n. 359 del 31/07/2026</t>
  </si>
  <si>
    <t>VITAGLIANO</t>
  </si>
  <si>
    <t>FT n. 422/A del 31/07/2026</t>
  </si>
  <si>
    <t>AUSINO - S.P.A. SERVIZI IDRICI</t>
  </si>
  <si>
    <t>FT n. 5859301 del  8/07/2026</t>
  </si>
  <si>
    <t>AMATO</t>
  </si>
  <si>
    <t>FT n. 158 del 31/07/2026</t>
  </si>
  <si>
    <t>I.C.P. INGROSSO CHIMICA PEPE</t>
  </si>
  <si>
    <t>FT n. 1691 del 26/06/2026</t>
  </si>
  <si>
    <t>FT n. 5859302 del  8/07/2026</t>
  </si>
  <si>
    <t>FT n. 1610 del 19/06/2026</t>
  </si>
  <si>
    <t>ERRA</t>
  </si>
  <si>
    <t>FT n. 19 del  2/08/2026</t>
  </si>
  <si>
    <t>Alberto D Urso S.a.s. di</t>
  </si>
  <si>
    <t>FT n. 383 del 31/07/2026</t>
  </si>
  <si>
    <t>CENTRO SERVICE SNC DI VOCCIA</t>
  </si>
  <si>
    <t>FT n. FPR 339/26 del 27/07/2026</t>
  </si>
  <si>
    <t>FT n. 1507 del  9/06/2026</t>
  </si>
  <si>
    <t>CASA DEL CORREDO PESCATORE</t>
  </si>
  <si>
    <t>FT n. 51N/FV del  3/08/2026</t>
  </si>
  <si>
    <t>DITTA PANSA DI G.PANSA E</t>
  </si>
  <si>
    <t>FT n. 178 del 10/08/2026</t>
  </si>
  <si>
    <t>"INGROSSO FRUTTA" DI AVAGLIANO</t>
  </si>
  <si>
    <t>FT n. 2026-7927 del  9/07/2026</t>
  </si>
  <si>
    <t>FT n. 2026-8108 del 14/07/2026</t>
  </si>
  <si>
    <t>FT n. 2026-8338 del 20/07/2026</t>
  </si>
  <si>
    <t>FT n. 2026-8271 del 17/07/2026</t>
  </si>
  <si>
    <t>FT n. 2026-7802 del  7/07/2026</t>
  </si>
  <si>
    <t>FT n. 2026-8561 del 24/07/2026</t>
  </si>
  <si>
    <t>FT n. 2026-8635 del 27/07/2026</t>
  </si>
  <si>
    <t>FT n. 2026-8604 del 25/07/2026</t>
  </si>
  <si>
    <t>FT n. 2026-8830 del 31/07/2026</t>
  </si>
  <si>
    <t>FT n. 2026-8798 del 31/07/2026</t>
  </si>
  <si>
    <t>FT n. 2026-7835 del  8/07/2026</t>
  </si>
  <si>
    <t>FT n. 167 del  3/08/2026</t>
  </si>
  <si>
    <t>FERRIGNO MARIA   C  S N C</t>
  </si>
  <si>
    <t>FT n. 39 del  3/08/2026</t>
  </si>
  <si>
    <t>FT n. 5859300 del  8/07/2026</t>
  </si>
  <si>
    <t>societa agricola BIO TI CA ss</t>
  </si>
  <si>
    <t>FT n. IT60011K6CUZ5I del  6/08/2026</t>
  </si>
  <si>
    <t>ONE STOP ALIMENTARI DAL MONDO</t>
  </si>
  <si>
    <t>FT n. IT6001CC7Y2QDI del 11/08/2026</t>
  </si>
  <si>
    <t>FT n. 2026-8609 del 25/07/2026</t>
  </si>
  <si>
    <t>D AUTOMOTIVE S.R.L.</t>
  </si>
  <si>
    <t>USCITE_CANONI</t>
  </si>
  <si>
    <t>FT n. 14A2026 del  7/08/2026</t>
  </si>
  <si>
    <t>HOTELSERVICE S.R.L.</t>
  </si>
  <si>
    <t>USCITE_MATERIE_PRIME</t>
  </si>
  <si>
    <t>FT n. 3380 del 30/06/2026</t>
  </si>
  <si>
    <t>AMALFI SEI ESSE S.R.L.</t>
  </si>
  <si>
    <t>FT n. 77/B01 del 30/05/2026</t>
  </si>
  <si>
    <t>VICART S.R.L.</t>
  </si>
  <si>
    <t>FT n. 918/FDV del 31/05/2026</t>
  </si>
  <si>
    <t>ALFERA S.R.L.</t>
  </si>
  <si>
    <t>FT n. 1/645 del 10/06/2026</t>
  </si>
  <si>
    <t>FT n. 3381 del 30/06/2026</t>
  </si>
  <si>
    <t>FABBROCINO MICHELE S.R.L.</t>
  </si>
  <si>
    <t>FT n. 5/9846 del  5/06/2026</t>
  </si>
  <si>
    <t>LE CROISSANT SRL</t>
  </si>
  <si>
    <t>FT n. 001456-0C0 del  4/06/2026</t>
  </si>
  <si>
    <t>FT n. 001787-0C0 del 30/06/2026</t>
  </si>
  <si>
    <t>FT n. 001618-0C0 del 17/06/2026</t>
  </si>
  <si>
    <t>FT n. 3614 del 17/07/2026</t>
  </si>
  <si>
    <t>CICA SRL</t>
  </si>
  <si>
    <t>FT n. A4996 del 31/07/2026</t>
  </si>
  <si>
    <t>FT n. 001700-0C0 del 24/06/2026</t>
  </si>
  <si>
    <t>FT n. 5/12304 del 30/06/2026</t>
  </si>
  <si>
    <t>FT n. 5/10148 del  9/06/2026</t>
  </si>
  <si>
    <t>FT n. 3382 del 30/06/2026</t>
  </si>
  <si>
    <t>FT n. 12/875 del  5/06/2026</t>
  </si>
  <si>
    <t>FT n. 5/10853 del 16/06/2026</t>
  </si>
  <si>
    <t>FT n. 001542-0C0 del 10/06/2026</t>
  </si>
  <si>
    <t>FT n. A4461 del 15/07/2026</t>
  </si>
  <si>
    <t>BELLAGAIA S.R.L.</t>
  </si>
  <si>
    <t>FT n. 1/2531 del 13/07/2026</t>
  </si>
  <si>
    <t>FT n. 5/9601 del  3/06/2026</t>
  </si>
  <si>
    <t>FT n. 1/2330 del  3/07/2026</t>
  </si>
  <si>
    <t>HYGIEN TECH S.R.L.</t>
  </si>
  <si>
    <t>FT n. 5475 1 del 31/07/2026</t>
  </si>
  <si>
    <t>FT n. 1/2687 del 20/07/2026</t>
  </si>
  <si>
    <t>FT n. 5/10580 del 12/06/2026</t>
  </si>
  <si>
    <t>FT n. 1/2476 del 10/07/2026</t>
  </si>
  <si>
    <t>CASA VINICOLA ETTORE SAMMARCO</t>
  </si>
  <si>
    <t>FT n. 992 del  5/06/2026</t>
  </si>
  <si>
    <t>FT n. 5/11536 del 23/06/2026</t>
  </si>
  <si>
    <t>PARAVIA ELEVATORS SRL</t>
  </si>
  <si>
    <t>FT n. FC0032303-0 del 31/07/2026</t>
  </si>
  <si>
    <t>FT n. D/077245 del 22/07/2026</t>
  </si>
  <si>
    <t>FT n. D/076259 del 20/07/2026</t>
  </si>
  <si>
    <t>FT n. 1/2906 del 29/07/2026</t>
  </si>
  <si>
    <t>FT n. D/070113 del  6/07/2026</t>
  </si>
  <si>
    <t>FT n. 1/2615 del 16/07/2026</t>
  </si>
  <si>
    <t>FT n. 943 del  2/06/2026</t>
  </si>
  <si>
    <t>FT n. 5/11185 del 19/06/2026</t>
  </si>
  <si>
    <t>FT n. D/079404 del 27/07/2026</t>
  </si>
  <si>
    <t>FT n. 1/2799 del 24/07/2026</t>
  </si>
  <si>
    <t>FT n. 1/2852 del 27/07/2026</t>
  </si>
  <si>
    <t>FT n. 120RE/2026 del 31/07/2026</t>
  </si>
  <si>
    <t>FT n. 54782/00 del  9/06/2026</t>
  </si>
  <si>
    <t>FT n. A3436 del 15/06/2026</t>
  </si>
  <si>
    <t>FT n. 1/2445 del  8/07/2026</t>
  </si>
  <si>
    <t>FT n. D/073187 del 14/07/2026</t>
  </si>
  <si>
    <t>FT n. D/067934 del  1/07/2026</t>
  </si>
  <si>
    <t>FT n. D/081654 del 31/07/2026</t>
  </si>
  <si>
    <t>FT n. D/075278 del 17/07/2026</t>
  </si>
  <si>
    <t>FT n. D/072618 del 13/07/2026</t>
  </si>
  <si>
    <t>FT n. 1/2871 del 28/07/2026</t>
  </si>
  <si>
    <t>FT n. 51274/00 del  1/06/2026</t>
  </si>
  <si>
    <t>FT n. 1/2753 del 22/07/2026</t>
  </si>
  <si>
    <t>FT n. 12/873 del  5/06/2026</t>
  </si>
  <si>
    <t>FT n. A3935 del 30/06/2026</t>
  </si>
  <si>
    <t>TUR.COM. S.R.L.</t>
  </si>
  <si>
    <t>FT n. 279 del 28/07/2026</t>
  </si>
  <si>
    <t>FT n. 12834 del 15/06/2026</t>
  </si>
  <si>
    <t>FT n. 59385/00 del 18/06/2026</t>
  </si>
  <si>
    <t>FT n. 5162026 del  2/05/2026</t>
  </si>
  <si>
    <t>FT n. 1/2636 del 17/07/2026</t>
  </si>
  <si>
    <t>FT n. D/078864 del 27/07/2026</t>
  </si>
  <si>
    <t>FT n. 6852026 del 29/05/2026</t>
  </si>
  <si>
    <t>FT n. FC0031415-0 del 17/07/2026</t>
  </si>
  <si>
    <t>FT n. 59339/00 del 18/06/2026</t>
  </si>
  <si>
    <t>FT n. 1/2997 del 31/07/2026</t>
  </si>
  <si>
    <t>FT n. 64557/00 del 30/06/2026</t>
  </si>
  <si>
    <t>FT n. 12/929 del 10/06/2026</t>
  </si>
  <si>
    <t>FT n. 257 del 15/07/2026</t>
  </si>
  <si>
    <t>FT n. 5/10149 del  9/06/2026</t>
  </si>
  <si>
    <t>GALLO GIOVANNI &amp; C. SNC</t>
  </si>
  <si>
    <t>FT n. 568 del 22/06/2026</t>
  </si>
  <si>
    <t>FT n. 239 del  3/07/2026</t>
  </si>
  <si>
    <t>FT n. 259 del 21/07/2026</t>
  </si>
  <si>
    <t>FT n. 001588-0C0 del 12/06/2026</t>
  </si>
  <si>
    <t>FT n. 1/2712 del 20/07/2026</t>
  </si>
  <si>
    <t>FT n. 6912026 del 30/05/2026</t>
  </si>
  <si>
    <t>FT n. 12/1077 del 19/06/2026</t>
  </si>
  <si>
    <t>FT n. 536 del 12/06/2026</t>
  </si>
  <si>
    <t>FT n. 269 del 23/07/2026</t>
  </si>
  <si>
    <t>FT n. IT26-AEUI-12189053 del  4/08/2026</t>
  </si>
  <si>
    <t>NC n. 000005-0C0 1 del 16/06/2026</t>
  </si>
  <si>
    <t>NC n. 1849/00 del 15/06/2026</t>
  </si>
  <si>
    <t>ALBA LEASING S.P.A.</t>
  </si>
  <si>
    <t>USCITE_SERVIZI_PRODUZIONE</t>
  </si>
  <si>
    <t>FT n. V2 /2026/00282605 del 10/08/2026</t>
  </si>
  <si>
    <t>Altamira Srl</t>
  </si>
  <si>
    <t>FT n. 1/1356 del  1/08/2026</t>
  </si>
  <si>
    <t>SOFT TECNOLOGY SRL</t>
  </si>
  <si>
    <t>FT n. 2777/A del 31/07/2026</t>
  </si>
  <si>
    <t>Intesa Sanpaolo S.p.a</t>
  </si>
  <si>
    <t>FT n. 01S620262800386528 del 15/07/2026</t>
  </si>
  <si>
    <t>PRIMAVERA SERVIZI S.R.L.</t>
  </si>
  <si>
    <t>FT n. FPR 433/26 del  4/08/2026</t>
  </si>
  <si>
    <t>Italy Green Power S.p.A.</t>
  </si>
  <si>
    <t>USCITE_UTENZE</t>
  </si>
  <si>
    <t>FT n. IGP_013809_2026_G del  7/08/2026</t>
  </si>
  <si>
    <t>FT n. IGP_013808_2026_G del  7/08/2026</t>
  </si>
  <si>
    <t>4G ENERGIA SRL</t>
  </si>
  <si>
    <t>FT n. GAS-FAT260000035646 del 14/07/2026</t>
  </si>
  <si>
    <t>FT n. GAS-FAT260000035645 del 14/07/2026</t>
  </si>
  <si>
    <t>FT n. GAS-FAT260000035644 del 14/07/2026</t>
  </si>
  <si>
    <t>FT n. GAS-FAT260000035643 del 14/07/2026</t>
  </si>
  <si>
    <t>FT n. GAS-FAT260000035642 del 14/07/2026</t>
  </si>
  <si>
    <t>FT n. GAS-FAT260000035641 del 14/07/2026</t>
  </si>
  <si>
    <t>FT n. GAS-FAT260000035640 del 14/07/2026</t>
  </si>
  <si>
    <t>FT n. GAS-FAT260000035639 del 14/07/2026</t>
  </si>
  <si>
    <t>FT n. GAS-FAT260000035638 del 14/07/2026</t>
  </si>
  <si>
    <t>FT n. GAS-FAT260000035637 del 14/07/2026</t>
  </si>
  <si>
    <t>atelier tessuti &amp; arredo srls</t>
  </si>
  <si>
    <t>USCITE_VARIE_EXT</t>
  </si>
  <si>
    <t>FT n. FPR 9/26 del  5/08/2026</t>
  </si>
  <si>
    <t>APICELLA LORENZO</t>
  </si>
  <si>
    <t>FT n. 26 del 11/08/2026</t>
  </si>
  <si>
    <t>FT n. VF26023641 del 31/07/2026</t>
  </si>
  <si>
    <t>Presspower S.r.l.</t>
  </si>
  <si>
    <t>FT n. 26-004285 del  5/08/2026</t>
  </si>
  <si>
    <t>SLOPE S.R.L.</t>
  </si>
  <si>
    <t>FT n. IT6000181NLIJI del  4/08/2026</t>
  </si>
  <si>
    <t>CREATIVE IDEA S.N.C. DI DE</t>
  </si>
  <si>
    <t>FT n. FPR 68/26 del  1/07/2026</t>
  </si>
  <si>
    <t>2026-08 (scaduto)</t>
  </si>
  <si>
    <t>FT n. 512 del 24/06/2026</t>
  </si>
  <si>
    <t>FT n. 430 del  3/06/2026</t>
  </si>
  <si>
    <t>FT n. 454 del  9/06/2026</t>
  </si>
  <si>
    <t>FT n. 1217 del 12/05/2026</t>
  </si>
  <si>
    <t>FT n. 1392 del 29/05/2026</t>
  </si>
  <si>
    <t>FT n. 1300 del 20/05/2026</t>
  </si>
  <si>
    <t>MEDIAMARKET S.P.A. CON SOCIO</t>
  </si>
  <si>
    <t>FT n. 365 01458 del 10/05/2026</t>
  </si>
  <si>
    <t>FT n. 1147 del  6/05/2026</t>
  </si>
  <si>
    <t>SAL DE RISO COSTA D AMALFI</t>
  </si>
  <si>
    <t>FT n. 2553/00 del 24/07/2026</t>
  </si>
  <si>
    <t>FT n. 2609/00 del 31/07/2026</t>
  </si>
  <si>
    <t>CIMINI</t>
  </si>
  <si>
    <t>FT n. 1/32 del 16/08/2025</t>
  </si>
  <si>
    <t>SORRENTINO GIOVANNI S.N.C. DI</t>
  </si>
  <si>
    <t>FT n. 3779/00 del 22/06/2026</t>
  </si>
  <si>
    <t>SOCIETA' INGROSSO TELEVISORI</t>
  </si>
  <si>
    <t>NC n. IT60002LW90RDC del 27/03/2026</t>
  </si>
  <si>
    <t>USCITE_COMMISSIONI</t>
  </si>
  <si>
    <t>FT n. 2879949 del 13/07/2026</t>
  </si>
  <si>
    <t>FT n. 2879950 del 13/07/2026</t>
  </si>
  <si>
    <t>FT n. 2040803 del 29/01/2026</t>
  </si>
  <si>
    <t>FT n. S/1231 del 15/05/2025</t>
  </si>
  <si>
    <t>FT n. 001223-0C0 del 13/05/2026</t>
  </si>
  <si>
    <t>FT n. 3220 del 26/06/2026</t>
  </si>
  <si>
    <t>FT n. 001151-0C0 del  6/05/2026</t>
  </si>
  <si>
    <t>FT n. 001371-0C0 del 27/05/2026</t>
  </si>
  <si>
    <t>FT n. S/2256 del 15/07/2026</t>
  </si>
  <si>
    <t>FT n. S/2482 del 31/07/2026</t>
  </si>
  <si>
    <t>FT n. 001295-0C0 del 20/05/2026</t>
  </si>
  <si>
    <t>FT n. S/1285 del 30/04/2026</t>
  </si>
  <si>
    <t>FT n. IT26-AEUI-4702282 del 26/03/2026</t>
  </si>
  <si>
    <t>FT n. 001242-0C0 del 15/05/2026</t>
  </si>
  <si>
    <t>FT n. 2783 del  5/06/2026</t>
  </si>
  <si>
    <t>FT n. 1820/2026-H01-F del 10/07/2026</t>
  </si>
  <si>
    <t>FT n. 1/151 del 28/02/2026</t>
  </si>
  <si>
    <t>FT n. IT26-AEUI-3481247 del  5/03/2026</t>
  </si>
  <si>
    <t>FT n. IT60008CC70VFI del  4/03/2026</t>
  </si>
  <si>
    <t>ROMANO CIRO S.R.L.</t>
  </si>
  <si>
    <t>FT n. 39 del 13/10/2025</t>
  </si>
  <si>
    <t>RG Commerciale S.r.l.</t>
  </si>
  <si>
    <t>FT n. 1/6315 del 28/07/2026</t>
  </si>
  <si>
    <t>FT n. 904/SA del 20/05/2025</t>
  </si>
  <si>
    <t>CAPUANO RAFFAELE</t>
  </si>
  <si>
    <t>FT n. FPA202526 del 20/12/2025</t>
  </si>
  <si>
    <t>FT n. 514 del 25/03/2026</t>
  </si>
  <si>
    <t>FT n. IT6000F7JNNY5I del  3/03/2026</t>
  </si>
  <si>
    <t>FT n. 022  00554 del 14/12/2025</t>
  </si>
  <si>
    <t>FT n. W613 del 15/03/2026</t>
  </si>
  <si>
    <t>OIP SRL</t>
  </si>
  <si>
    <t>FT n. 1/175 del 26/06/2026</t>
  </si>
  <si>
    <t>FT n. IT26-AEUI-12022094 del 31/07/2026</t>
  </si>
  <si>
    <t>FT n. IT26-AEUI-5689887 del 14/04/2026</t>
  </si>
  <si>
    <t>FT n. IT26-AEUI-3803188 del 11/03/2026</t>
  </si>
  <si>
    <t>FT n. IT26-AEUI-12022212 del 31/07/2026</t>
  </si>
  <si>
    <t>FT n. 293 del 13/03/2026</t>
  </si>
  <si>
    <t>FT n. IT26-AEUI-3657422 del  9/03/2026</t>
  </si>
  <si>
    <t>FT n. IT26-AEUI-5045326 del  1/04/2026</t>
  </si>
  <si>
    <t>PASTICCERIA NAPOLI SNC</t>
  </si>
  <si>
    <t>FT n. 7 del 27/07/2026</t>
  </si>
  <si>
    <t>NC n. 2 del 27/07/2026</t>
  </si>
  <si>
    <t>NC n. V/110 del 31/05/2025</t>
  </si>
  <si>
    <t>PIETRA DI LUNA HOTEL - S.R.L.</t>
  </si>
  <si>
    <t>FT n. 209/F del  7/06/2026</t>
  </si>
  <si>
    <t>FT n. 304/F del  3/07/2026</t>
  </si>
  <si>
    <t>Aruba S.p.A.</t>
  </si>
  <si>
    <t>FT n. 1000263004373957 del 14/05/2026</t>
  </si>
  <si>
    <t>FT n. GCITD0007433734 del 31/07/2026</t>
  </si>
  <si>
    <t>FT n. GCITD0007019415 del 31/05/2026</t>
  </si>
  <si>
    <t>FT n. GCITD0007228669 del 30/06/2026</t>
  </si>
  <si>
    <t>FT n. GCITD0006856931 del 30/04/2026</t>
  </si>
  <si>
    <t>FT n. 38 del  8/04/2026</t>
  </si>
  <si>
    <t>FT n. EC_2026_0218901 del 17/06/2026</t>
  </si>
  <si>
    <t>FT n. 702 del 31/07/2026</t>
  </si>
  <si>
    <t>RISTORANTE MARIA GRAZIA S.R.L.</t>
  </si>
  <si>
    <t>FT n. 114A del 28/07/2026</t>
  </si>
  <si>
    <t>NILA S.R.L.</t>
  </si>
  <si>
    <t>FT n. 510ART/2026 del 24/06/2026</t>
  </si>
  <si>
    <t>I.R.P.S. SRL</t>
  </si>
  <si>
    <t>FT n. 5951 del 30/06/2026</t>
  </si>
  <si>
    <t>LEONE S.R.L.</t>
  </si>
  <si>
    <t>FT n. 009486/26A del 23/07/2026</t>
  </si>
  <si>
    <t>TO SHARE SRLS</t>
  </si>
  <si>
    <t>FT n. 23/RIST del 30/07/2026</t>
  </si>
  <si>
    <t>D.L. Brothers srl</t>
  </si>
  <si>
    <t>FT n. 38/F del 28/05/2026</t>
  </si>
  <si>
    <t>FT n. 326 del 10/04/2026</t>
  </si>
  <si>
    <t>GDM S.P.A.</t>
  </si>
  <si>
    <t>FT n. 0079B del  8/07/2026</t>
  </si>
  <si>
    <t>FT n. VF26019879 del 30/06/2026</t>
  </si>
  <si>
    <t>FT n. 061-013091 del 10/05/2026</t>
  </si>
  <si>
    <t>FT n. VF26015509 del 31/05/2026</t>
  </si>
  <si>
    <t>FT n. VF26012165 del 30/04/2026</t>
  </si>
  <si>
    <t>PUNTOFFICE DI CARDARELLI RITA</t>
  </si>
  <si>
    <t>FT n. 24 del 11/06/2026</t>
  </si>
  <si>
    <t>APPLE RETAIL ITALIA S.R.L.</t>
  </si>
  <si>
    <t>AD n. 2 del 19/05/2026</t>
  </si>
  <si>
    <t>FT n. 2026110000892 del 10/04/2026</t>
  </si>
  <si>
    <t>AMALFIWEB - SOCIETA' A</t>
  </si>
  <si>
    <t>FT n. 391 del  3/08/2026</t>
  </si>
  <si>
    <t>2026-09</t>
  </si>
  <si>
    <t>FT n. 727 del 11/08/2026</t>
  </si>
  <si>
    <t>FT n. FPR 371/26 del 11/08/2026</t>
  </si>
  <si>
    <t>FT n. 1919 del 17/07/2026</t>
  </si>
  <si>
    <t>FT n. 2050 del 30/07/2026</t>
  </si>
  <si>
    <t>FT n. 1786 del  3/07/2026</t>
  </si>
  <si>
    <t>FT n. 1849 del  9/07/2026</t>
  </si>
  <si>
    <t>FT n. 1988 del 24/07/2026</t>
  </si>
  <si>
    <t>FT n. 2026-8907 del  4/08/2026</t>
  </si>
  <si>
    <t>FT n. 4200 del 31/07/2026</t>
  </si>
  <si>
    <t>FT n. 101/B01 del 30/06/2026</t>
  </si>
  <si>
    <t>FT n. 1465/FDV del 30/06/2026</t>
  </si>
  <si>
    <t>FT n. 1/816 del 14/07/2026</t>
  </si>
  <si>
    <t>FT n. 4201 del 31/07/2026</t>
  </si>
  <si>
    <t>FT n. 001841-0C0 del  7/07/2026</t>
  </si>
  <si>
    <t>FT n. 001924-0C0 del 14/07/2026</t>
  </si>
  <si>
    <t>FT n. 002011-0C0 del 21/07/2026</t>
  </si>
  <si>
    <t>FT n. 4202 del 31/07/2026</t>
  </si>
  <si>
    <t>FT n. 5/11980 del 26/06/2026</t>
  </si>
  <si>
    <t>FT n. 002090-0C0 del 28/07/2026</t>
  </si>
  <si>
    <t>FT n. 5/14701 del 24/07/2026</t>
  </si>
  <si>
    <t>FT n. 5/12688 del  3/07/2026</t>
  </si>
  <si>
    <t>FT n. 1/3036 del  4/08/2026</t>
  </si>
  <si>
    <t>FT n. 12/1364 del  8/07/2026</t>
  </si>
  <si>
    <t>FT n. 5/15433 del 31/07/2026</t>
  </si>
  <si>
    <t>FT n. 1/3103 del  6/08/2026</t>
  </si>
  <si>
    <t>FT n. 5/13316 del 10/07/2026</t>
  </si>
  <si>
    <t>FT n. 5/13997 del 17/07/2026</t>
  </si>
  <si>
    <t>FT n. D/083779 del  3/08/2026</t>
  </si>
  <si>
    <t>FT n. 5/12940 del  7/07/2026</t>
  </si>
  <si>
    <t>FT n. 1/3005 del  1/08/2026</t>
  </si>
  <si>
    <t>FT n. 1/3074 del  5/08/2026</t>
  </si>
  <si>
    <t>FT n. 5/13680 del 14/07/2026</t>
  </si>
  <si>
    <t>FT n. 5/14335 del 21/07/2026</t>
  </si>
  <si>
    <t>FT n. D/086981 del 11/08/2026</t>
  </si>
  <si>
    <t>FT n. 12/1633 del 24/07/2026</t>
  </si>
  <si>
    <t>FT n. D/086334 del 10/08/2026</t>
  </si>
  <si>
    <t>FT n. 001918-0C0 del 10/07/2026</t>
  </si>
  <si>
    <t>FT n. D/085388 del  6/08/2026</t>
  </si>
  <si>
    <t>FT n. 5/15035 del 28/07/2026</t>
  </si>
  <si>
    <t>FT n. 1312 del  2/07/2026</t>
  </si>
  <si>
    <t>FT n. 3994 del  5/08/2026</t>
  </si>
  <si>
    <t>FT n. 1523 del 24/07/2026</t>
  </si>
  <si>
    <t>FT n. 5/15036 del 28/07/2026</t>
  </si>
  <si>
    <t>FT n. 76252/00 del 23/07/2026</t>
  </si>
  <si>
    <t>FT n. D/087489 del 11/08/2026</t>
  </si>
  <si>
    <t>FT n. 12/1532 del 17/07/2026</t>
  </si>
  <si>
    <t>FT n. A4462 del 15/07/2026</t>
  </si>
  <si>
    <t>FT n. 78390/00 del 28/07/2026</t>
  </si>
  <si>
    <t>FT n. 12/1448 del 13/07/2026</t>
  </si>
  <si>
    <t>FT n. 12/1242 del 29/06/2026</t>
  </si>
  <si>
    <t>FT n. 18011 del 31/07/2026</t>
  </si>
  <si>
    <t>FT n. 76012/00 del 23/07/2026</t>
  </si>
  <si>
    <t>FT n. 1342 del  6/07/2026</t>
  </si>
  <si>
    <t>FT n. 1412 del 14/07/2026</t>
  </si>
  <si>
    <t>FT n. 1422 del 15/07/2026</t>
  </si>
  <si>
    <t>FT n. 289 del  5/08/2026</t>
  </si>
  <si>
    <t>FT n. 71189/00 del 14/07/2026</t>
  </si>
  <si>
    <t>FT n. 72927/00 del 16/07/2026</t>
  </si>
  <si>
    <t>FT n. 12/1668 del 27/07/2026</t>
  </si>
  <si>
    <t>FT n. 68036/00 del  7/07/2026</t>
  </si>
  <si>
    <t>FT n. 002007-0C0 del 17/07/2026</t>
  </si>
  <si>
    <t>FT n. 71569/00 del 14/07/2026</t>
  </si>
  <si>
    <t>FT n. A4997 del 31/07/2026</t>
  </si>
  <si>
    <t>FT n. 5/13554 del 13/07/2026</t>
  </si>
  <si>
    <t>FT n. 2152 del  6/08/2026</t>
  </si>
  <si>
    <t>2026-10</t>
  </si>
  <si>
    <t>FT n. 136/B01 del 31/07/2026</t>
  </si>
  <si>
    <t>FT n. 1671/FDV del 31/07/2026</t>
  </si>
  <si>
    <t>FT n. 002197-0C0 del  4/08/2026</t>
  </si>
  <si>
    <t>FT n. 5/15778 del  4/08/2026</t>
  </si>
  <si>
    <t>FT n. 5/16231 del  7/08/2026</t>
  </si>
  <si>
    <t>FT n. 5/15694 del  3/08/2026</t>
  </si>
  <si>
    <t>FT n. 12/1898 del 10/08/2026</t>
  </si>
  <si>
    <t>FT n. 12/1874 del  7/08/2026</t>
  </si>
  <si>
    <t>FT n. 725 del  5/08/2026</t>
  </si>
  <si>
    <t>FT n. 1600 del  1/08/2026</t>
  </si>
  <si>
    <t>FT n. 12/1800 del  3/08/2026</t>
  </si>
  <si>
    <t>FT n. 10192026 del  7/07/2026</t>
  </si>
  <si>
    <t>FT n. 11632026 del 24/07/2026</t>
  </si>
  <si>
    <t>FT n. 10062026 del  5/07/2026</t>
  </si>
  <si>
    <t>FT n. 11252026 del 19/07/2026</t>
  </si>
  <si>
    <t>FT n. 11972026 del 28/07/2026</t>
  </si>
  <si>
    <t>FT n. 12952026 del  8/08/2026</t>
  </si>
  <si>
    <t>2026-11</t>
  </si>
  <si>
    <t>FT n. 12262026 del  1/08/2026</t>
  </si>
  <si>
    <t>TOTALE</t>
  </si>
  <si>
    <t>Catena F4:Q4 = mese prec riga 37?</t>
  </si>
  <si>
    <t>Riga 12 = SUM(6:11) per mesi C:Q?</t>
  </si>
  <si>
    <t>Riga 27 = SUM(14:26) per mesi C:Q?</t>
  </si>
  <si>
    <t>Riga 29 = Entrate - Uscite per mesi C:Q?</t>
  </si>
  <si>
    <t>6. RIFERIMENTI USCITE — FOGLI DETTAGLIO (mesi C:Q)</t>
  </si>
  <si>
    <t>Riga 37 = riga 4 + riga 29 per mesi C:Q?</t>
  </si>
  <si>
    <t>Riga 45 = riga 37 + riga 43 per mesi C:Q?</t>
  </si>
  <si>
    <t>9. COLONNA TOTALI (R)</t>
  </si>
  <si>
    <t>R12 Totale Entrate = SUM(C12:Q12)?</t>
  </si>
  <si>
    <t>R27 Totale Uscite = SUM(C27:Q27)?</t>
  </si>
  <si>
    <t>R29 Cash Flow = R12 - R27?</t>
  </si>
  <si>
    <t>10. TOTALI RIGA (R) E SALDI FINALI</t>
  </si>
  <si>
    <t>R6:R11 Entrate per voce = SUM(C:Q)?</t>
  </si>
  <si>
    <t>R14:R26 Uscite per voce = SUM(C:Q)?</t>
  </si>
  <si>
    <t>R37 = Q37 e R45 = Q45 (saldo finale = ultimo mese)?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</si>
</sst>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€-2]\ * #,##0.00_-;\-[$€-2]\ * #,##0.00_-;_-[$€-2]\ * &quot;-&quot;??_-;_-@"/>
    <numFmt numFmtId="165" formatCode="d/m/yyyy"/>
    <numFmt numFmtId="166" formatCode="_([$€-2]\ * #,##0.00_);_([$€-2]\ * \(#,##0.00\);_([$€-2]\ * &quot;-&quot;??_);_(@_)"/>
  </numFmts>
  <fonts count="53" x14ac:knownFonts="1">
    <font>
      <sz val="12"/>
      <color theme="1"/>
      <name val="Aptos Narrow"/>
      <scheme val="minor"/>
    </font>
    <font>
      <sz val="11"/>
      <color theme="1"/>
      <name val="Arial"/>
      <family val="2"/>
    </font>
    <font>
      <b/>
      <sz val="16"/>
      <color rgb="FF1F3864"/>
      <name val="Arial"/>
      <family val="2"/>
    </font>
    <font>
      <b/>
      <sz val="11"/>
      <color theme="1"/>
      <name val="Arial"/>
      <family val="2"/>
    </font>
    <font>
      <sz val="12"/>
      <color theme="1"/>
      <name val="Aptos Narrow"/>
      <family val="2"/>
    </font>
    <font>
      <b/>
      <sz val="20"/>
      <color rgb="FF1F3864"/>
      <name val="Calibri"/>
      <family val="2"/>
    </font>
    <font>
      <b/>
      <sz val="14"/>
      <color rgb="FF1F3864"/>
      <name val="Arial"/>
      <family val="2"/>
    </font>
    <font>
      <sz val="12"/>
      <color theme="1"/>
      <name val="Calibri"/>
      <family val="2"/>
    </font>
    <font>
      <b/>
      <sz val="14"/>
      <color rgb="FF1F3864"/>
      <name val="Calibri"/>
      <family val="2"/>
    </font>
    <font>
      <i/>
      <sz val="11"/>
      <color rgb="FF808080"/>
      <name val="Arial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rgb="FF1F3864"/>
      <name val="Arial"/>
      <family val="2"/>
    </font>
    <font>
      <b/>
      <sz val="14"/>
      <color rgb="FF4472C4"/>
      <name val="Calibri"/>
      <family val="2"/>
    </font>
    <font>
      <b/>
      <sz val="12"/>
      <color rgb="FFFFFFFF"/>
      <name val="Calibri"/>
      <family val="2"/>
    </font>
    <font>
      <sz val="11"/>
      <color rgb="FF333333"/>
      <name val="Arial"/>
      <family val="2"/>
    </font>
    <font>
      <b/>
      <sz val="11"/>
      <color rgb="FF006100"/>
      <name val="Arial"/>
      <family val="2"/>
    </font>
    <font>
      <sz val="12"/>
      <color rgb="FFFFFFFF"/>
      <name val="Calibri"/>
      <family val="2"/>
    </font>
    <font>
      <b/>
      <sz val="12"/>
      <color rgb="FFC00000"/>
      <name val="Calibri"/>
      <family val="2"/>
    </font>
    <font>
      <b/>
      <sz val="12"/>
      <color theme="1"/>
      <name val="Aptos Narrow"/>
      <family val="2"/>
    </font>
    <font>
      <b/>
      <sz val="12"/>
      <color rgb="FF1F3864"/>
      <name val="Calibri"/>
      <family val="2"/>
    </font>
    <font>
      <b/>
      <sz val="11"/>
      <color rgb="FF000000"/>
      <name val="Arial"/>
      <family val="2"/>
    </font>
    <font>
      <sz val="12"/>
      <color rgb="FF000000"/>
      <name val="Calibri"/>
      <family val="2"/>
    </font>
    <font>
      <b/>
      <u/>
      <sz val="12"/>
      <color rgb="FF006100"/>
      <name val="Calibri"/>
      <family val="2"/>
    </font>
    <font>
      <b/>
      <u/>
      <sz val="12"/>
      <color rgb="FF006100"/>
      <name val="Calibri"/>
      <family val="2"/>
    </font>
    <font>
      <b/>
      <u/>
      <sz val="12"/>
      <color rgb="FF006100"/>
      <name val="Calibri"/>
      <family val="2"/>
    </font>
    <font>
      <b/>
      <u/>
      <sz val="12"/>
      <color rgb="FF006100"/>
      <name val="Calibri"/>
      <family val="2"/>
    </font>
    <font>
      <b/>
      <u/>
      <sz val="12"/>
      <color rgb="FF006100"/>
      <name val="Calibri"/>
      <family val="2"/>
    </font>
    <font>
      <b/>
      <u/>
      <sz val="12"/>
      <color rgb="FF006100"/>
      <name val="Calibri"/>
      <family val="2"/>
    </font>
    <font>
      <b/>
      <u/>
      <sz val="12"/>
      <color theme="1"/>
      <name val="Aptos Narrow"/>
      <family val="2"/>
    </font>
    <font>
      <sz val="11"/>
      <color rgb="FF006100"/>
      <name val="Arial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b/>
      <u/>
      <sz val="12"/>
      <color rgb="FFC00000"/>
      <name val="Calibri"/>
      <family val="2"/>
    </font>
    <font>
      <b/>
      <u/>
      <sz val="12"/>
      <color rgb="FF1F3864"/>
      <name val="Calibri"/>
      <family val="2"/>
    </font>
    <font>
      <b/>
      <i/>
      <sz val="12"/>
      <color rgb="FF0070C0"/>
      <name val="Calibri"/>
      <family val="2"/>
    </font>
    <font>
      <sz val="12"/>
      <color rgb="FF0000FF"/>
      <name val="Calibri"/>
      <family val="2"/>
    </font>
    <font>
      <b/>
      <u/>
      <sz val="12"/>
      <color rgb="FF006100"/>
      <name val="Calibri"/>
      <family val="2"/>
    </font>
    <font>
      <b/>
      <sz val="12"/>
      <color rgb="FF006100"/>
      <name val="Calibri"/>
      <family val="2"/>
    </font>
    <font>
      <b/>
      <sz val="13"/>
      <color rgb="FF1F3864"/>
      <name val="Calibri"/>
      <family val="2"/>
    </font>
    <font>
      <b/>
      <u/>
      <sz val="13"/>
      <color theme="1"/>
      <name val="Calibri"/>
      <family val="2"/>
    </font>
    <font>
      <b/>
      <sz val="13"/>
      <color theme="1"/>
      <name val="Calibri"/>
      <family val="2"/>
    </font>
    <font>
      <sz val="12"/>
      <color rgb="FFFF0000"/>
      <name val="Calibri"/>
      <family val="2"/>
    </font>
    <font>
      <b/>
      <u/>
      <sz val="12"/>
      <color rgb="FF7030A0"/>
      <name val="Calibri"/>
      <family val="2"/>
    </font>
    <font>
      <b/>
      <sz val="12"/>
      <color rgb="FF7030A0"/>
      <name val="Calibri"/>
      <family val="2"/>
    </font>
    <font>
      <b/>
      <sz val="14"/>
      <color rgb="FF006100"/>
      <name val="Arial"/>
      <family val="2"/>
    </font>
    <font>
      <b/>
      <sz val="11"/>
      <color rgb="FF7F6000"/>
      <name val="Arial"/>
      <family val="2"/>
    </font>
    <font>
      <b/>
      <i/>
      <sz val="11"/>
      <color rgb="FF7F6000"/>
      <name val="Arial"/>
      <family val="2"/>
    </font>
    <font>
      <b/>
      <sz val="11"/>
      <color rgb="FFFF0000"/>
      <name val="Arial"/>
      <family val="2"/>
    </font>
    <font>
      <u/>
      <sz val="11"/>
      <color rgb="FF0000FF"/>
      <name val="Arial"/>
      <family val="2"/>
    </font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F2D0"/>
        <bgColor rgb="FFD9F2D0"/>
      </patternFill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C6EFCE"/>
        <bgColor rgb="FFC6EFCE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FBE5D6"/>
        <bgColor rgb="FFFBE5D6"/>
      </patternFill>
    </fill>
    <fill>
      <patternFill patternType="solid">
        <fgColor rgb="FFF1CEEE"/>
        <bgColor rgb="FFF1CEEE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FFFFFF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/>
      <bottom style="medium">
        <color rgb="FF1F3864"/>
      </bottom>
      <diagonal/>
    </border>
    <border>
      <left/>
      <right/>
      <top style="thin">
        <color rgb="FF006100"/>
      </top>
      <bottom style="double">
        <color rgb="FF006100"/>
      </bottom>
      <diagonal/>
    </border>
    <border>
      <left style="thin">
        <color rgb="FF000000"/>
      </left>
      <right/>
      <top/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double">
        <color rgb="FF006100"/>
      </bottom>
      <diagonal/>
    </border>
    <border>
      <left style="thin">
        <color rgb="FF000000"/>
      </left>
      <right/>
      <top/>
      <bottom/>
      <diagonal/>
    </border>
    <border>
      <left style="dotted">
        <color rgb="FF000000"/>
      </left>
      <right style="dotted">
        <color rgb="FFB4C6E7"/>
      </right>
      <top style="thin">
        <color rgb="FF000000"/>
      </top>
      <bottom style="dotted">
        <color rgb="FFB4C6E7"/>
      </bottom>
      <diagonal/>
    </border>
    <border>
      <left style="dotted">
        <color rgb="FFB4C6E7"/>
      </left>
      <right style="dotted">
        <color rgb="FFB4C6E7"/>
      </right>
      <top style="thin">
        <color rgb="FF000000"/>
      </top>
      <bottom style="dotted">
        <color rgb="FFB4C6E7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B4C6E7"/>
      </left>
      <right/>
      <top style="thin">
        <color rgb="FF000000"/>
      </top>
      <bottom style="dotted">
        <color rgb="FFB4C6E7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B4C6E7"/>
      </right>
      <top style="dotted">
        <color rgb="FFB4C6E7"/>
      </top>
      <bottom style="dotted">
        <color rgb="FFB4C6E7"/>
      </bottom>
      <diagonal/>
    </border>
    <border>
      <left style="dotted">
        <color rgb="FFB4C6E7"/>
      </left>
      <right style="dotted">
        <color rgb="FFB4C6E7"/>
      </right>
      <top style="dotted">
        <color rgb="FFB4C6E7"/>
      </top>
      <bottom style="dotted">
        <color rgb="FFB4C6E7"/>
      </bottom>
      <diagonal/>
    </border>
    <border>
      <left style="dotted">
        <color rgb="FFB4C6E7"/>
      </left>
      <right/>
      <top style="dotted">
        <color rgb="FFB4C6E7"/>
      </top>
      <bottom style="dotted">
        <color rgb="FFB4C6E7"/>
      </bottom>
      <diagonal/>
    </border>
    <border>
      <left style="dotted">
        <color rgb="FFB4C6E7"/>
      </left>
      <right/>
      <top style="dotted">
        <color rgb="FFB4C6E7"/>
      </top>
      <bottom style="dotted">
        <color rgb="FFB4C6E7"/>
      </bottom>
      <diagonal/>
    </border>
    <border>
      <left/>
      <right style="dotted">
        <color rgb="FFB4C6E7"/>
      </right>
      <top style="dotted">
        <color rgb="FFB4C6E7"/>
      </top>
      <bottom style="dotted">
        <color rgb="FFB4C6E7"/>
      </bottom>
      <diagonal/>
    </border>
    <border>
      <left/>
      <right/>
      <top style="thin">
        <color rgb="FF000000"/>
      </top>
      <bottom style="double">
        <color rgb="FFC00000"/>
      </bottom>
      <diagonal/>
    </border>
    <border>
      <left/>
      <right/>
      <top style="thin">
        <color rgb="FF1F3864"/>
      </top>
      <bottom style="double">
        <color rgb="FF1F3864"/>
      </bottom>
      <diagonal/>
    </border>
    <border>
      <left/>
      <right style="dotted">
        <color rgb="FFB4C6E7"/>
      </right>
      <top style="dotted">
        <color rgb="FFB4C6E7"/>
      </top>
      <bottom style="dotted">
        <color rgb="FFB4C6E7"/>
      </bottom>
      <diagonal/>
    </border>
    <border>
      <left/>
      <right/>
      <top style="thin">
        <color rgb="FF000000"/>
      </top>
      <bottom style="double">
        <color rgb="FF0061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7030A0"/>
      </bottom>
      <diagonal/>
    </border>
    <border>
      <left/>
      <right style="dotted">
        <color rgb="FFB4C6E7"/>
      </right>
      <top style="dotted">
        <color rgb="FFB4C6E7"/>
      </top>
      <bottom style="double">
        <color rgb="FF000000"/>
      </bottom>
      <diagonal/>
    </border>
    <border>
      <left style="dotted">
        <color rgb="FFB4C6E7"/>
      </left>
      <right style="dotted">
        <color rgb="FFB4C6E7"/>
      </right>
      <top style="dotted">
        <color rgb="FFB4C6E7"/>
      </top>
      <bottom style="double">
        <color rgb="FF000000"/>
      </bottom>
      <diagonal/>
    </border>
    <border>
      <left style="dotted">
        <color rgb="FFB4C6E7"/>
      </left>
      <right/>
      <top style="dotted">
        <color rgb="FFB4C6E7"/>
      </top>
      <bottom style="double">
        <color rgb="FF000000"/>
      </bottom>
      <diagonal/>
    </border>
    <border>
      <left/>
      <right/>
      <top style="double">
        <color rgb="FF006100"/>
      </top>
      <bottom style="double">
        <color rgb="FF0061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1F3864"/>
      </bottom>
      <diagonal/>
    </border>
    <border>
      <left style="thin">
        <color rgb="FF000000"/>
      </left>
      <right style="double">
        <color rgb="FF000000"/>
      </right>
      <top/>
      <bottom style="medium">
        <color rgb="FF1F3864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dotted">
        <color rgb="FFB4C6E7"/>
      </left>
      <right style="double">
        <color rgb="FF1F3864"/>
      </right>
      <top style="thin">
        <color rgb="FF000000"/>
      </top>
      <bottom style="dotted">
        <color rgb="FFB4C6E7"/>
      </bottom>
      <diagonal/>
    </border>
    <border>
      <left style="dotted">
        <color rgb="FFB4C6E7"/>
      </left>
      <right style="double">
        <color rgb="FF1F3864"/>
      </right>
      <top style="dotted">
        <color rgb="FFB4C6E7"/>
      </top>
      <bottom style="dotted">
        <color rgb="FFB4C6E7"/>
      </bottom>
      <diagonal/>
    </border>
    <border>
      <left style="dotted">
        <color rgb="FFB4C6E7"/>
      </left>
      <right style="double">
        <color rgb="FF1F3864"/>
      </right>
      <top style="dotted">
        <color rgb="FFB4C6E7"/>
      </top>
      <bottom style="double">
        <color rgb="FF000000"/>
      </bottom>
      <diagonal/>
    </border>
  </borders>
  <cellStyleXfs count="1">
    <xf numFmtId="0" fontId="0" fillId="0" borderId="1"/>
  </cellStyleXfs>
  <cellXfs count="168">
    <xf numFmtId="0" fontId="0" fillId="0" borderId="0" xfId="0" applyBorder="1"/>
    <xf numFmtId="0" fontId="1" fillId="2" borderId="1" xfId="0" applyFont="1" applyFill="1" applyAlignment="1">
      <alignment horizontal="center"/>
    </xf>
    <xf numFmtId="0" fontId="2" fillId="2" borderId="1" xfId="0" applyFont="1" applyFill="1"/>
    <xf numFmtId="0" fontId="3" fillId="2" borderId="1" xfId="0" applyFont="1" applyFill="1" applyAlignment="1">
      <alignment horizontal="center"/>
    </xf>
    <xf numFmtId="0" fontId="1" fillId="0" borderId="0" xfId="0" applyFont="1" applyBorder="1"/>
    <xf numFmtId="0" fontId="4" fillId="0" borderId="0" xfId="0" applyFont="1" applyBorder="1"/>
    <xf numFmtId="0" fontId="5" fillId="3" borderId="1" xfId="0" applyFont="1" applyFill="1" applyAlignment="1">
      <alignment horizontal="left" vertical="center"/>
    </xf>
    <xf numFmtId="0" fontId="7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2" borderId="1" xfId="0" applyFont="1" applyFill="1"/>
    <xf numFmtId="0" fontId="9" fillId="2" borderId="1" xfId="0" applyFont="1" applyFill="1" applyAlignment="1">
      <alignment horizontal="center"/>
    </xf>
    <xf numFmtId="0" fontId="10" fillId="2" borderId="1" xfId="0" applyFont="1" applyFill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12" fillId="5" borderId="4" xfId="0" applyFont="1" applyFill="1" applyBorder="1"/>
    <xf numFmtId="0" fontId="14" fillId="4" borderId="5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0" fontId="15" fillId="2" borderId="1" xfId="0" applyFont="1" applyFill="1"/>
    <xf numFmtId="0" fontId="16" fillId="6" borderId="7" xfId="0" applyFont="1" applyFill="1" applyBorder="1"/>
    <xf numFmtId="0" fontId="14" fillId="4" borderId="8" xfId="0" applyFont="1" applyFill="1" applyBorder="1" applyAlignment="1">
      <alignment horizontal="center"/>
    </xf>
    <xf numFmtId="164" fontId="16" fillId="6" borderId="7" xfId="0" applyNumberFormat="1" applyFont="1" applyFill="1" applyBorder="1"/>
    <xf numFmtId="0" fontId="3" fillId="0" borderId="9" xfId="0" applyFont="1" applyBorder="1" applyAlignment="1">
      <alignment horizontal="center"/>
    </xf>
    <xf numFmtId="0" fontId="16" fillId="6" borderId="1" xfId="0" applyFont="1" applyFill="1" applyAlignment="1">
      <alignment horizontal="center"/>
    </xf>
    <xf numFmtId="0" fontId="17" fillId="2" borderId="1" xfId="0" applyFont="1" applyFill="1" applyAlignment="1">
      <alignment horizontal="center"/>
    </xf>
    <xf numFmtId="0" fontId="14" fillId="2" borderId="10" xfId="0" applyFont="1" applyFill="1" applyBorder="1" applyAlignment="1">
      <alignment horizontal="center"/>
    </xf>
    <xf numFmtId="164" fontId="16" fillId="6" borderId="11" xfId="0" applyNumberFormat="1" applyFont="1" applyFill="1" applyBorder="1" applyAlignment="1">
      <alignment horizontal="right"/>
    </xf>
    <xf numFmtId="0" fontId="14" fillId="2" borderId="12" xfId="0" applyFont="1" applyFill="1" applyBorder="1" applyAlignment="1">
      <alignment horizontal="center"/>
    </xf>
    <xf numFmtId="0" fontId="18" fillId="5" borderId="1" xfId="0" applyFont="1" applyFill="1" applyAlignment="1">
      <alignment horizontal="left"/>
    </xf>
    <xf numFmtId="0" fontId="19" fillId="0" borderId="0" xfId="0" applyFont="1" applyBorder="1"/>
    <xf numFmtId="0" fontId="20" fillId="5" borderId="1" xfId="0" applyFont="1" applyFill="1"/>
    <xf numFmtId="164" fontId="16" fillId="6" borderId="7" xfId="0" applyNumberFormat="1" applyFont="1" applyFill="1" applyBorder="1" applyAlignment="1">
      <alignment horizontal="right"/>
    </xf>
    <xf numFmtId="164" fontId="20" fillId="5" borderId="13" xfId="0" applyNumberFormat="1" applyFont="1" applyFill="1" applyBorder="1" applyAlignment="1">
      <alignment horizontal="right"/>
    </xf>
    <xf numFmtId="164" fontId="20" fillId="5" borderId="14" xfId="0" applyNumberFormat="1" applyFont="1" applyFill="1" applyBorder="1" applyAlignment="1">
      <alignment horizontal="right"/>
    </xf>
    <xf numFmtId="0" fontId="1" fillId="0" borderId="0" xfId="0" applyFont="1" applyBorder="1" applyAlignment="1">
      <alignment horizontal="left"/>
    </xf>
    <xf numFmtId="164" fontId="3" fillId="0" borderId="15" xfId="0" applyNumberFormat="1" applyFont="1" applyBorder="1"/>
    <xf numFmtId="164" fontId="12" fillId="8" borderId="16" xfId="0" applyNumberFormat="1" applyFont="1" applyFill="1" applyBorder="1" applyAlignment="1">
      <alignment horizontal="right"/>
    </xf>
    <xf numFmtId="164" fontId="1" fillId="0" borderId="15" xfId="0" applyNumberFormat="1" applyFont="1" applyBorder="1" applyAlignment="1">
      <alignment horizontal="right"/>
    </xf>
    <xf numFmtId="164" fontId="20" fillId="5" borderId="17" xfId="0" applyNumberFormat="1" applyFont="1" applyFill="1" applyBorder="1" applyAlignment="1">
      <alignment horizontal="right"/>
    </xf>
    <xf numFmtId="0" fontId="10" fillId="2" borderId="1" xfId="0" applyFont="1" applyFill="1" applyAlignment="1">
      <alignment horizontal="left"/>
    </xf>
    <xf numFmtId="164" fontId="21" fillId="0" borderId="15" xfId="0" applyNumberFormat="1" applyFont="1" applyBorder="1" applyAlignment="1">
      <alignment horizontal="left"/>
    </xf>
    <xf numFmtId="0" fontId="9" fillId="2" borderId="1" xfId="0" applyFont="1" applyFill="1"/>
    <xf numFmtId="0" fontId="7" fillId="9" borderId="1" xfId="0" applyFont="1" applyFill="1" applyAlignment="1">
      <alignment horizontal="left"/>
    </xf>
    <xf numFmtId="0" fontId="7" fillId="9" borderId="1" xfId="0" applyFont="1" applyFill="1"/>
    <xf numFmtId="164" fontId="3" fillId="0" borderId="18" xfId="0" applyNumberFormat="1" applyFont="1" applyBorder="1"/>
    <xf numFmtId="164" fontId="7" fillId="9" borderId="19" xfId="0" applyNumberFormat="1" applyFont="1" applyFill="1" applyBorder="1" applyAlignment="1">
      <alignment horizontal="right"/>
    </xf>
    <xf numFmtId="164" fontId="7" fillId="9" borderId="20" xfId="0" applyNumberFormat="1" applyFont="1" applyFill="1" applyBorder="1" applyAlignment="1">
      <alignment horizontal="right"/>
    </xf>
    <xf numFmtId="164" fontId="12" fillId="8" borderId="18" xfId="0" applyNumberFormat="1" applyFont="1" applyFill="1" applyBorder="1" applyAlignment="1">
      <alignment horizontal="right"/>
    </xf>
    <xf numFmtId="164" fontId="1" fillId="10" borderId="16" xfId="0" applyNumberFormat="1" applyFont="1" applyFill="1" applyBorder="1" applyAlignment="1">
      <alignment horizontal="right"/>
    </xf>
    <xf numFmtId="164" fontId="1" fillId="0" borderId="18" xfId="0" applyNumberFormat="1" applyFont="1" applyBorder="1" applyAlignment="1">
      <alignment horizontal="right"/>
    </xf>
    <xf numFmtId="164" fontId="7" fillId="9" borderId="21" xfId="0" applyNumberFormat="1" applyFont="1" applyFill="1" applyBorder="1" applyAlignment="1">
      <alignment horizontal="right"/>
    </xf>
    <xf numFmtId="0" fontId="4" fillId="11" borderId="1" xfId="0" applyFont="1" applyFill="1"/>
    <xf numFmtId="164" fontId="10" fillId="0" borderId="15" xfId="0" applyNumberFormat="1" applyFont="1" applyBorder="1" applyAlignment="1">
      <alignment horizontal="right"/>
    </xf>
    <xf numFmtId="0" fontId="22" fillId="2" borderId="1" xfId="0" applyFont="1" applyFill="1" applyAlignment="1">
      <alignment horizontal="left"/>
    </xf>
    <xf numFmtId="0" fontId="7" fillId="0" borderId="0" xfId="0" applyFont="1" applyBorder="1"/>
    <xf numFmtId="164" fontId="7" fillId="0" borderId="19" xfId="0" applyNumberFormat="1" applyFont="1" applyBorder="1" applyAlignment="1">
      <alignment horizontal="right"/>
    </xf>
    <xf numFmtId="164" fontId="7" fillId="0" borderId="20" xfId="0" applyNumberFormat="1" applyFont="1" applyBorder="1" applyAlignment="1">
      <alignment horizontal="right"/>
    </xf>
    <xf numFmtId="164" fontId="21" fillId="0" borderId="18" xfId="0" applyNumberFormat="1" applyFont="1" applyBorder="1" applyAlignment="1">
      <alignment horizontal="left"/>
    </xf>
    <xf numFmtId="164" fontId="1" fillId="10" borderId="18" xfId="0" applyNumberFormat="1" applyFont="1" applyFill="1" applyBorder="1" applyAlignment="1">
      <alignment horizontal="right"/>
    </xf>
    <xf numFmtId="164" fontId="7" fillId="0" borderId="22" xfId="0" applyNumberFormat="1" applyFont="1" applyBorder="1" applyAlignment="1">
      <alignment horizontal="right"/>
    </xf>
    <xf numFmtId="164" fontId="10" fillId="0" borderId="18" xfId="0" applyNumberFormat="1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164" fontId="1" fillId="0" borderId="18" xfId="0" applyNumberFormat="1" applyFont="1" applyBorder="1"/>
    <xf numFmtId="164" fontId="23" fillId="6" borderId="11" xfId="0" applyNumberFormat="1" applyFont="1" applyFill="1" applyBorder="1" applyAlignment="1">
      <alignment horizontal="left"/>
    </xf>
    <xf numFmtId="164" fontId="24" fillId="6" borderId="11" xfId="0" applyNumberFormat="1" applyFont="1" applyFill="1" applyBorder="1"/>
    <xf numFmtId="164" fontId="25" fillId="6" borderId="23" xfId="0" applyNumberFormat="1" applyFont="1" applyFill="1" applyBorder="1" applyAlignment="1">
      <alignment horizontal="right"/>
    </xf>
    <xf numFmtId="164" fontId="26" fillId="6" borderId="20" xfId="0" applyNumberFormat="1" applyFont="1" applyFill="1" applyBorder="1" applyAlignment="1">
      <alignment horizontal="right"/>
    </xf>
    <xf numFmtId="164" fontId="27" fillId="6" borderId="21" xfId="0" applyNumberFormat="1" applyFont="1" applyFill="1" applyBorder="1" applyAlignment="1">
      <alignment horizontal="right"/>
    </xf>
    <xf numFmtId="0" fontId="29" fillId="0" borderId="0" xfId="0" applyFont="1" applyBorder="1"/>
    <xf numFmtId="164" fontId="7" fillId="9" borderId="23" xfId="0" applyNumberFormat="1" applyFont="1" applyFill="1" applyBorder="1" applyAlignment="1">
      <alignment horizontal="right"/>
    </xf>
    <xf numFmtId="0" fontId="30" fillId="2" borderId="1" xfId="0" applyFont="1" applyFill="1"/>
    <xf numFmtId="0" fontId="7" fillId="0" borderId="22" xfId="0" applyFont="1" applyBorder="1" applyAlignment="1">
      <alignment horizontal="right"/>
    </xf>
    <xf numFmtId="0" fontId="31" fillId="2" borderId="1" xfId="0" applyFont="1" applyFill="1" applyAlignment="1">
      <alignment horizontal="left"/>
    </xf>
    <xf numFmtId="0" fontId="32" fillId="0" borderId="0" xfId="0" applyFont="1" applyBorder="1"/>
    <xf numFmtId="164" fontId="32" fillId="0" borderId="19" xfId="0" applyNumberFormat="1" applyFont="1" applyBorder="1" applyAlignment="1">
      <alignment horizontal="right"/>
    </xf>
    <xf numFmtId="164" fontId="32" fillId="0" borderId="20" xfId="0" applyNumberFormat="1" applyFont="1" applyBorder="1" applyAlignment="1">
      <alignment horizontal="right"/>
    </xf>
    <xf numFmtId="164" fontId="32" fillId="0" borderId="22" xfId="0" applyNumberFormat="1" applyFont="1" applyBorder="1" applyAlignment="1">
      <alignment horizontal="right"/>
    </xf>
    <xf numFmtId="164" fontId="33" fillId="12" borderId="24" xfId="0" applyNumberFormat="1" applyFont="1" applyFill="1" applyBorder="1" applyAlignment="1">
      <alignment horizontal="left"/>
    </xf>
    <xf numFmtId="164" fontId="18" fillId="12" borderId="24" xfId="0" applyNumberFormat="1" applyFont="1" applyFill="1" applyBorder="1"/>
    <xf numFmtId="164" fontId="18" fillId="12" borderId="23" xfId="0" applyNumberFormat="1" applyFont="1" applyFill="1" applyBorder="1" applyAlignment="1">
      <alignment horizontal="right"/>
    </xf>
    <xf numFmtId="164" fontId="18" fillId="12" borderId="20" xfId="0" applyNumberFormat="1" applyFont="1" applyFill="1" applyBorder="1" applyAlignment="1">
      <alignment horizontal="right"/>
    </xf>
    <xf numFmtId="164" fontId="18" fillId="12" borderId="21" xfId="0" applyNumberFormat="1" applyFont="1" applyFill="1" applyBorder="1" applyAlignment="1">
      <alignment horizontal="right"/>
    </xf>
    <xf numFmtId="164" fontId="34" fillId="5" borderId="25" xfId="0" applyNumberFormat="1" applyFont="1" applyFill="1" applyBorder="1" applyAlignment="1">
      <alignment horizontal="left"/>
    </xf>
    <xf numFmtId="164" fontId="20" fillId="5" borderId="25" xfId="0" applyNumberFormat="1" applyFont="1" applyFill="1" applyBorder="1"/>
    <xf numFmtId="164" fontId="20" fillId="5" borderId="23" xfId="0" applyNumberFormat="1" applyFont="1" applyFill="1" applyBorder="1" applyAlignment="1">
      <alignment horizontal="right"/>
    </xf>
    <xf numFmtId="164" fontId="20" fillId="5" borderId="20" xfId="0" applyNumberFormat="1" applyFont="1" applyFill="1" applyBorder="1" applyAlignment="1">
      <alignment horizontal="right"/>
    </xf>
    <xf numFmtId="164" fontId="20" fillId="5" borderId="21" xfId="0" applyNumberFormat="1" applyFont="1" applyFill="1" applyBorder="1" applyAlignment="1">
      <alignment horizontal="right"/>
    </xf>
    <xf numFmtId="165" fontId="35" fillId="0" borderId="0" xfId="0" applyNumberFormat="1" applyFont="1" applyBorder="1" applyAlignment="1">
      <alignment horizontal="left"/>
    </xf>
    <xf numFmtId="0" fontId="7" fillId="0" borderId="0" xfId="0" applyFont="1" applyBorder="1" applyAlignment="1">
      <alignment horizontal="left"/>
    </xf>
    <xf numFmtId="165" fontId="36" fillId="0" borderId="0" xfId="0" applyNumberFormat="1" applyFont="1" applyBorder="1" applyAlignment="1">
      <alignment horizontal="right"/>
    </xf>
    <xf numFmtId="165" fontId="7" fillId="0" borderId="0" xfId="0" applyNumberFormat="1" applyFont="1" applyBorder="1" applyAlignment="1">
      <alignment horizontal="right"/>
    </xf>
    <xf numFmtId="164" fontId="37" fillId="3" borderId="27" xfId="0" applyNumberFormat="1" applyFont="1" applyFill="1" applyBorder="1" applyAlignment="1">
      <alignment horizontal="left"/>
    </xf>
    <xf numFmtId="164" fontId="38" fillId="3" borderId="27" xfId="0" applyNumberFormat="1" applyFont="1" applyFill="1" applyBorder="1"/>
    <xf numFmtId="164" fontId="38" fillId="3" borderId="23" xfId="0" applyNumberFormat="1" applyFont="1" applyFill="1" applyBorder="1" applyAlignment="1">
      <alignment horizontal="right"/>
    </xf>
    <xf numFmtId="164" fontId="38" fillId="3" borderId="20" xfId="0" applyNumberFormat="1" applyFont="1" applyFill="1" applyBorder="1" applyAlignment="1">
      <alignment horizontal="right"/>
    </xf>
    <xf numFmtId="164" fontId="38" fillId="3" borderId="21" xfId="0" applyNumberFormat="1" applyFont="1" applyFill="1" applyBorder="1" applyAlignment="1">
      <alignment horizontal="right"/>
    </xf>
    <xf numFmtId="164" fontId="39" fillId="0" borderId="28" xfId="0" applyNumberFormat="1" applyFont="1" applyBorder="1" applyAlignment="1">
      <alignment horizontal="left"/>
    </xf>
    <xf numFmtId="164" fontId="40" fillId="0" borderId="28" xfId="0" applyNumberFormat="1" applyFont="1" applyBorder="1"/>
    <xf numFmtId="164" fontId="41" fillId="0" borderId="26" xfId="0" applyNumberFormat="1" applyFont="1" applyBorder="1" applyAlignment="1">
      <alignment horizontal="right"/>
    </xf>
    <xf numFmtId="164" fontId="41" fillId="0" borderId="20" xfId="0" applyNumberFormat="1" applyFont="1" applyBorder="1" applyAlignment="1">
      <alignment horizontal="right"/>
    </xf>
    <xf numFmtId="0" fontId="42" fillId="9" borderId="1" xfId="0" applyFont="1" applyFill="1" applyAlignment="1">
      <alignment horizontal="left"/>
    </xf>
    <xf numFmtId="164" fontId="43" fillId="13" borderId="29" xfId="0" applyNumberFormat="1" applyFont="1" applyFill="1" applyBorder="1" applyAlignment="1">
      <alignment horizontal="left"/>
    </xf>
    <xf numFmtId="164" fontId="44" fillId="13" borderId="29" xfId="0" applyNumberFormat="1" applyFont="1" applyFill="1" applyBorder="1"/>
    <xf numFmtId="164" fontId="44" fillId="13" borderId="23" xfId="0" applyNumberFormat="1" applyFont="1" applyFill="1" applyBorder="1" applyAlignment="1">
      <alignment horizontal="right"/>
    </xf>
    <xf numFmtId="164" fontId="44" fillId="13" borderId="20" xfId="0" applyNumberFormat="1" applyFont="1" applyFill="1" applyBorder="1" applyAlignment="1">
      <alignment horizontal="right"/>
    </xf>
    <xf numFmtId="164" fontId="44" fillId="13" borderId="21" xfId="0" applyNumberFormat="1" applyFont="1" applyFill="1" applyBorder="1" applyAlignment="1">
      <alignment horizontal="right"/>
    </xf>
    <xf numFmtId="164" fontId="41" fillId="0" borderId="30" xfId="0" applyNumberFormat="1" applyFont="1" applyBorder="1" applyAlignment="1">
      <alignment horizontal="right"/>
    </xf>
    <xf numFmtId="164" fontId="41" fillId="0" borderId="31" xfId="0" applyNumberFormat="1" applyFont="1" applyBorder="1" applyAlignment="1">
      <alignment horizontal="right"/>
    </xf>
    <xf numFmtId="164" fontId="41" fillId="0" borderId="32" xfId="0" applyNumberFormat="1" applyFont="1" applyBorder="1" applyAlignment="1">
      <alignment horizontal="right"/>
    </xf>
    <xf numFmtId="164" fontId="4" fillId="0" borderId="0" xfId="0" applyNumberFormat="1" applyFont="1" applyBorder="1"/>
    <xf numFmtId="0" fontId="45" fillId="6" borderId="33" xfId="0" applyFont="1" applyFill="1" applyBorder="1"/>
    <xf numFmtId="164" fontId="10" fillId="0" borderId="0" xfId="0" applyNumberFormat="1" applyFont="1" applyBorder="1" applyAlignment="1">
      <alignment horizontal="left"/>
    </xf>
    <xf numFmtId="164" fontId="1" fillId="0" borderId="0" xfId="0" applyNumberFormat="1" applyFont="1" applyBorder="1"/>
    <xf numFmtId="0" fontId="11" fillId="4" borderId="34" xfId="0" applyFont="1" applyFill="1" applyBorder="1" applyAlignment="1">
      <alignment horizontal="center"/>
    </xf>
    <xf numFmtId="0" fontId="46" fillId="14" borderId="1" xfId="0" applyFont="1" applyFill="1" applyAlignment="1">
      <alignment horizontal="center"/>
    </xf>
    <xf numFmtId="0" fontId="47" fillId="14" borderId="1" xfId="0" applyFont="1" applyFill="1" applyAlignment="1">
      <alignment horizontal="center"/>
    </xf>
    <xf numFmtId="166" fontId="46" fillId="14" borderId="1" xfId="0" applyNumberFormat="1" applyFont="1" applyFill="1" applyAlignment="1">
      <alignment horizontal="center"/>
    </xf>
    <xf numFmtId="166" fontId="46" fillId="14" borderId="35" xfId="0" applyNumberFormat="1" applyFont="1" applyFill="1" applyBorder="1" applyAlignment="1">
      <alignment horizontal="right"/>
    </xf>
    <xf numFmtId="164" fontId="10" fillId="0" borderId="36" xfId="0" applyNumberFormat="1" applyFont="1" applyBorder="1" applyAlignment="1">
      <alignment horizontal="right"/>
    </xf>
    <xf numFmtId="164" fontId="1" fillId="2" borderId="18" xfId="0" applyNumberFormat="1" applyFont="1" applyFill="1" applyBorder="1" applyAlignment="1">
      <alignment horizontal="right"/>
    </xf>
    <xf numFmtId="0" fontId="4" fillId="2" borderId="1" xfId="0" applyFont="1" applyFill="1"/>
    <xf numFmtId="164" fontId="1" fillId="2" borderId="16" xfId="0" applyNumberFormat="1" applyFont="1" applyFill="1" applyBorder="1" applyAlignment="1">
      <alignment horizontal="right"/>
    </xf>
    <xf numFmtId="164" fontId="49" fillId="0" borderId="0" xfId="0" applyNumberFormat="1" applyFont="1" applyBorder="1"/>
    <xf numFmtId="0" fontId="3" fillId="0" borderId="37" xfId="0" applyFont="1" applyBorder="1" applyAlignment="1">
      <alignment horizontal="center"/>
    </xf>
    <xf numFmtId="0" fontId="3" fillId="0" borderId="0" xfId="0" applyFont="1" applyBorder="1"/>
    <xf numFmtId="164" fontId="1" fillId="0" borderId="15" xfId="0" applyNumberFormat="1" applyFont="1" applyBorder="1"/>
    <xf numFmtId="164" fontId="1" fillId="0" borderId="0" xfId="0" applyNumberFormat="1" applyFont="1" applyBorder="1" applyAlignment="1">
      <alignment horizontal="right"/>
    </xf>
    <xf numFmtId="0" fontId="50" fillId="0" borderId="0" xfId="0" applyFont="1" applyBorder="1"/>
    <xf numFmtId="4" fontId="4" fillId="0" borderId="0" xfId="0" applyNumberFormat="1" applyFont="1" applyBorder="1"/>
    <xf numFmtId="0" fontId="14" fillId="7" borderId="40" xfId="0" applyFont="1" applyFill="1" applyBorder="1" applyAlignment="1">
      <alignment horizontal="center"/>
    </xf>
    <xf numFmtId="0" fontId="14" fillId="4" borderId="41" xfId="0" applyFont="1" applyFill="1" applyBorder="1" applyAlignment="1">
      <alignment horizontal="center"/>
    </xf>
    <xf numFmtId="0" fontId="20" fillId="9" borderId="1" xfId="0" applyFont="1" applyFill="1" applyAlignment="1">
      <alignment horizontal="right"/>
    </xf>
    <xf numFmtId="164" fontId="7" fillId="9" borderId="42" xfId="0" applyNumberFormat="1" applyFont="1" applyFill="1" applyBorder="1" applyAlignment="1">
      <alignment horizontal="right"/>
    </xf>
    <xf numFmtId="164" fontId="7" fillId="9" borderId="43" xfId="0" applyNumberFormat="1" applyFont="1" applyFill="1" applyBorder="1" applyAlignment="1">
      <alignment horizontal="right"/>
    </xf>
    <xf numFmtId="164" fontId="28" fillId="9" borderId="11" xfId="0" applyNumberFormat="1" applyFont="1" applyFill="1" applyBorder="1" applyAlignment="1">
      <alignment horizontal="right"/>
    </xf>
    <xf numFmtId="164" fontId="7" fillId="9" borderId="1" xfId="0" applyNumberFormat="1" applyFont="1" applyFill="1" applyAlignment="1">
      <alignment horizontal="right"/>
    </xf>
    <xf numFmtId="164" fontId="32" fillId="9" borderId="43" xfId="0" applyNumberFormat="1" applyFont="1" applyFill="1" applyBorder="1" applyAlignment="1">
      <alignment horizontal="right"/>
    </xf>
    <xf numFmtId="164" fontId="18" fillId="9" borderId="24" xfId="0" applyNumberFormat="1" applyFont="1" applyFill="1" applyBorder="1" applyAlignment="1">
      <alignment horizontal="right"/>
    </xf>
    <xf numFmtId="164" fontId="20" fillId="9" borderId="25" xfId="0" applyNumberFormat="1" applyFont="1" applyFill="1" applyBorder="1" applyAlignment="1">
      <alignment horizontal="right"/>
    </xf>
    <xf numFmtId="164" fontId="38" fillId="9" borderId="27" xfId="0" applyNumberFormat="1" applyFont="1" applyFill="1" applyBorder="1" applyAlignment="1">
      <alignment horizontal="right"/>
    </xf>
    <xf numFmtId="164" fontId="41" fillId="9" borderId="28" xfId="0" applyNumberFormat="1" applyFont="1" applyFill="1" applyBorder="1" applyAlignment="1">
      <alignment horizontal="right"/>
    </xf>
    <xf numFmtId="164" fontId="44" fillId="9" borderId="29" xfId="0" applyNumberFormat="1" applyFont="1" applyFill="1" applyBorder="1" applyAlignment="1">
      <alignment horizontal="right"/>
    </xf>
    <xf numFmtId="0" fontId="14" fillId="2" borderId="44" xfId="0" applyFont="1" applyFill="1" applyBorder="1" applyAlignment="1">
      <alignment horizontal="center"/>
    </xf>
    <xf numFmtId="164" fontId="20" fillId="5" borderId="45" xfId="0" applyNumberFormat="1" applyFont="1" applyFill="1" applyBorder="1" applyAlignment="1">
      <alignment horizontal="right"/>
    </xf>
    <xf numFmtId="164" fontId="7" fillId="9" borderId="46" xfId="0" applyNumberFormat="1" applyFont="1" applyFill="1" applyBorder="1" applyAlignment="1">
      <alignment horizontal="right"/>
    </xf>
    <xf numFmtId="164" fontId="7" fillId="0" borderId="46" xfId="0" applyNumberFormat="1" applyFont="1" applyBorder="1" applyAlignment="1">
      <alignment horizontal="right"/>
    </xf>
    <xf numFmtId="164" fontId="27" fillId="6" borderId="46" xfId="0" applyNumberFormat="1" applyFont="1" applyFill="1" applyBorder="1" applyAlignment="1">
      <alignment horizontal="right"/>
    </xf>
    <xf numFmtId="164" fontId="32" fillId="0" borderId="46" xfId="0" applyNumberFormat="1" applyFont="1" applyBorder="1" applyAlignment="1">
      <alignment horizontal="right"/>
    </xf>
    <xf numFmtId="164" fontId="18" fillId="12" borderId="46" xfId="0" applyNumberFormat="1" applyFont="1" applyFill="1" applyBorder="1" applyAlignment="1">
      <alignment horizontal="right"/>
    </xf>
    <xf numFmtId="164" fontId="20" fillId="5" borderId="46" xfId="0" applyNumberFormat="1" applyFont="1" applyFill="1" applyBorder="1" applyAlignment="1">
      <alignment horizontal="right"/>
    </xf>
    <xf numFmtId="164" fontId="38" fillId="3" borderId="46" xfId="0" applyNumberFormat="1" applyFont="1" applyFill="1" applyBorder="1" applyAlignment="1">
      <alignment horizontal="right"/>
    </xf>
    <xf numFmtId="164" fontId="44" fillId="13" borderId="46" xfId="0" applyNumberFormat="1" applyFont="1" applyFill="1" applyBorder="1" applyAlignment="1">
      <alignment horizontal="right"/>
    </xf>
    <xf numFmtId="164" fontId="41" fillId="0" borderId="47" xfId="0" applyNumberFormat="1" applyFont="1" applyBorder="1" applyAlignment="1">
      <alignment horizontal="right"/>
    </xf>
    <xf numFmtId="0" fontId="6" fillId="15" borderId="0" xfId="0" applyFont="1" applyFill="1" applyBorder="1" applyAlignment="1">
      <alignment horizontal="center"/>
    </xf>
    <xf numFmtId="164" fontId="1" fillId="0" borderId="18" xfId="0" applyNumberFormat="1" applyFont="1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165" fontId="7" fillId="0" borderId="19" xfId="0" applyNumberFormat="1" applyFont="1" applyBorder="1" applyAlignment="1">
      <alignment horizontal="right"/>
    </xf>
    <xf numFmtId="165" fontId="7" fillId="0" borderId="20" xfId="0" applyNumberFormat="1" applyFont="1" applyBorder="1" applyAlignment="1">
      <alignment horizontal="right"/>
    </xf>
    <xf numFmtId="164" fontId="7" fillId="0" borderId="26" xfId="0" applyNumberFormat="1" applyFont="1" applyBorder="1" applyAlignment="1">
      <alignment horizontal="right"/>
    </xf>
    <xf numFmtId="164" fontId="7" fillId="16" borderId="20" xfId="0" applyNumberFormat="1" applyFont="1" applyFill="1" applyBorder="1" applyAlignment="1">
      <alignment horizontal="right"/>
    </xf>
    <xf numFmtId="0" fontId="8" fillId="15" borderId="39" xfId="0" applyFont="1" applyFill="1" applyBorder="1" applyAlignment="1">
      <alignment horizontal="center"/>
    </xf>
    <xf numFmtId="0" fontId="0" fillId="0" borderId="2" xfId="0" applyBorder="1"/>
    <xf numFmtId="0" fontId="0" fillId="0" borderId="38" xfId="0" applyBorder="1"/>
    <xf numFmtId="0" fontId="8" fillId="2" borderId="38" xfId="0" applyFont="1" applyFill="1" applyBorder="1" applyAlignment="1">
      <alignment horizontal="center"/>
    </xf>
    <xf numFmtId="0" fontId="13" fillId="3" borderId="1" xfId="0" applyFont="1" applyFill="1" applyAlignment="1">
      <alignment horizontal="left" vertical="center"/>
    </xf>
    <xf numFmtId="0" fontId="0" fillId="0" borderId="0" xfId="0" applyBorder="1"/>
    <xf numFmtId="0" fontId="6" fillId="2" borderId="1" xfId="0" applyFont="1" applyFill="1" applyAlignment="1">
      <alignment horizontal="center"/>
    </xf>
    <xf numFmtId="0" fontId="48" fillId="2" borderId="1" xfId="0" applyFont="1" applyFill="1" applyAlignment="1">
      <alignment horizontal="left"/>
    </xf>
    <xf numFmtId="0" fontId="6" fillId="15" borderId="1" xfId="0" applyFont="1" applyFill="1" applyAlignment="1">
      <alignment horizontal="center"/>
    </xf>
  </cellXfs>
  <cellStyles count="1">
    <cellStyle name="Normale" xfId="0" builtinId="0"/>
  </cellStyles>
  <dxfs count="6"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548235"/>
          <bgColor rgb="FF54823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548235"/>
          <bgColor rgb="FF548235"/>
        </patternFill>
      </fill>
    </dxf>
    <dxf>
      <font>
        <color rgb="FFC00000"/>
      </font>
    </dxf>
    <dxf>
      <font>
        <color rgb="FF0061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75E2D9F-2AE8-5640-A72B-20124E7F50E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d0636fe-008c-413d-b0dd-574b91a1484f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tur.com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5"/>
  <sheetViews>
    <sheetView topLeftCell="A22" workbookViewId="0">
      <selection activeCell="A39" sqref="A39:B42"/>
    </sheetView>
  </sheetViews>
  <sheetFormatPr defaultColWidth="11.125" defaultRowHeight="15" customHeight="1" x14ac:dyDescent="0.25"/>
  <cols>
    <col min="1" max="1" width="58.375" customWidth="1"/>
    <col min="2" max="2" width="41.625" customWidth="1"/>
    <col min="3" max="6" width="10.5" customWidth="1"/>
    <col min="7" max="26" width="11.125" customWidth="1"/>
  </cols>
  <sheetData>
    <row r="1" spans="1:26" ht="15.75" customHeight="1" x14ac:dyDescent="0.3">
      <c r="A1" s="2" t="s">
        <v>42</v>
      </c>
      <c r="B1" s="4"/>
      <c r="C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25">
      <c r="A2" s="9"/>
      <c r="B2" s="9"/>
      <c r="C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25">
      <c r="A3" s="13" t="s">
        <v>43</v>
      </c>
      <c r="B3" s="13"/>
      <c r="C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25">
      <c r="A4" s="16" t="s">
        <v>44</v>
      </c>
      <c r="B4" s="21" t="str">
        <f>IF(OR(_xlfn.ISFORMULA('Piano Finanziario'!C4),_xlfn.ISFORMULA('Piano Finanziario'!D4),_xlfn.ISFORMULA('Piano Finanziario'!E4)),"ERRORE","OK")</f>
        <v>OK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25">
      <c r="A5" s="16" t="s">
        <v>45</v>
      </c>
      <c r="B5" s="21" t="str">
        <f>IF('Piano Finanziario'!F4='Piano Finanziario'!E37,"OK","ERRORE")</f>
        <v>OK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5">
      <c r="A6" s="16" t="s">
        <v>668</v>
      </c>
      <c r="B6" s="21" t="str" cm="1">
        <f t="array" ref="B6">IF(SUMPRODUCT(--(ROUND('Piano Finanziario'!F4:Q4-'Piano Finanziario'!E37:P37,2)&lt;&gt;0))=0,"OK","ERRORE")</f>
        <v>OK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5">
      <c r="A7" s="39" t="s">
        <v>46</v>
      </c>
      <c r="B7" s="21" t="s">
        <v>47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5">
      <c r="A8" s="9"/>
      <c r="B8" s="9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5">
      <c r="A9" s="13" t="s">
        <v>48</v>
      </c>
      <c r="B9" s="13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5">
      <c r="A10" s="16" t="s">
        <v>669</v>
      </c>
      <c r="B10" s="21" t="str" cm="1">
        <f t="array" ref="B10">IF(SUMPRODUCT(--(ROUND('Piano Finanziario'!C12:Q12-'Piano Finanziario'!C6:Q6-'Piano Finanziario'!C7:Q7-'Piano Finanziario'!C8:Q8-'Piano Finanziario'!C9:Q9-'Piano Finanziario'!C10:Q10-'Piano Finanziario'!C11:Q11,2)&lt;&gt;0))=0,"OK","ERRORE")</f>
        <v>OK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5">
      <c r="A11" s="9"/>
      <c r="B11" s="9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5">
      <c r="A12" s="13" t="s">
        <v>49</v>
      </c>
      <c r="B12" s="13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5">
      <c r="A13" s="16" t="s">
        <v>670</v>
      </c>
      <c r="B13" s="21" t="str" cm="1">
        <f t="array" ref="B13">IF(SUMPRODUCT(--(ROUND('Piano Finanziario'!C27:Q27-'Piano Finanziario'!C14:Q14-'Piano Finanziario'!C15:Q15-'Piano Finanziario'!C16:Q16-'Piano Finanziario'!C17:Q17-'Piano Finanziario'!C18:Q18-'Piano Finanziario'!C19:Q19-'Piano Finanziario'!C20:Q20-'Piano Finanziario'!C21:Q21-'Piano Finanziario'!C22:Q22-'Piano Finanziario'!C23:Q23-'Piano Finanziario'!C24:Q24-'Piano Finanziario'!C25:Q25-'Piano Finanziario'!C26:Q26,2)&lt;&gt;0))=0,"OK","ERRORE")</f>
        <v>OK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5">
      <c r="A14" s="9"/>
      <c r="B14" s="9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5">
      <c r="A15" s="13" t="s">
        <v>50</v>
      </c>
      <c r="B15" s="13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5">
      <c r="A16" s="16" t="s">
        <v>671</v>
      </c>
      <c r="B16" s="21" t="str" cm="1">
        <f t="array" ref="B16">IF(SUMPRODUCT(--(ROUND('Piano Finanziario'!C29:Q29-'Piano Finanziario'!C12:Q12+'Piano Finanziario'!C27:Q27,2)&lt;&gt;0))=0,"OK","ERRORE")</f>
        <v>OK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5">
      <c r="A17" s="9"/>
      <c r="B17" s="9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5">
      <c r="A18" s="13"/>
      <c r="B18" s="13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5">
      <c r="A19" s="9"/>
      <c r="B19" s="68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5">
      <c r="A20" s="9"/>
      <c r="B20" s="9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5">
      <c r="A21" s="13" t="s">
        <v>672</v>
      </c>
      <c r="B21" s="13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5">
      <c r="A22" s="16" t="s">
        <v>51</v>
      </c>
      <c r="B22" s="21" t="str" cm="1">
        <f t="array" ref="B22">IF(SUMPRODUCT(--(ROUND('Piano Finanziario'!C14:Q14-'Salari e Stipendi'!D4:R4,2)&lt;&gt;0))=0,"OK","ERRORE")</f>
        <v>OK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5">
      <c r="A23" s="16" t="s">
        <v>52</v>
      </c>
      <c r="B23" s="21" t="str" cm="1">
        <f t="array" ref="B23">IF(SUMPRODUCT(--(ROUND('Piano Finanziario'!C15:Q15-Utenze!D3:R3,2)&lt;&gt;0))=0,"OK","ERRORE")</f>
        <v>OK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5">
      <c r="A24" s="16" t="s">
        <v>53</v>
      </c>
      <c r="B24" s="21" t="str" cm="1">
        <f t="array" ref="B24">IF(SUMPRODUCT(--(ROUND('Piano Finanziario'!C16:Q16-IF('Materie Prime-Consumo '!D3:R3&gt;'Materie Prime-Consumo '!D4:R4,'Materie Prime-Consumo '!D3:R3,'Materie Prime-Consumo '!D4:R4),2)&lt;&gt;0))=0,"OK","ERRORE")</f>
        <v>OK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5">
      <c r="A25" s="16" t="s">
        <v>54</v>
      </c>
      <c r="B25" s="21" t="str" cm="1">
        <f t="array" ref="B25">IF(SUMPRODUCT(--(ROUND('Piano Finanziario'!C17:Q17-'Tasse e Imposte'!D3:R3,2)&lt;&gt;0))=0,"OK","ERRORE")</f>
        <v>OK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5">
      <c r="A26" s="16" t="s">
        <v>55</v>
      </c>
      <c r="B26" s="21" t="str" cm="1">
        <f t="array" ref="B26">IF(SUMPRODUCT(--(ROUND('Piano Finanziario'!C18:Q18-'Commisisoni Portali'!D3:R3,2)&lt;&gt;0))=0,"OK","ERRORE")</f>
        <v>OK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5">
      <c r="A27" s="16" t="s">
        <v>56</v>
      </c>
      <c r="B27" s="21" t="str" cm="1">
        <f t="array" ref="B27">IF(SUMPRODUCT(--(ROUND('Piano Finanziario'!C19:Q19-'Mutui e Finaziamenti'!D3:R3,2)&lt;&gt;0))=0,"OK","ERRORE")</f>
        <v>OK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5">
      <c r="A28" s="16" t="s">
        <v>57</v>
      </c>
      <c r="B28" s="21" t="str" cm="1">
        <f t="array" ref="B28">IF(SUMPRODUCT(--(ROUND('Piano Finanziario'!C20:Q20-Consulenze!D3:R3,2)&lt;&gt;0))=0,"OK","ERRORE")</f>
        <v>OK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5">
      <c r="A29" s="16" t="s">
        <v>58</v>
      </c>
      <c r="B29" s="21" t="str" cm="1">
        <f t="array" ref="B29">IF(SUMPRODUCT(--(ROUND('Piano Finanziario'!C21:Q21-'Godimento Beni di Terzi'!D4:R4,2)&lt;&gt;0))=0,"OK","ERRORE")</f>
        <v>OK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5">
      <c r="A30" s="16" t="s">
        <v>59</v>
      </c>
      <c r="B30" s="21" t="str" cm="1">
        <f t="array" ref="B30">IF(SUMPRODUCT(--(ROUND('Piano Finanziario'!C22:Q22-' Varie ed Eventuali'!D3:R3,2)&lt;&gt;0))=0,"OK","ERRORE")</f>
        <v>OK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5">
      <c r="A31" s="16" t="s">
        <v>60</v>
      </c>
      <c r="B31" s="21" t="str" cm="1">
        <f t="array" ref="B31">IF(SUMPRODUCT(--(ROUND('Piano Finanziario'!C23:Q23-'Canoni e servizi'!D4:R4,2)&lt;&gt;0))=0,"OK","ERRORE")</f>
        <v>OK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5">
      <c r="A32" s="9"/>
      <c r="B32" s="9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5">
      <c r="A33" s="13" t="s">
        <v>61</v>
      </c>
      <c r="B33" s="13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5">
      <c r="A34" s="16" t="s">
        <v>673</v>
      </c>
      <c r="B34" s="21" t="str" cm="1">
        <f t="array" ref="B34">IF(SUMPRODUCT(--(ROUND('Piano Finanziario'!C37:Q37-'Piano Finanziario'!C4:Q4-'Piano Finanziario'!C29:Q29,2)&lt;&gt;0))=0,"OK","ERRORE")</f>
        <v>OK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5">
      <c r="A35" s="9"/>
      <c r="B35" s="9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5">
      <c r="A36" s="13" t="s">
        <v>62</v>
      </c>
      <c r="B36" s="13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5">
      <c r="A37" s="16" t="s">
        <v>674</v>
      </c>
      <c r="B37" s="21" t="str" cm="1">
        <f t="array" ref="B37">IF(SUMPRODUCT(--(ROUND('Piano Finanziario'!C45:Q45-'Piano Finanziario'!C37:Q37-'Piano Finanziario'!C43:Q43,2)&lt;&gt;0))=0,"OK","ERRORE")</f>
        <v>OK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5">
      <c r="A38" s="9"/>
      <c r="B38" s="9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5">
      <c r="A39" s="13" t="s">
        <v>675</v>
      </c>
      <c r="B39" s="13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5">
      <c r="A40" s="16" t="s">
        <v>676</v>
      </c>
      <c r="B40" s="21" t="str">
        <f>IF(ROUND('Piano Finanziario'!R12-SUM('Piano Finanziario'!C12:Q12),2)=0,"OK","ERRORE")</f>
        <v>OK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5">
      <c r="A41" s="16" t="s">
        <v>677</v>
      </c>
      <c r="B41" s="21" t="str">
        <f>IF(ROUND('Piano Finanziario'!R27-SUM('Piano Finanziario'!C27:Q27),2)=0,"OK","ERRORE")</f>
        <v>OK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5">
      <c r="A42" s="16" t="s">
        <v>678</v>
      </c>
      <c r="B42" s="21" t="str">
        <f>IF(ROUND('Piano Finanziario'!R29-('Piano Finanziario'!R12-'Piano Finanziario'!R27),2)=0,"OK","ERRORE")</f>
        <v>OK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s="154" customFormat="1" ht="15.75" customHeight="1" x14ac:dyDescent="0.25">
      <c r="A43" s="9"/>
      <c r="B43" s="9"/>
      <c r="C43" s="153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</row>
    <row r="44" spans="1:26" s="154" customFormat="1" ht="15.75" customHeight="1" x14ac:dyDescent="0.25">
      <c r="A44" s="13" t="s">
        <v>679</v>
      </c>
      <c r="B44" s="13"/>
      <c r="C44" s="153"/>
      <c r="D44" s="153"/>
      <c r="E44" s="153"/>
      <c r="F44" s="153"/>
      <c r="G44" s="153"/>
      <c r="H44" s="153"/>
      <c r="I44" s="153"/>
      <c r="J44" s="153"/>
      <c r="K44" s="153"/>
      <c r="L44" s="153"/>
      <c r="M44" s="153"/>
      <c r="N44" s="153"/>
      <c r="O44" s="15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</row>
    <row r="45" spans="1:26" s="154" customFormat="1" ht="15.75" customHeight="1" x14ac:dyDescent="0.25">
      <c r="A45" s="16" t="s">
        <v>680</v>
      </c>
      <c r="B45" s="21" t="str" cm="1">
        <f t="array" ref="B45">IF(SUMPRODUCT(--(ROUND('Piano Finanziario'!R6:R11-MMULT(0+'Piano Finanziario'!C6:Q11,ROW('Piano Finanziario'!C1:C15)^0),2)&lt;&gt;0))=0,"OK","ERRORE")</f>
        <v>OK</v>
      </c>
      <c r="C45" s="153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</row>
    <row r="46" spans="1:26" s="154" customFormat="1" ht="15.75" customHeight="1" x14ac:dyDescent="0.25">
      <c r="A46" s="16" t="s">
        <v>681</v>
      </c>
      <c r="B46" s="21" t="str" cm="1">
        <f t="array" ref="B46">IF(SUMPRODUCT(--(ROUND('Piano Finanziario'!R14:R26-MMULT(0+'Piano Finanziario'!C14:Q26,ROW('Piano Finanziario'!C1:C15)^0),2)&lt;&gt;0))=0,"OK","ERRORE")</f>
        <v>OK</v>
      </c>
      <c r="C46" s="153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</row>
    <row r="47" spans="1:26" s="154" customFormat="1" ht="15.75" customHeight="1" x14ac:dyDescent="0.25">
      <c r="A47" s="16" t="s">
        <v>682</v>
      </c>
      <c r="B47" s="21" t="str">
        <f>IF(AND(ROUND('Piano Finanziario'!R37-'Piano Finanziario'!Q37,2)=0,ROUND('Piano Finanziario'!R45-'Piano Finanziario'!Q45,2)=0),"OK","ERRORE")</f>
        <v>OK</v>
      </c>
      <c r="C47" s="153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</row>
    <row r="48" spans="1:26" ht="15.75" customHeight="1" x14ac:dyDescent="0.25">
      <c r="A48" s="9"/>
      <c r="B48" s="9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5">
      <c r="A49" s="108" t="str">
        <f>CONCATENATE("RISULTATO COMPLESSIVO")</f>
        <v>RISULTATO COMPLESSIVO</v>
      </c>
      <c r="B49" s="108" t="str">
        <f>IF(COUNTIF(B4:B47,"ERRORE")=0,"✓ TUTTI I "&amp;COUNTA(B4:B47)&amp;" CONTROLLI OK","✗ "&amp;COUNTIF(B4:B47,"ERRORE")&amp;" ERRORI TROVATI su "&amp;COUNTA(B4:B47)&amp;" verifiche")</f>
        <v>✓ TUTTI I 25 CONTROLLI OK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FF"/>
  </sheetPr>
  <dimension ref="A1:AF100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33" sqref="E33"/>
    </sheetView>
  </sheetViews>
  <sheetFormatPr defaultColWidth="11.125" defaultRowHeight="15" customHeight="1" x14ac:dyDescent="0.25"/>
  <cols>
    <col min="1" max="2" width="15.375" customWidth="1"/>
    <col min="3" max="5" width="23.375" bestFit="1" customWidth="1"/>
    <col min="6" max="6" width="15.375" customWidth="1"/>
    <col min="7" max="9" width="16.375" customWidth="1"/>
    <col min="10" max="10" width="14.875" customWidth="1"/>
    <col min="11" max="11" width="15.375" customWidth="1"/>
    <col min="12" max="16" width="14.875" customWidth="1"/>
    <col min="17" max="17" width="16" bestFit="1" customWidth="1"/>
    <col min="18" max="18" width="14.5" bestFit="1" customWidth="1"/>
    <col min="19" max="26" width="11.125" customWidth="1"/>
  </cols>
  <sheetData>
    <row r="1" spans="1:32" ht="30" customHeight="1" x14ac:dyDescent="0.3">
      <c r="A1" s="6" t="s">
        <v>0</v>
      </c>
      <c r="B1" s="7"/>
      <c r="C1" s="162">
        <v>2026</v>
      </c>
      <c r="D1" s="160"/>
      <c r="E1" s="160"/>
      <c r="F1" s="160"/>
      <c r="G1" s="160"/>
      <c r="H1" s="160"/>
      <c r="I1" s="160"/>
      <c r="J1" s="160"/>
      <c r="K1" s="161"/>
      <c r="L1" s="159">
        <v>2027</v>
      </c>
      <c r="M1" s="160"/>
      <c r="N1" s="160"/>
      <c r="O1" s="160"/>
      <c r="P1" s="160"/>
      <c r="Q1" s="160"/>
      <c r="R1" s="160"/>
      <c r="S1" s="160"/>
      <c r="T1" s="161"/>
      <c r="U1" s="8"/>
      <c r="V1" s="8"/>
      <c r="W1" s="8"/>
      <c r="X1" s="5"/>
      <c r="Y1" s="5"/>
      <c r="Z1" s="5"/>
      <c r="AA1" s="5"/>
      <c r="AB1" s="5"/>
      <c r="AC1" s="5"/>
      <c r="AD1" s="5"/>
      <c r="AE1" s="5"/>
      <c r="AF1" s="5"/>
    </row>
    <row r="2" spans="1:32" ht="24" customHeight="1" thickBot="1" x14ac:dyDescent="0.3">
      <c r="A2" s="163"/>
      <c r="B2" s="7"/>
      <c r="C2" s="14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5" t="s">
        <v>6</v>
      </c>
      <c r="I2" s="15" t="s">
        <v>7</v>
      </c>
      <c r="J2" s="15" t="s">
        <v>8</v>
      </c>
      <c r="K2" s="18" t="s">
        <v>9</v>
      </c>
      <c r="L2" s="15" t="s">
        <v>10</v>
      </c>
      <c r="M2" s="15" t="s">
        <v>11</v>
      </c>
      <c r="N2" s="15" t="s">
        <v>12</v>
      </c>
      <c r="O2" s="15" t="s">
        <v>1</v>
      </c>
      <c r="P2" s="18" t="s">
        <v>2</v>
      </c>
      <c r="Q2" s="128" t="s">
        <v>3</v>
      </c>
      <c r="R2" s="127" t="s">
        <v>13</v>
      </c>
      <c r="S2" s="8"/>
      <c r="T2" s="8"/>
      <c r="U2" s="8"/>
      <c r="V2" s="8"/>
      <c r="W2" s="8"/>
      <c r="X2" s="5"/>
      <c r="Y2" s="5"/>
      <c r="Z2" s="5"/>
      <c r="AA2" s="5"/>
      <c r="AB2" s="5"/>
      <c r="AC2" s="5"/>
      <c r="AD2" s="5"/>
      <c r="AE2" s="5"/>
      <c r="AF2" s="5"/>
    </row>
    <row r="3" spans="1:32" ht="15.75" customHeight="1" x14ac:dyDescent="0.25">
      <c r="A3" s="164"/>
      <c r="B3" s="22"/>
      <c r="C3" s="23"/>
      <c r="D3" s="23"/>
      <c r="E3" s="23"/>
      <c r="F3" s="23"/>
      <c r="G3" s="23"/>
      <c r="H3" s="23"/>
      <c r="I3" s="23"/>
      <c r="J3" s="23"/>
      <c r="K3" s="25"/>
      <c r="L3" s="23"/>
      <c r="M3" s="23"/>
      <c r="N3" s="23"/>
      <c r="O3" s="23"/>
      <c r="P3" s="25"/>
      <c r="Q3" s="140"/>
      <c r="R3" s="22"/>
      <c r="S3" s="8"/>
      <c r="T3" s="8"/>
      <c r="U3" s="8"/>
      <c r="V3" s="8"/>
      <c r="W3" s="8"/>
      <c r="X3" s="5"/>
      <c r="Y3" s="5"/>
      <c r="Z3" s="5"/>
      <c r="AA3" s="5"/>
      <c r="AB3" s="5"/>
      <c r="AC3" s="5"/>
      <c r="AD3" s="5"/>
      <c r="AE3" s="5"/>
      <c r="AF3" s="5"/>
    </row>
    <row r="4" spans="1:32" ht="21.75" customHeight="1" x14ac:dyDescent="0.25">
      <c r="A4" s="26" t="s">
        <v>14</v>
      </c>
      <c r="B4" s="28"/>
      <c r="C4" s="30">
        <v>339337.46</v>
      </c>
      <c r="D4" s="31">
        <v>581125.86</v>
      </c>
      <c r="E4" s="31">
        <v>927966.55</v>
      </c>
      <c r="F4" s="31">
        <f t="shared" ref="F4:Q4" si="0">E37</f>
        <v>927966.55</v>
      </c>
      <c r="G4" s="31">
        <f t="shared" si="0"/>
        <v>701922.73000000021</v>
      </c>
      <c r="H4" s="31">
        <f t="shared" si="0"/>
        <v>1209599.2800000003</v>
      </c>
      <c r="I4" s="31">
        <f t="shared" si="0"/>
        <v>1409449.3500000003</v>
      </c>
      <c r="J4" s="36">
        <f t="shared" si="0"/>
        <v>1118231.2700000005</v>
      </c>
      <c r="K4" s="36">
        <f t="shared" si="0"/>
        <v>690700.92000000051</v>
      </c>
      <c r="L4" s="36">
        <f t="shared" si="0"/>
        <v>-148623.07999999938</v>
      </c>
      <c r="M4" s="36">
        <f t="shared" si="0"/>
        <v>-152698.66999999937</v>
      </c>
      <c r="N4" s="36">
        <f t="shared" si="0"/>
        <v>-143050.98999999938</v>
      </c>
      <c r="O4" s="36">
        <f t="shared" si="0"/>
        <v>-96433.119999999384</v>
      </c>
      <c r="P4" s="36">
        <f t="shared" si="0"/>
        <v>-57855.249999999382</v>
      </c>
      <c r="Q4" s="141">
        <f t="shared" si="0"/>
        <v>376785.07000000065</v>
      </c>
      <c r="R4" s="129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2" ht="7.5" customHeight="1" x14ac:dyDescent="0.25">
      <c r="A5" s="40"/>
      <c r="B5" s="41"/>
      <c r="C5" s="43"/>
      <c r="D5" s="44"/>
      <c r="E5" s="44"/>
      <c r="F5" s="44"/>
      <c r="G5" s="44"/>
      <c r="H5" s="44"/>
      <c r="I5" s="44"/>
      <c r="J5" s="48"/>
      <c r="K5" s="48"/>
      <c r="L5" s="48"/>
      <c r="M5" s="48"/>
      <c r="N5" s="48"/>
      <c r="O5" s="48"/>
      <c r="P5" s="48"/>
      <c r="Q5" s="142"/>
      <c r="R5" s="130"/>
      <c r="S5" s="49"/>
      <c r="T5" s="49"/>
      <c r="U5" s="49"/>
      <c r="V5" s="49"/>
      <c r="W5" s="49"/>
      <c r="X5" s="5"/>
      <c r="Y5" s="5"/>
      <c r="Z5" s="5"/>
      <c r="AA5" s="5"/>
      <c r="AB5" s="5"/>
      <c r="AC5" s="5"/>
      <c r="AD5" s="5"/>
      <c r="AE5" s="5"/>
      <c r="AF5" s="5"/>
    </row>
    <row r="6" spans="1:32" ht="21.75" customHeight="1" x14ac:dyDescent="0.25">
      <c r="A6" s="51" t="s">
        <v>15</v>
      </c>
      <c r="B6" s="52"/>
      <c r="C6" s="53"/>
      <c r="D6" s="54"/>
      <c r="E6" s="54"/>
      <c r="F6" s="54">
        <v>750000</v>
      </c>
      <c r="G6" s="54">
        <v>830000</v>
      </c>
      <c r="H6" s="54">
        <v>580000</v>
      </c>
      <c r="I6" s="54">
        <f>110000+160000</f>
        <v>270000</v>
      </c>
      <c r="J6" s="57"/>
      <c r="K6" s="57"/>
      <c r="L6" s="57">
        <v>29397</v>
      </c>
      <c r="M6" s="57">
        <v>34158</v>
      </c>
      <c r="N6" s="57">
        <v>64649</v>
      </c>
      <c r="O6" s="57">
        <v>64953</v>
      </c>
      <c r="P6" s="57">
        <v>450000</v>
      </c>
      <c r="Q6" s="143">
        <v>600000</v>
      </c>
      <c r="R6" s="130">
        <f t="shared" ref="R6:R12" si="1">SUM(C6:Q6)</f>
        <v>3673157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spans="1:32" ht="21.75" customHeight="1" x14ac:dyDescent="0.25">
      <c r="A7" s="51" t="s">
        <v>16</v>
      </c>
      <c r="B7" s="52"/>
      <c r="C7" s="53"/>
      <c r="D7" s="54"/>
      <c r="E7" s="54"/>
      <c r="F7" s="54">
        <v>120000</v>
      </c>
      <c r="G7" s="54">
        <v>140000</v>
      </c>
      <c r="H7" s="54">
        <v>100000</v>
      </c>
      <c r="I7" s="54">
        <f>26000+17000</f>
        <v>43000</v>
      </c>
      <c r="J7" s="57"/>
      <c r="K7" s="57"/>
      <c r="L7" s="57"/>
      <c r="M7" s="57"/>
      <c r="N7" s="57"/>
      <c r="O7" s="57"/>
      <c r="P7" s="57">
        <v>60000</v>
      </c>
      <c r="Q7" s="143">
        <v>100000</v>
      </c>
      <c r="R7" s="130">
        <f t="shared" si="1"/>
        <v>563000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2" ht="21.75" customHeight="1" x14ac:dyDescent="0.25">
      <c r="A8" s="51" t="s">
        <v>17</v>
      </c>
      <c r="B8" s="52"/>
      <c r="C8" s="53"/>
      <c r="D8" s="54"/>
      <c r="E8" s="54"/>
      <c r="F8" s="54">
        <v>45000</v>
      </c>
      <c r="G8" s="54">
        <v>48000</v>
      </c>
      <c r="H8" s="54">
        <v>30000</v>
      </c>
      <c r="I8" s="54">
        <f>5798+10000</f>
        <v>15798</v>
      </c>
      <c r="J8" s="57"/>
      <c r="K8" s="57"/>
      <c r="L8" s="57"/>
      <c r="M8" s="57"/>
      <c r="N8" s="57"/>
      <c r="O8" s="57"/>
      <c r="P8" s="57">
        <v>22000</v>
      </c>
      <c r="Q8" s="143">
        <v>25000</v>
      </c>
      <c r="R8" s="130">
        <f t="shared" si="1"/>
        <v>185798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spans="1:32" ht="21.75" customHeight="1" x14ac:dyDescent="0.25">
      <c r="A9" s="51" t="s">
        <v>18</v>
      </c>
      <c r="B9" s="52"/>
      <c r="C9" s="53"/>
      <c r="D9" s="54"/>
      <c r="E9" s="54"/>
      <c r="F9" s="54">
        <v>25620</v>
      </c>
      <c r="G9" s="54">
        <v>25620</v>
      </c>
      <c r="H9" s="54">
        <v>25620</v>
      </c>
      <c r="I9" s="54">
        <v>25620</v>
      </c>
      <c r="J9" s="57">
        <v>25620</v>
      </c>
      <c r="K9" s="57">
        <v>25620</v>
      </c>
      <c r="L9" s="57">
        <v>25620</v>
      </c>
      <c r="M9" s="57">
        <v>25620</v>
      </c>
      <c r="N9" s="57">
        <v>25620</v>
      </c>
      <c r="O9" s="57">
        <v>25620</v>
      </c>
      <c r="P9" s="57">
        <v>25620</v>
      </c>
      <c r="Q9" s="143">
        <v>25620</v>
      </c>
      <c r="R9" s="131">
        <f t="shared" si="1"/>
        <v>307440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spans="1:32" ht="21.75" customHeight="1" x14ac:dyDescent="0.25">
      <c r="A10" s="51" t="s">
        <v>19</v>
      </c>
      <c r="B10" s="52"/>
      <c r="C10" s="53"/>
      <c r="D10" s="54"/>
      <c r="E10" s="54"/>
      <c r="F10" s="54"/>
      <c r="G10" s="54"/>
      <c r="H10" s="54"/>
      <c r="I10" s="54"/>
      <c r="J10" s="57"/>
      <c r="K10" s="57"/>
      <c r="L10" s="57"/>
      <c r="M10" s="57"/>
      <c r="N10" s="57"/>
      <c r="O10" s="57"/>
      <c r="P10" s="57"/>
      <c r="Q10" s="143"/>
      <c r="R10" s="131">
        <f t="shared" si="1"/>
        <v>0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spans="1:32" ht="21.75" customHeight="1" x14ac:dyDescent="0.25">
      <c r="A11" s="51" t="s">
        <v>20</v>
      </c>
      <c r="B11" s="52"/>
      <c r="C11" s="53"/>
      <c r="D11" s="54"/>
      <c r="E11" s="54"/>
      <c r="F11" s="54"/>
      <c r="G11" s="54"/>
      <c r="H11" s="54"/>
      <c r="I11" s="54"/>
      <c r="J11" s="57"/>
      <c r="K11" s="57"/>
      <c r="L11" s="57"/>
      <c r="M11" s="57"/>
      <c r="N11" s="57"/>
      <c r="O11" s="57"/>
      <c r="P11" s="57"/>
      <c r="Q11" s="143"/>
      <c r="R11" s="131">
        <f t="shared" si="1"/>
        <v>0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spans="1:32" ht="21.75" customHeight="1" thickBot="1" x14ac:dyDescent="0.3">
      <c r="A12" s="61" t="s">
        <v>21</v>
      </c>
      <c r="B12" s="62"/>
      <c r="C12" s="63">
        <f t="shared" ref="C12:Q12" si="2">SUM(C6:C11)</f>
        <v>0</v>
      </c>
      <c r="D12" s="64">
        <f t="shared" si="2"/>
        <v>0</v>
      </c>
      <c r="E12" s="64">
        <f t="shared" si="2"/>
        <v>0</v>
      </c>
      <c r="F12" s="64">
        <f t="shared" si="2"/>
        <v>940620</v>
      </c>
      <c r="G12" s="64">
        <f t="shared" si="2"/>
        <v>1043620</v>
      </c>
      <c r="H12" s="64">
        <f t="shared" si="2"/>
        <v>735620</v>
      </c>
      <c r="I12" s="64">
        <f t="shared" si="2"/>
        <v>354418</v>
      </c>
      <c r="J12" s="65">
        <f t="shared" si="2"/>
        <v>25620</v>
      </c>
      <c r="K12" s="65">
        <f t="shared" si="2"/>
        <v>25620</v>
      </c>
      <c r="L12" s="65">
        <f t="shared" si="2"/>
        <v>55017</v>
      </c>
      <c r="M12" s="65">
        <f t="shared" si="2"/>
        <v>59778</v>
      </c>
      <c r="N12" s="65">
        <f t="shared" si="2"/>
        <v>90269</v>
      </c>
      <c r="O12" s="65">
        <f t="shared" si="2"/>
        <v>90573</v>
      </c>
      <c r="P12" s="65">
        <f t="shared" si="2"/>
        <v>557620</v>
      </c>
      <c r="Q12" s="144">
        <f t="shared" si="2"/>
        <v>750620</v>
      </c>
      <c r="R12" s="132">
        <f t="shared" si="1"/>
        <v>4729395</v>
      </c>
      <c r="S12" s="66"/>
      <c r="T12" s="66"/>
      <c r="U12" s="66"/>
      <c r="V12" s="66"/>
      <c r="W12" s="66"/>
      <c r="X12" s="5"/>
      <c r="Y12" s="5"/>
      <c r="Z12" s="5"/>
      <c r="AA12" s="5"/>
      <c r="AB12" s="5"/>
      <c r="AC12" s="5"/>
      <c r="AD12" s="5"/>
      <c r="AE12" s="5"/>
      <c r="AF12" s="5"/>
    </row>
    <row r="13" spans="1:32" ht="7.5" customHeight="1" thickTop="1" x14ac:dyDescent="0.25">
      <c r="A13" s="40"/>
      <c r="B13" s="41"/>
      <c r="C13" s="67"/>
      <c r="D13" s="44"/>
      <c r="E13" s="44"/>
      <c r="F13" s="44"/>
      <c r="G13" s="44"/>
      <c r="H13" s="44"/>
      <c r="I13" s="44"/>
      <c r="J13" s="48"/>
      <c r="K13" s="48"/>
      <c r="L13" s="48"/>
      <c r="M13" s="48"/>
      <c r="N13" s="48"/>
      <c r="O13" s="48"/>
      <c r="P13" s="48"/>
      <c r="Q13" s="142"/>
      <c r="R13" s="133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spans="1:32" ht="21.75" customHeight="1" x14ac:dyDescent="0.25">
      <c r="A14" s="51" t="s">
        <v>22</v>
      </c>
      <c r="B14" s="52"/>
      <c r="C14" s="53">
        <f>'Salari e Stipendi'!D4</f>
        <v>0</v>
      </c>
      <c r="D14" s="54">
        <f>'Salari e Stipendi'!E4</f>
        <v>0</v>
      </c>
      <c r="E14" s="54">
        <f>'Salari e Stipendi'!F4</f>
        <v>0</v>
      </c>
      <c r="F14" s="54">
        <f>'Salari e Stipendi'!G4</f>
        <v>153671.34</v>
      </c>
      <c r="G14" s="54">
        <f>'Salari e Stipendi'!H4</f>
        <v>153432.81</v>
      </c>
      <c r="H14" s="54">
        <f>'Salari e Stipendi'!I4</f>
        <v>140000</v>
      </c>
      <c r="I14" s="54">
        <f>'Salari e Stipendi'!J4</f>
        <v>115000</v>
      </c>
      <c r="J14" s="57">
        <f>'Salari e Stipendi'!K4</f>
        <v>175000</v>
      </c>
      <c r="K14" s="57">
        <f>'Salari e Stipendi'!L4</f>
        <v>58000</v>
      </c>
      <c r="L14" s="57">
        <f>'Salari e Stipendi'!M4</f>
        <v>36500</v>
      </c>
      <c r="M14" s="57">
        <f>'Salari e Stipendi'!N4</f>
        <v>25000</v>
      </c>
      <c r="N14" s="57">
        <f>'Salari e Stipendi'!O4</f>
        <v>22000</v>
      </c>
      <c r="O14" s="57">
        <f>'Salari e Stipendi'!P4</f>
        <v>25000</v>
      </c>
      <c r="P14" s="57">
        <f>'Salari e Stipendi'!Q4</f>
        <v>69500</v>
      </c>
      <c r="Q14" s="143">
        <f>'Salari e Stipendi'!R4</f>
        <v>99000</v>
      </c>
      <c r="R14" s="130">
        <f t="shared" ref="R14:R24" si="3">SUM(C14:Q14)</f>
        <v>1072104.1499999999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spans="1:32" ht="21.75" customHeight="1" x14ac:dyDescent="0.25">
      <c r="A15" s="51" t="s">
        <v>23</v>
      </c>
      <c r="B15" s="52"/>
      <c r="C15" s="53">
        <f>Utenze!D3</f>
        <v>0</v>
      </c>
      <c r="D15" s="54">
        <f>Utenze!E3</f>
        <v>0</v>
      </c>
      <c r="E15" s="54">
        <f>Utenze!F3</f>
        <v>0</v>
      </c>
      <c r="F15" s="54">
        <f>Utenze!G3</f>
        <v>34025.61</v>
      </c>
      <c r="G15" s="54">
        <f>Utenze!H3</f>
        <v>33443.089999999997</v>
      </c>
      <c r="H15" s="54">
        <f>Utenze!I3</f>
        <v>25500</v>
      </c>
      <c r="I15" s="54">
        <f>Utenze!J3</f>
        <v>27000</v>
      </c>
      <c r="J15" s="57">
        <f>Utenze!K3</f>
        <v>26500</v>
      </c>
      <c r="K15" s="57">
        <f>Utenze!L3</f>
        <v>37000</v>
      </c>
      <c r="L15" s="57">
        <f>Utenze!M3</f>
        <v>4450</v>
      </c>
      <c r="M15" s="57">
        <f>Utenze!N3</f>
        <v>7200</v>
      </c>
      <c r="N15" s="57">
        <f>Utenze!O3</f>
        <v>3470</v>
      </c>
      <c r="O15" s="57">
        <f>Utenze!P3</f>
        <v>7890</v>
      </c>
      <c r="P15" s="57">
        <f>Utenze!Q3</f>
        <v>13100</v>
      </c>
      <c r="Q15" s="143">
        <f>Utenze!R3</f>
        <v>26600</v>
      </c>
      <c r="R15" s="130">
        <f t="shared" si="3"/>
        <v>246178.7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spans="1:32" ht="21.75" customHeight="1" x14ac:dyDescent="0.25">
      <c r="A16" s="51" t="s">
        <v>24</v>
      </c>
      <c r="B16" s="52"/>
      <c r="C16" s="53">
        <f>MAX('Materie Prime-Consumo '!D3,'Materie Prime-Consumo '!D4)</f>
        <v>0</v>
      </c>
      <c r="D16" s="54">
        <f>MAX('Materie Prime-Consumo '!E3,'Materie Prime-Consumo '!E4)</f>
        <v>0</v>
      </c>
      <c r="E16" s="54">
        <f>MAX('Materie Prime-Consumo '!F3,'Materie Prime-Consumo '!F4)</f>
        <v>0</v>
      </c>
      <c r="F16" s="54">
        <f>MAX('Materie Prime-Consumo '!G3,'Materie Prime-Consumo '!G4)</f>
        <v>120000</v>
      </c>
      <c r="G16" s="54">
        <f>MAX('Materie Prime-Consumo '!H3,'Materie Prime-Consumo '!H4)</f>
        <v>145000</v>
      </c>
      <c r="H16" s="54">
        <f>MAX('Materie Prime-Consumo '!I3,'Materie Prime-Consumo '!I4)</f>
        <v>140000</v>
      </c>
      <c r="I16" s="54">
        <f>MAX('Materie Prime-Consumo '!J3,'Materie Prime-Consumo '!J4)</f>
        <v>135000</v>
      </c>
      <c r="J16" s="57">
        <f>MAX('Materie Prime-Consumo '!K3,'Materie Prime-Consumo '!K4)</f>
        <v>75000</v>
      </c>
      <c r="K16" s="57">
        <f>MAX('Materie Prime-Consumo '!L3,'Materie Prime-Consumo '!L4)</f>
        <v>60000</v>
      </c>
      <c r="L16" s="57">
        <f>MAX('Materie Prime-Consumo '!M3,'Materie Prime-Consumo '!M4)</f>
        <v>0</v>
      </c>
      <c r="M16" s="57">
        <f>MAX('Materie Prime-Consumo '!N3,'Materie Prime-Consumo '!N4)</f>
        <v>0</v>
      </c>
      <c r="N16" s="57">
        <f>MAX('Materie Prime-Consumo '!O3,'Materie Prime-Consumo '!O4)</f>
        <v>0</v>
      </c>
      <c r="O16" s="57">
        <f>MAX('Materie Prime-Consumo '!P3,'Materie Prime-Consumo '!P4)</f>
        <v>0</v>
      </c>
      <c r="P16" s="57">
        <f>MAX('Materie Prime-Consumo '!Q3,'Materie Prime-Consumo '!Q4)</f>
        <v>0</v>
      </c>
      <c r="Q16" s="143">
        <f>MAX('Materie Prime-Consumo '!R3,'Materie Prime-Consumo '!R4)</f>
        <v>0</v>
      </c>
      <c r="R16" s="130">
        <f t="shared" si="3"/>
        <v>675000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spans="1:32" ht="21.75" customHeight="1" x14ac:dyDescent="0.25">
      <c r="A17" s="51" t="s">
        <v>25</v>
      </c>
      <c r="B17" s="52"/>
      <c r="C17" s="53">
        <f>'Tasse e Imposte'!D3</f>
        <v>0</v>
      </c>
      <c r="D17" s="54">
        <f>'Tasse e Imposte'!E3</f>
        <v>0</v>
      </c>
      <c r="E17" s="54">
        <f>'Tasse e Imposte'!F3</f>
        <v>0</v>
      </c>
      <c r="F17" s="54">
        <f>'Tasse e Imposte'!G3</f>
        <v>94901.2</v>
      </c>
      <c r="G17" s="54">
        <f>'Tasse e Imposte'!H3</f>
        <v>45505.240000000005</v>
      </c>
      <c r="H17" s="54">
        <f>'Tasse e Imposte'!I3</f>
        <v>120826.94</v>
      </c>
      <c r="I17" s="54">
        <f>'Tasse e Imposte'!J3</f>
        <v>55076.639999999999</v>
      </c>
      <c r="J17" s="57">
        <f>'Tasse e Imposte'!K3</f>
        <v>82506.34</v>
      </c>
      <c r="K17" s="57">
        <f>'Tasse e Imposte'!L3</f>
        <v>5365</v>
      </c>
      <c r="L17" s="57">
        <f>'Tasse e Imposte'!M3</f>
        <v>120</v>
      </c>
      <c r="M17" s="57">
        <f>'Tasse e Imposte'!N3</f>
        <v>160</v>
      </c>
      <c r="N17" s="57">
        <f>'Tasse e Imposte'!O3</f>
        <v>100</v>
      </c>
      <c r="O17" s="57">
        <f>'Tasse e Imposte'!P3</f>
        <v>100</v>
      </c>
      <c r="P17" s="57">
        <f>'Tasse e Imposte'!Q3</f>
        <v>8078</v>
      </c>
      <c r="Q17" s="143">
        <f>'Tasse e Imposte'!R3</f>
        <v>143509</v>
      </c>
      <c r="R17" s="130">
        <f t="shared" si="3"/>
        <v>556248.36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spans="1:32" ht="21.75" customHeight="1" x14ac:dyDescent="0.25">
      <c r="A18" s="51" t="s">
        <v>26</v>
      </c>
      <c r="B18" s="52"/>
      <c r="C18" s="53">
        <f>'Commisisoni Portali'!D3</f>
        <v>0</v>
      </c>
      <c r="D18" s="54">
        <f>'Commisisoni Portali'!E3</f>
        <v>0</v>
      </c>
      <c r="E18" s="54">
        <f>'Commisisoni Portali'!F3</f>
        <v>0</v>
      </c>
      <c r="F18" s="54">
        <f>'Commisisoni Portali'!G3</f>
        <v>54286</v>
      </c>
      <c r="G18" s="54">
        <f>'Commisisoni Portali'!H3</f>
        <v>62720</v>
      </c>
      <c r="H18" s="54">
        <f>'Commisisoni Portali'!I3</f>
        <v>59600</v>
      </c>
      <c r="I18" s="54">
        <f>'Commisisoni Portali'!J3</f>
        <v>43700</v>
      </c>
      <c r="J18" s="57">
        <f>'Commisisoni Portali'!K3</f>
        <v>18500</v>
      </c>
      <c r="K18" s="57">
        <f>'Commisisoni Portali'!L3</f>
        <v>8250</v>
      </c>
      <c r="L18" s="57">
        <f>'Commisisoni Portali'!M3</f>
        <v>150</v>
      </c>
      <c r="M18" s="57">
        <f>'Commisisoni Portali'!N3</f>
        <v>90</v>
      </c>
      <c r="N18" s="57">
        <f>'Commisisoni Portali'!O3</f>
        <v>210</v>
      </c>
      <c r="O18" s="57">
        <f>'Commisisoni Portali'!P3</f>
        <v>970</v>
      </c>
      <c r="P18" s="57">
        <f>'Commisisoni Portali'!Q3</f>
        <v>14432</v>
      </c>
      <c r="Q18" s="143">
        <f>'Commisisoni Portali'!R3</f>
        <v>35500</v>
      </c>
      <c r="R18" s="130">
        <f t="shared" si="3"/>
        <v>298408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spans="1:32" ht="21.75" customHeight="1" x14ac:dyDescent="0.25">
      <c r="A19" s="51" t="s">
        <v>27</v>
      </c>
      <c r="B19" s="52"/>
      <c r="C19" s="53">
        <f>'Mutui e Finaziamenti'!D3</f>
        <v>0</v>
      </c>
      <c r="D19" s="54">
        <f>'Mutui e Finaziamenti'!E3</f>
        <v>0</v>
      </c>
      <c r="E19" s="54">
        <f>'Mutui e Finaziamenti'!F3</f>
        <v>0</v>
      </c>
      <c r="F19" s="54">
        <f>'Mutui e Finaziamenti'!G3</f>
        <v>13659.3</v>
      </c>
      <c r="G19" s="54">
        <f>'Mutui e Finaziamenti'!H3</f>
        <v>13658.59</v>
      </c>
      <c r="H19" s="54">
        <f>'Mutui e Finaziamenti'!I3</f>
        <v>13627.32</v>
      </c>
      <c r="I19" s="54">
        <f>'Mutui e Finaziamenti'!J3</f>
        <v>13657.16</v>
      </c>
      <c r="J19" s="57">
        <f>'Mutui e Finaziamenti'!K3</f>
        <v>13628.34</v>
      </c>
      <c r="K19" s="57">
        <f>'Mutui e Finaziamenti'!L3</f>
        <v>179831.72</v>
      </c>
      <c r="L19" s="57">
        <f>'Mutui e Finaziamenti'!M3</f>
        <v>13655</v>
      </c>
      <c r="M19" s="57">
        <f>'Mutui e Finaziamenti'!N3</f>
        <v>13581.12</v>
      </c>
      <c r="N19" s="57">
        <f>'Mutui e Finaziamenti'!O3</f>
        <v>13653.54</v>
      </c>
      <c r="O19" s="57">
        <f>'Mutui e Finaziamenti'!P3</f>
        <v>13630.93</v>
      </c>
      <c r="P19" s="57">
        <f>'Mutui e Finaziamenti'!Q3</f>
        <v>13652.09</v>
      </c>
      <c r="Q19" s="143">
        <f>'Mutui e Finaziamenti'!R3</f>
        <v>179807.97</v>
      </c>
      <c r="R19" s="130">
        <f t="shared" si="3"/>
        <v>496043.07999999996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spans="1:32" ht="21.75" customHeight="1" x14ac:dyDescent="0.25">
      <c r="A20" s="51" t="s">
        <v>28</v>
      </c>
      <c r="B20" s="52"/>
      <c r="C20" s="53">
        <f>Consulenze!D3</f>
        <v>0</v>
      </c>
      <c r="D20" s="54">
        <f>Consulenze!E3</f>
        <v>0</v>
      </c>
      <c r="E20" s="54">
        <f>Consulenze!F3</f>
        <v>0</v>
      </c>
      <c r="F20" s="54">
        <f>Consulenze!G3</f>
        <v>24754.799999999999</v>
      </c>
      <c r="G20" s="54">
        <f>Consulenze!H3</f>
        <v>3416</v>
      </c>
      <c r="H20" s="54">
        <f>Consulenze!I3</f>
        <v>27616</v>
      </c>
      <c r="I20" s="54">
        <f>Consulenze!J3</f>
        <v>3416</v>
      </c>
      <c r="J20" s="57">
        <f>Consulenze!K3</f>
        <v>3416</v>
      </c>
      <c r="K20" s="57">
        <f>Consulenze!L3</f>
        <v>3416</v>
      </c>
      <c r="L20" s="57">
        <f>Consulenze!M3</f>
        <v>3416</v>
      </c>
      <c r="M20" s="57">
        <f>Consulenze!N3</f>
        <v>3416</v>
      </c>
      <c r="N20" s="57">
        <f>Consulenze!O3</f>
        <v>3416</v>
      </c>
      <c r="O20" s="57">
        <f>Consulenze!P3</f>
        <v>3416</v>
      </c>
      <c r="P20" s="57">
        <f>Consulenze!Q3</f>
        <v>3416</v>
      </c>
      <c r="Q20" s="143">
        <f>Consulenze!R3</f>
        <v>3416</v>
      </c>
      <c r="R20" s="130">
        <f t="shared" si="3"/>
        <v>86530.8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spans="1:32" ht="21.75" customHeight="1" x14ac:dyDescent="0.25">
      <c r="A21" s="51" t="s">
        <v>29</v>
      </c>
      <c r="B21" s="52"/>
      <c r="C21" s="53">
        <f>'Godimento Beni di Terzi'!D4</f>
        <v>0</v>
      </c>
      <c r="D21" s="54">
        <f>'Godimento Beni di Terzi'!E4</f>
        <v>0</v>
      </c>
      <c r="E21" s="54">
        <f>'Godimento Beni di Terzi'!F4</f>
        <v>0</v>
      </c>
      <c r="F21" s="54">
        <f>'Godimento Beni di Terzi'!G4</f>
        <v>648000</v>
      </c>
      <c r="G21" s="54">
        <f>'Godimento Beni di Terzi'!H4</f>
        <v>60000</v>
      </c>
      <c r="H21" s="54">
        <f>'Godimento Beni di Terzi'!I4</f>
        <v>0</v>
      </c>
      <c r="I21" s="54">
        <f>'Godimento Beni di Terzi'!J4</f>
        <v>244000</v>
      </c>
      <c r="J21" s="57">
        <f>'Godimento Beni di Terzi'!K4</f>
        <v>50000</v>
      </c>
      <c r="K21" s="57">
        <f>'Godimento Beni di Terzi'!L4</f>
        <v>488000</v>
      </c>
      <c r="L21" s="57">
        <f>'Godimento Beni di Terzi'!M4</f>
        <v>0</v>
      </c>
      <c r="M21" s="57">
        <f>'Godimento Beni di Terzi'!N4</f>
        <v>0</v>
      </c>
      <c r="N21" s="57">
        <f>'Godimento Beni di Terzi'!O4</f>
        <v>0</v>
      </c>
      <c r="O21" s="57">
        <f>'Godimento Beni di Terzi'!P4</f>
        <v>0</v>
      </c>
      <c r="P21" s="57">
        <f>'Godimento Beni di Terzi'!Q4</f>
        <v>0</v>
      </c>
      <c r="Q21" s="143">
        <f>'Godimento Beni di Terzi'!R4</f>
        <v>379000</v>
      </c>
      <c r="R21" s="130">
        <f t="shared" si="3"/>
        <v>1869000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spans="1:32" ht="21.75" customHeight="1" x14ac:dyDescent="0.25">
      <c r="A22" s="51" t="s">
        <v>30</v>
      </c>
      <c r="B22" s="52"/>
      <c r="C22" s="53">
        <f>' Varie ed Eventuali'!D3</f>
        <v>0</v>
      </c>
      <c r="D22" s="54">
        <f>' Varie ed Eventuali'!E3</f>
        <v>0</v>
      </c>
      <c r="E22" s="54">
        <f>' Varie ed Eventuali'!F3</f>
        <v>0</v>
      </c>
      <c r="F22" s="54">
        <f>' Varie ed Eventuali'!G3</f>
        <v>3731.7</v>
      </c>
      <c r="G22" s="54">
        <f>' Varie ed Eventuali'!H3</f>
        <v>13534.88</v>
      </c>
      <c r="H22" s="54">
        <f>' Varie ed Eventuali'!I3</f>
        <v>6767.44</v>
      </c>
      <c r="I22" s="54">
        <f>' Varie ed Eventuali'!J3</f>
        <v>6767.44</v>
      </c>
      <c r="J22" s="57">
        <f>' Varie ed Eventuali'!K3</f>
        <v>6767.44</v>
      </c>
      <c r="K22" s="57">
        <f>' Varie ed Eventuali'!L3</f>
        <v>6767.44</v>
      </c>
      <c r="L22" s="57">
        <f>' Varie ed Eventuali'!M3</f>
        <v>0</v>
      </c>
      <c r="M22" s="57">
        <f>' Varie ed Eventuali'!N3</f>
        <v>0</v>
      </c>
      <c r="N22" s="57">
        <f>' Varie ed Eventuali'!O3</f>
        <v>0</v>
      </c>
      <c r="O22" s="57">
        <f>' Varie ed Eventuali'!P3</f>
        <v>0</v>
      </c>
      <c r="P22" s="57">
        <f>' Varie ed Eventuali'!Q3</f>
        <v>0</v>
      </c>
      <c r="Q22" s="143">
        <f>' Varie ed Eventuali'!R3</f>
        <v>0</v>
      </c>
      <c r="R22" s="130">
        <f t="shared" si="3"/>
        <v>44336.34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spans="1:32" ht="21.75" customHeight="1" x14ac:dyDescent="0.25">
      <c r="A23" s="51" t="s">
        <v>31</v>
      </c>
      <c r="B23" s="52"/>
      <c r="C23" s="53">
        <f>'Canoni e servizi'!D4</f>
        <v>0</v>
      </c>
      <c r="D23" s="54">
        <f>'Canoni e servizi'!E4</f>
        <v>0</v>
      </c>
      <c r="E23" s="54">
        <f>'Canoni e servizi'!F4</f>
        <v>0</v>
      </c>
      <c r="F23" s="54">
        <f>'Canoni e servizi'!G4</f>
        <v>19633.869999999995</v>
      </c>
      <c r="G23" s="54">
        <f>'Canoni e servizi'!H4</f>
        <v>5232.84</v>
      </c>
      <c r="H23" s="54">
        <f>'Canoni e servizi'!I4</f>
        <v>1832.23</v>
      </c>
      <c r="I23" s="54">
        <f>'Canoni e servizi'!J4</f>
        <v>2018.8400000000001</v>
      </c>
      <c r="J23" s="57">
        <f>'Canoni e servizi'!K4</f>
        <v>1832.23</v>
      </c>
      <c r="K23" s="57">
        <f>'Canoni e servizi'!L4</f>
        <v>18313.84</v>
      </c>
      <c r="L23" s="57">
        <f>'Canoni e servizi'!M4</f>
        <v>801.58999999999992</v>
      </c>
      <c r="M23" s="57">
        <f>'Canoni e servizi'!N4</f>
        <v>683.2</v>
      </c>
      <c r="N23" s="57">
        <f>'Canoni e servizi'!O4</f>
        <v>801.58999999999992</v>
      </c>
      <c r="O23" s="57">
        <f>'Canoni e servizi'!P4</f>
        <v>988.2</v>
      </c>
      <c r="P23" s="57">
        <f>'Canoni e servizi'!Q4</f>
        <v>801.58999999999992</v>
      </c>
      <c r="Q23" s="143">
        <f>'Canoni e servizi'!R4</f>
        <v>988.2</v>
      </c>
      <c r="R23" s="130">
        <f t="shared" si="3"/>
        <v>53928.219999999972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spans="1:32" ht="21.75" customHeight="1" x14ac:dyDescent="0.25">
      <c r="A24" s="51" t="s">
        <v>32</v>
      </c>
      <c r="B24" s="52"/>
      <c r="C24" s="53"/>
      <c r="D24" s="54"/>
      <c r="E24" s="54"/>
      <c r="F24" s="54"/>
      <c r="G24" s="54"/>
      <c r="H24" s="54"/>
      <c r="I24" s="54"/>
      <c r="J24" s="57"/>
      <c r="K24" s="57"/>
      <c r="L24" s="57"/>
      <c r="M24" s="57"/>
      <c r="N24" s="57"/>
      <c r="O24" s="57"/>
      <c r="P24" s="57"/>
      <c r="Q24" s="143"/>
      <c r="R24" s="130">
        <f t="shared" si="3"/>
        <v>0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spans="1:32" ht="21.75" customHeight="1" x14ac:dyDescent="0.25">
      <c r="A25" s="51"/>
      <c r="B25" s="52"/>
      <c r="C25" s="53"/>
      <c r="D25" s="54"/>
      <c r="E25" s="54"/>
      <c r="F25" s="54"/>
      <c r="G25" s="54"/>
      <c r="H25" s="54"/>
      <c r="I25" s="54"/>
      <c r="J25" s="57"/>
      <c r="K25" s="69"/>
      <c r="L25" s="57"/>
      <c r="M25" s="57"/>
      <c r="N25" s="57"/>
      <c r="O25" s="57"/>
      <c r="P25" s="57"/>
      <c r="Q25" s="143"/>
      <c r="R25" s="130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ht="21.75" customHeight="1" x14ac:dyDescent="0.25">
      <c r="A26" s="70"/>
      <c r="B26" s="71"/>
      <c r="C26" s="72"/>
      <c r="D26" s="73"/>
      <c r="E26" s="73"/>
      <c r="F26" s="73"/>
      <c r="G26" s="73"/>
      <c r="H26" s="73"/>
      <c r="I26" s="73"/>
      <c r="J26" s="74"/>
      <c r="K26" s="57"/>
      <c r="L26" s="74"/>
      <c r="M26" s="74"/>
      <c r="N26" s="74"/>
      <c r="O26" s="74"/>
      <c r="P26" s="74"/>
      <c r="Q26" s="145"/>
      <c r="R26" s="134"/>
      <c r="S26" s="27"/>
      <c r="T26" s="27"/>
      <c r="U26" s="27"/>
      <c r="V26" s="27"/>
      <c r="W26" s="27"/>
      <c r="X26" s="5"/>
      <c r="Y26" s="5"/>
      <c r="Z26" s="5"/>
      <c r="AA26" s="5"/>
      <c r="AB26" s="5"/>
      <c r="AC26" s="5"/>
      <c r="AD26" s="5"/>
      <c r="AE26" s="5"/>
      <c r="AF26" s="5"/>
    </row>
    <row r="27" spans="1:32" ht="21.75" customHeight="1" thickBot="1" x14ac:dyDescent="0.3">
      <c r="A27" s="75" t="s">
        <v>33</v>
      </c>
      <c r="B27" s="76"/>
      <c r="C27" s="77">
        <f t="shared" ref="C27:Q27" si="4">SUM(C14:C26)</f>
        <v>0</v>
      </c>
      <c r="D27" s="78">
        <f t="shared" si="4"/>
        <v>0</v>
      </c>
      <c r="E27" s="78">
        <f t="shared" si="4"/>
        <v>0</v>
      </c>
      <c r="F27" s="78">
        <f t="shared" si="4"/>
        <v>1166663.8199999998</v>
      </c>
      <c r="G27" s="78">
        <f t="shared" si="4"/>
        <v>535943.44999999995</v>
      </c>
      <c r="H27" s="78">
        <f t="shared" si="4"/>
        <v>535769.92999999993</v>
      </c>
      <c r="I27" s="78">
        <f t="shared" si="4"/>
        <v>645636.07999999996</v>
      </c>
      <c r="J27" s="79">
        <f t="shared" si="4"/>
        <v>453150.35</v>
      </c>
      <c r="K27" s="79">
        <f t="shared" si="4"/>
        <v>864943.99999999988</v>
      </c>
      <c r="L27" s="79">
        <f t="shared" si="4"/>
        <v>59092.59</v>
      </c>
      <c r="M27" s="79">
        <f t="shared" si="4"/>
        <v>50130.32</v>
      </c>
      <c r="N27" s="79">
        <f t="shared" si="4"/>
        <v>43651.13</v>
      </c>
      <c r="O27" s="79">
        <f t="shared" si="4"/>
        <v>51995.13</v>
      </c>
      <c r="P27" s="79">
        <f t="shared" si="4"/>
        <v>122979.68</v>
      </c>
      <c r="Q27" s="146">
        <f t="shared" si="4"/>
        <v>867821.16999999993</v>
      </c>
      <c r="R27" s="135">
        <f>SUM(C27:Q27)</f>
        <v>5397777.6499999994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spans="1:32" ht="7.5" customHeight="1" thickTop="1" x14ac:dyDescent="0.25">
      <c r="A28" s="40"/>
      <c r="B28" s="41"/>
      <c r="C28" s="67"/>
      <c r="D28" s="44"/>
      <c r="E28" s="44"/>
      <c r="F28" s="44"/>
      <c r="G28" s="44"/>
      <c r="H28" s="44"/>
      <c r="I28" s="44"/>
      <c r="J28" s="48"/>
      <c r="K28" s="48"/>
      <c r="L28" s="48"/>
      <c r="M28" s="48"/>
      <c r="N28" s="48"/>
      <c r="O28" s="48"/>
      <c r="P28" s="48"/>
      <c r="Q28" s="142"/>
      <c r="R28" s="133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spans="1:32" ht="21.75" customHeight="1" thickBot="1" x14ac:dyDescent="0.3">
      <c r="A29" s="80" t="s">
        <v>34</v>
      </c>
      <c r="B29" s="81"/>
      <c r="C29" s="82">
        <f t="shared" ref="C29:R29" si="5">C12-C27</f>
        <v>0</v>
      </c>
      <c r="D29" s="83">
        <f t="shared" si="5"/>
        <v>0</v>
      </c>
      <c r="E29" s="83">
        <f t="shared" si="5"/>
        <v>0</v>
      </c>
      <c r="F29" s="83">
        <f t="shared" si="5"/>
        <v>-226043.81999999983</v>
      </c>
      <c r="G29" s="83">
        <f t="shared" si="5"/>
        <v>507676.55000000005</v>
      </c>
      <c r="H29" s="83">
        <f t="shared" si="5"/>
        <v>199850.07000000007</v>
      </c>
      <c r="I29" s="83">
        <f t="shared" si="5"/>
        <v>-291218.07999999996</v>
      </c>
      <c r="J29" s="84">
        <f t="shared" si="5"/>
        <v>-427530.35</v>
      </c>
      <c r="K29" s="84">
        <f t="shared" si="5"/>
        <v>-839323.99999999988</v>
      </c>
      <c r="L29" s="84">
        <f t="shared" si="5"/>
        <v>-4075.5899999999965</v>
      </c>
      <c r="M29" s="84">
        <f t="shared" si="5"/>
        <v>9647.68</v>
      </c>
      <c r="N29" s="84">
        <f t="shared" si="5"/>
        <v>46617.87</v>
      </c>
      <c r="O29" s="84">
        <f t="shared" si="5"/>
        <v>38577.870000000003</v>
      </c>
      <c r="P29" s="84">
        <f t="shared" si="5"/>
        <v>434640.32</v>
      </c>
      <c r="Q29" s="147">
        <f t="shared" si="5"/>
        <v>-117201.16999999993</v>
      </c>
      <c r="R29" s="136">
        <f t="shared" si="5"/>
        <v>-668382.64999999944</v>
      </c>
      <c r="S29" s="27"/>
      <c r="T29" s="27"/>
      <c r="U29" s="27"/>
      <c r="V29" s="27"/>
      <c r="W29" s="27"/>
      <c r="X29" s="5"/>
      <c r="Y29" s="5"/>
      <c r="Z29" s="5"/>
      <c r="AA29" s="5"/>
      <c r="AB29" s="5"/>
      <c r="AC29" s="5"/>
      <c r="AD29" s="5"/>
      <c r="AE29" s="5"/>
      <c r="AF29" s="5"/>
    </row>
    <row r="30" spans="1:32" ht="7.5" customHeight="1" thickTop="1" x14ac:dyDescent="0.25">
      <c r="A30" s="40"/>
      <c r="B30" s="41"/>
      <c r="C30" s="67"/>
      <c r="D30" s="44"/>
      <c r="E30" s="44"/>
      <c r="F30" s="44"/>
      <c r="G30" s="44"/>
      <c r="H30" s="44"/>
      <c r="I30" s="44"/>
      <c r="J30" s="48"/>
      <c r="K30" s="48"/>
      <c r="L30" s="48"/>
      <c r="M30" s="48"/>
      <c r="N30" s="48"/>
      <c r="O30" s="48"/>
      <c r="P30" s="48"/>
      <c r="Q30" s="142"/>
      <c r="R30" s="133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spans="1:32" ht="21.75" customHeight="1" x14ac:dyDescent="0.25">
      <c r="A31" s="85"/>
      <c r="B31" s="52"/>
      <c r="C31" s="155">
        <v>46142</v>
      </c>
      <c r="D31" s="156">
        <v>46173</v>
      </c>
      <c r="E31" s="156">
        <v>46203</v>
      </c>
      <c r="F31" s="54"/>
      <c r="G31" s="54"/>
      <c r="H31" s="54"/>
      <c r="I31" s="54"/>
      <c r="J31" s="57"/>
      <c r="K31" s="57"/>
      <c r="L31" s="57"/>
      <c r="M31" s="57"/>
      <c r="N31" s="57"/>
      <c r="O31" s="57"/>
      <c r="P31" s="57"/>
      <c r="Q31" s="143"/>
      <c r="R31" s="130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 spans="1:32" ht="21.75" customHeight="1" x14ac:dyDescent="0.25">
      <c r="A32" s="86" t="s">
        <v>35</v>
      </c>
      <c r="B32" s="87"/>
      <c r="C32" s="157">
        <v>245171.52</v>
      </c>
      <c r="D32" s="54">
        <v>469192.55</v>
      </c>
      <c r="E32" s="158">
        <v>791654.1</v>
      </c>
      <c r="F32" s="54"/>
      <c r="G32" s="54"/>
      <c r="H32" s="54"/>
      <c r="I32" s="54"/>
      <c r="J32" s="57"/>
      <c r="K32" s="57"/>
      <c r="L32" s="57"/>
      <c r="M32" s="57"/>
      <c r="N32" s="57"/>
      <c r="O32" s="57"/>
      <c r="P32" s="57"/>
      <c r="Q32" s="143"/>
      <c r="R32" s="130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 spans="1:32" ht="21.75" customHeight="1" x14ac:dyDescent="0.25">
      <c r="A33" s="86" t="s">
        <v>36</v>
      </c>
      <c r="B33" s="88"/>
      <c r="C33" s="157">
        <v>87439.92</v>
      </c>
      <c r="D33" s="54">
        <v>111933.31</v>
      </c>
      <c r="E33" s="158">
        <v>136312.45000000001</v>
      </c>
      <c r="F33" s="54"/>
      <c r="G33" s="54"/>
      <c r="H33" s="54"/>
      <c r="I33" s="54"/>
      <c r="J33" s="57"/>
      <c r="K33" s="57"/>
      <c r="L33" s="57"/>
      <c r="M33" s="57"/>
      <c r="N33" s="57"/>
      <c r="O33" s="57"/>
      <c r="P33" s="57"/>
      <c r="Q33" s="143"/>
      <c r="R33" s="130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 spans="1:32" ht="21.75" customHeight="1" x14ac:dyDescent="0.25">
      <c r="A34" s="86"/>
      <c r="B34" s="52"/>
      <c r="C34" s="53"/>
      <c r="D34" s="54"/>
      <c r="E34" s="54"/>
      <c r="F34" s="54"/>
      <c r="G34" s="54"/>
      <c r="H34" s="54"/>
      <c r="I34" s="54"/>
      <c r="J34" s="57"/>
      <c r="K34" s="57"/>
      <c r="L34" s="57"/>
      <c r="M34" s="57"/>
      <c r="N34" s="57"/>
      <c r="O34" s="57"/>
      <c r="P34" s="57"/>
      <c r="Q34" s="143"/>
      <c r="R34" s="131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 spans="1:32" ht="21.75" customHeight="1" thickBot="1" x14ac:dyDescent="0.3">
      <c r="A35" s="89" t="s">
        <v>37</v>
      </c>
      <c r="B35" s="90"/>
      <c r="C35" s="91">
        <f>SUM(C32:C34)</f>
        <v>332611.44</v>
      </c>
      <c r="D35" s="92">
        <f>SUM(D32:D34)</f>
        <v>581125.86</v>
      </c>
      <c r="E35" s="92">
        <f>SUM(E32:E34)</f>
        <v>927966.55</v>
      </c>
      <c r="F35" s="92"/>
      <c r="G35" s="92"/>
      <c r="H35" s="92"/>
      <c r="I35" s="92"/>
      <c r="J35" s="93"/>
      <c r="K35" s="93"/>
      <c r="L35" s="93"/>
      <c r="M35" s="93"/>
      <c r="N35" s="93"/>
      <c r="O35" s="93"/>
      <c r="P35" s="93"/>
      <c r="Q35" s="148"/>
      <c r="R35" s="137"/>
      <c r="S35" s="27"/>
      <c r="T35" s="27"/>
      <c r="U35" s="27"/>
      <c r="V35" s="27"/>
      <c r="W35" s="27"/>
      <c r="X35" s="5"/>
      <c r="Y35" s="5"/>
      <c r="Z35" s="5"/>
      <c r="AA35" s="5"/>
      <c r="AB35" s="5"/>
      <c r="AC35" s="5"/>
      <c r="AD35" s="5"/>
      <c r="AE35" s="5"/>
      <c r="AF35" s="5"/>
    </row>
    <row r="36" spans="1:32" ht="7.5" customHeight="1" thickTop="1" x14ac:dyDescent="0.25">
      <c r="A36" s="40"/>
      <c r="B36" s="41"/>
      <c r="C36" s="67"/>
      <c r="D36" s="44"/>
      <c r="E36" s="44"/>
      <c r="F36" s="44"/>
      <c r="G36" s="44"/>
      <c r="H36" s="44"/>
      <c r="I36" s="44"/>
      <c r="J36" s="48"/>
      <c r="K36" s="48"/>
      <c r="L36" s="48"/>
      <c r="M36" s="48"/>
      <c r="N36" s="48"/>
      <c r="O36" s="48"/>
      <c r="P36" s="48"/>
      <c r="Q36" s="142"/>
      <c r="R36" s="133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 spans="1:32" ht="25.5" customHeight="1" thickBot="1" x14ac:dyDescent="0.35">
      <c r="A37" s="94" t="s">
        <v>38</v>
      </c>
      <c r="B37" s="95"/>
      <c r="C37" s="96">
        <f t="shared" ref="C37:Q37" si="6">C4+C29</f>
        <v>339337.46</v>
      </c>
      <c r="D37" s="97">
        <f t="shared" si="6"/>
        <v>581125.86</v>
      </c>
      <c r="E37" s="97">
        <f t="shared" si="6"/>
        <v>927966.55</v>
      </c>
      <c r="F37" s="97">
        <f t="shared" si="6"/>
        <v>701922.73000000021</v>
      </c>
      <c r="G37" s="97">
        <f t="shared" si="6"/>
        <v>1209599.2800000003</v>
      </c>
      <c r="H37" s="97">
        <f t="shared" si="6"/>
        <v>1409449.3500000003</v>
      </c>
      <c r="I37" s="97">
        <f t="shared" si="6"/>
        <v>1118231.2700000005</v>
      </c>
      <c r="J37" s="97">
        <f t="shared" si="6"/>
        <v>690700.92000000051</v>
      </c>
      <c r="K37" s="97">
        <f t="shared" si="6"/>
        <v>-148623.07999999938</v>
      </c>
      <c r="L37" s="97">
        <f t="shared" si="6"/>
        <v>-152698.66999999937</v>
      </c>
      <c r="M37" s="97">
        <f t="shared" si="6"/>
        <v>-143050.98999999938</v>
      </c>
      <c r="N37" s="97">
        <f t="shared" si="6"/>
        <v>-96433.119999999384</v>
      </c>
      <c r="O37" s="97">
        <f t="shared" si="6"/>
        <v>-57855.249999999382</v>
      </c>
      <c r="P37" s="97">
        <f t="shared" si="6"/>
        <v>376785.07000000065</v>
      </c>
      <c r="Q37" s="97">
        <f t="shared" si="6"/>
        <v>259583.90000000072</v>
      </c>
      <c r="R37" s="138">
        <f>Q37</f>
        <v>259583.90000000072</v>
      </c>
      <c r="S37" s="27"/>
      <c r="T37" s="27"/>
      <c r="U37" s="27"/>
      <c r="V37" s="27"/>
      <c r="W37" s="27"/>
      <c r="X37" s="5"/>
      <c r="Y37" s="5"/>
      <c r="Z37" s="5"/>
      <c r="AA37" s="5"/>
      <c r="AB37" s="5"/>
      <c r="AC37" s="5"/>
      <c r="AD37" s="5"/>
      <c r="AE37" s="5"/>
      <c r="AF37" s="5"/>
    </row>
    <row r="38" spans="1:32" ht="7.5" customHeight="1" thickTop="1" x14ac:dyDescent="0.25">
      <c r="A38" s="98"/>
      <c r="B38" s="41"/>
      <c r="C38" s="67"/>
      <c r="D38" s="44"/>
      <c r="E38" s="44"/>
      <c r="F38" s="44"/>
      <c r="G38" s="44"/>
      <c r="H38" s="44"/>
      <c r="I38" s="44"/>
      <c r="J38" s="48"/>
      <c r="K38" s="48"/>
      <c r="L38" s="48"/>
      <c r="M38" s="48"/>
      <c r="N38" s="48"/>
      <c r="O38" s="48"/>
      <c r="P38" s="48"/>
      <c r="Q38" s="142"/>
      <c r="R38" s="133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 spans="1:32" ht="21.75" customHeight="1" x14ac:dyDescent="0.25">
      <c r="A39" s="86" t="s">
        <v>39</v>
      </c>
      <c r="B39" s="52"/>
      <c r="C39" s="53">
        <v>0</v>
      </c>
      <c r="D39" s="54">
        <v>0</v>
      </c>
      <c r="E39" s="54">
        <v>0</v>
      </c>
      <c r="F39" s="54">
        <v>0</v>
      </c>
      <c r="G39" s="54">
        <v>0</v>
      </c>
      <c r="H39" s="54">
        <v>0</v>
      </c>
      <c r="I39" s="54">
        <v>0</v>
      </c>
      <c r="J39" s="57">
        <v>0</v>
      </c>
      <c r="K39" s="57">
        <v>0</v>
      </c>
      <c r="L39" s="57"/>
      <c r="M39" s="57"/>
      <c r="N39" s="57"/>
      <c r="O39" s="57"/>
      <c r="P39" s="57"/>
      <c r="Q39" s="143"/>
      <c r="R39" s="130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 spans="1:32" ht="21.75" customHeight="1" x14ac:dyDescent="0.25">
      <c r="A40" s="86"/>
      <c r="B40" s="52"/>
      <c r="C40" s="53"/>
      <c r="D40" s="54"/>
      <c r="E40" s="54"/>
      <c r="F40" s="54"/>
      <c r="G40" s="54"/>
      <c r="H40" s="54"/>
      <c r="I40" s="54"/>
      <c r="J40" s="57"/>
      <c r="K40" s="57"/>
      <c r="L40" s="57"/>
      <c r="M40" s="57"/>
      <c r="N40" s="57"/>
      <c r="O40" s="57"/>
      <c r="P40" s="57"/>
      <c r="Q40" s="143"/>
      <c r="R40" s="130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 spans="1:32" ht="21.75" customHeight="1" x14ac:dyDescent="0.25">
      <c r="A41" s="86"/>
      <c r="B41" s="52"/>
      <c r="C41" s="53"/>
      <c r="D41" s="54"/>
      <c r="E41" s="54"/>
      <c r="F41" s="54"/>
      <c r="G41" s="54"/>
      <c r="H41" s="54"/>
      <c r="I41" s="54"/>
      <c r="J41" s="57"/>
      <c r="K41" s="57"/>
      <c r="L41" s="57"/>
      <c r="M41" s="57"/>
      <c r="N41" s="57"/>
      <c r="O41" s="57"/>
      <c r="P41" s="57"/>
      <c r="Q41" s="143"/>
      <c r="R41" s="130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 spans="1:32" ht="21.75" customHeight="1" x14ac:dyDescent="0.25">
      <c r="A42" s="86"/>
      <c r="B42" s="52"/>
      <c r="C42" s="53"/>
      <c r="D42" s="54"/>
      <c r="E42" s="54"/>
      <c r="F42" s="54"/>
      <c r="G42" s="54"/>
      <c r="H42" s="54"/>
      <c r="I42" s="54"/>
      <c r="J42" s="57"/>
      <c r="K42" s="57"/>
      <c r="L42" s="57"/>
      <c r="M42" s="57"/>
      <c r="N42" s="57"/>
      <c r="O42" s="57"/>
      <c r="P42" s="57"/>
      <c r="Q42" s="143"/>
      <c r="R42" s="131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 spans="1:32" ht="21.75" customHeight="1" thickBot="1" x14ac:dyDescent="0.3">
      <c r="A43" s="99" t="s">
        <v>40</v>
      </c>
      <c r="B43" s="100"/>
      <c r="C43" s="101">
        <f t="shared" ref="C43:Q43" si="7">SUM(C39:C42)</f>
        <v>0</v>
      </c>
      <c r="D43" s="102">
        <f t="shared" si="7"/>
        <v>0</v>
      </c>
      <c r="E43" s="102">
        <f t="shared" si="7"/>
        <v>0</v>
      </c>
      <c r="F43" s="102">
        <f t="shared" si="7"/>
        <v>0</v>
      </c>
      <c r="G43" s="102">
        <f t="shared" si="7"/>
        <v>0</v>
      </c>
      <c r="H43" s="102">
        <f t="shared" si="7"/>
        <v>0</v>
      </c>
      <c r="I43" s="102">
        <f t="shared" si="7"/>
        <v>0</v>
      </c>
      <c r="J43" s="103">
        <f t="shared" si="7"/>
        <v>0</v>
      </c>
      <c r="K43" s="103">
        <f t="shared" si="7"/>
        <v>0</v>
      </c>
      <c r="L43" s="103">
        <f t="shared" si="7"/>
        <v>0</v>
      </c>
      <c r="M43" s="103">
        <f t="shared" si="7"/>
        <v>0</v>
      </c>
      <c r="N43" s="103">
        <f t="shared" si="7"/>
        <v>0</v>
      </c>
      <c r="O43" s="103">
        <f t="shared" si="7"/>
        <v>0</v>
      </c>
      <c r="P43" s="103">
        <f t="shared" si="7"/>
        <v>0</v>
      </c>
      <c r="Q43" s="149">
        <f t="shared" si="7"/>
        <v>0</v>
      </c>
      <c r="R43" s="139">
        <f>SUM(C43:Q43)</f>
        <v>0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 spans="1:32" ht="7.5" customHeight="1" thickTop="1" x14ac:dyDescent="0.25">
      <c r="A44" s="40"/>
      <c r="B44" s="41"/>
      <c r="C44" s="67"/>
      <c r="D44" s="44"/>
      <c r="E44" s="44"/>
      <c r="F44" s="44"/>
      <c r="G44" s="44"/>
      <c r="H44" s="44"/>
      <c r="I44" s="44"/>
      <c r="J44" s="48"/>
      <c r="K44" s="48"/>
      <c r="L44" s="48"/>
      <c r="M44" s="48"/>
      <c r="N44" s="48"/>
      <c r="O44" s="48"/>
      <c r="P44" s="48"/>
      <c r="Q44" s="142"/>
      <c r="R44" s="133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 spans="1:32" ht="25.5" customHeight="1" thickBot="1" x14ac:dyDescent="0.35">
      <c r="A45" s="94" t="s">
        <v>41</v>
      </c>
      <c r="B45" s="95"/>
      <c r="C45" s="104">
        <f t="shared" ref="C45:Q45" si="8">C37+C43</f>
        <v>339337.46</v>
      </c>
      <c r="D45" s="105">
        <f t="shared" si="8"/>
        <v>581125.86</v>
      </c>
      <c r="E45" s="105">
        <f t="shared" si="8"/>
        <v>927966.55</v>
      </c>
      <c r="F45" s="105">
        <f t="shared" si="8"/>
        <v>701922.73000000021</v>
      </c>
      <c r="G45" s="105">
        <f t="shared" si="8"/>
        <v>1209599.2800000003</v>
      </c>
      <c r="H45" s="105">
        <f t="shared" si="8"/>
        <v>1409449.3500000003</v>
      </c>
      <c r="I45" s="105">
        <f t="shared" si="8"/>
        <v>1118231.2700000005</v>
      </c>
      <c r="J45" s="106">
        <f t="shared" si="8"/>
        <v>690700.92000000051</v>
      </c>
      <c r="K45" s="106">
        <f t="shared" si="8"/>
        <v>-148623.07999999938</v>
      </c>
      <c r="L45" s="106">
        <f t="shared" si="8"/>
        <v>-152698.66999999937</v>
      </c>
      <c r="M45" s="106">
        <f t="shared" si="8"/>
        <v>-143050.98999999938</v>
      </c>
      <c r="N45" s="106">
        <f t="shared" si="8"/>
        <v>-96433.119999999384</v>
      </c>
      <c r="O45" s="106">
        <f t="shared" si="8"/>
        <v>-57855.249999999382</v>
      </c>
      <c r="P45" s="106">
        <f t="shared" si="8"/>
        <v>376785.07000000065</v>
      </c>
      <c r="Q45" s="150">
        <f t="shared" si="8"/>
        <v>259583.90000000072</v>
      </c>
      <c r="R45" s="138">
        <f>Q45</f>
        <v>259583.90000000072</v>
      </c>
      <c r="S45" s="27"/>
      <c r="T45" s="27"/>
      <c r="U45" s="27"/>
      <c r="V45" s="27"/>
      <c r="W45" s="27"/>
      <c r="X45" s="5"/>
      <c r="Y45" s="5"/>
      <c r="Z45" s="5"/>
      <c r="AA45" s="5"/>
      <c r="AB45" s="5"/>
      <c r="AC45" s="5"/>
      <c r="AD45" s="5"/>
      <c r="AE45" s="5"/>
      <c r="AF45" s="5"/>
    </row>
    <row r="46" spans="1:32" ht="15.75" customHeight="1" thickTop="1" x14ac:dyDescent="0.25">
      <c r="A46" s="5"/>
      <c r="B46" s="5"/>
      <c r="C46" s="107"/>
      <c r="D46" s="107"/>
      <c r="E46" s="107"/>
      <c r="F46" s="107"/>
      <c r="G46" s="107"/>
      <c r="H46" s="107"/>
      <c r="I46" s="107"/>
      <c r="J46" s="107"/>
      <c r="K46" s="107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 spans="1:32" ht="15.75" customHeight="1" x14ac:dyDescent="0.25">
      <c r="A47" s="5"/>
      <c r="B47" s="5"/>
      <c r="C47" s="107"/>
      <c r="D47" s="107"/>
      <c r="E47" s="107"/>
      <c r="F47" s="107"/>
      <c r="G47" s="107"/>
      <c r="H47" s="107"/>
      <c r="I47" s="107"/>
      <c r="J47" s="107"/>
      <c r="K47" s="107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 spans="1:32" ht="15.75" customHeight="1" x14ac:dyDescent="0.25">
      <c r="A48" s="5"/>
      <c r="B48" s="5"/>
      <c r="C48" s="107"/>
      <c r="D48" s="107"/>
      <c r="E48" s="107"/>
      <c r="F48" s="107"/>
      <c r="G48" s="107"/>
      <c r="H48" s="107"/>
      <c r="I48" s="107"/>
      <c r="J48" s="107"/>
      <c r="K48" s="107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 spans="1:32" ht="15.75" customHeight="1" x14ac:dyDescent="0.25">
      <c r="A49" s="5"/>
      <c r="B49" s="5"/>
      <c r="C49" s="107"/>
      <c r="D49" s="107"/>
      <c r="E49" s="107"/>
      <c r="F49" s="107"/>
      <c r="G49" s="107"/>
      <c r="H49" s="107"/>
      <c r="I49" s="107"/>
      <c r="J49" s="107"/>
      <c r="K49" s="107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 spans="1:32" ht="15.75" customHeight="1" x14ac:dyDescent="0.25">
      <c r="A50" s="5"/>
      <c r="B50" s="5"/>
      <c r="C50" s="107"/>
      <c r="D50" s="107"/>
      <c r="E50" s="107"/>
      <c r="F50" s="107"/>
      <c r="G50" s="107"/>
      <c r="H50" s="107"/>
      <c r="I50" s="107"/>
      <c r="J50" s="107"/>
      <c r="K50" s="107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 spans="1:32" ht="15.75" customHeight="1" x14ac:dyDescent="0.25">
      <c r="A51" s="5"/>
      <c r="B51" s="5"/>
      <c r="C51" s="107"/>
      <c r="D51" s="107"/>
      <c r="E51" s="107"/>
      <c r="F51" s="107"/>
      <c r="G51" s="107"/>
      <c r="H51" s="107"/>
      <c r="I51" s="107"/>
      <c r="J51" s="107"/>
      <c r="K51" s="107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 spans="1:32" ht="15.75" customHeight="1" x14ac:dyDescent="0.25">
      <c r="A52" s="5"/>
      <c r="B52" s="5"/>
      <c r="C52" s="107"/>
      <c r="D52" s="107"/>
      <c r="E52" s="107"/>
      <c r="F52" s="107"/>
      <c r="G52" s="107"/>
      <c r="H52" s="107"/>
      <c r="I52" s="107"/>
      <c r="J52" s="107"/>
      <c r="K52" s="107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 spans="1:32" ht="15.75" customHeight="1" x14ac:dyDescent="0.25">
      <c r="A53" s="5"/>
      <c r="B53" s="5"/>
      <c r="C53" s="107"/>
      <c r="D53" s="107"/>
      <c r="E53" s="107"/>
      <c r="F53" s="107"/>
      <c r="G53" s="107"/>
      <c r="H53" s="107"/>
      <c r="I53" s="107"/>
      <c r="J53" s="107"/>
      <c r="K53" s="107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 spans="1:32" ht="15.75" customHeight="1" x14ac:dyDescent="0.25">
      <c r="A54" s="5"/>
      <c r="B54" s="5"/>
      <c r="C54" s="107"/>
      <c r="D54" s="107"/>
      <c r="E54" s="107"/>
      <c r="F54" s="107"/>
      <c r="G54" s="107"/>
      <c r="H54" s="107"/>
      <c r="I54" s="107"/>
      <c r="J54" s="107"/>
      <c r="K54" s="107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 spans="1:32" ht="15.75" customHeight="1" x14ac:dyDescent="0.25">
      <c r="A55" s="5"/>
      <c r="B55" s="5"/>
      <c r="C55" s="107"/>
      <c r="D55" s="107"/>
      <c r="E55" s="107"/>
      <c r="F55" s="107"/>
      <c r="G55" s="107"/>
      <c r="H55" s="107"/>
      <c r="I55" s="107"/>
      <c r="J55" s="107"/>
      <c r="K55" s="107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spans="1:32" ht="15.75" customHeight="1" x14ac:dyDescent="0.25">
      <c r="A56" s="5"/>
      <c r="B56" s="5"/>
      <c r="C56" s="107"/>
      <c r="D56" s="107"/>
      <c r="E56" s="107"/>
      <c r="F56" s="107"/>
      <c r="G56" s="107"/>
      <c r="H56" s="107"/>
      <c r="I56" s="107"/>
      <c r="J56" s="107"/>
      <c r="K56" s="107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 spans="1:32" ht="15.75" customHeight="1" x14ac:dyDescent="0.25">
      <c r="A57" s="5"/>
      <c r="B57" s="5"/>
      <c r="C57" s="107"/>
      <c r="D57" s="107"/>
      <c r="E57" s="107"/>
      <c r="F57" s="107"/>
      <c r="G57" s="107"/>
      <c r="H57" s="107"/>
      <c r="I57" s="107"/>
      <c r="J57" s="107"/>
      <c r="K57" s="107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 spans="1:32" ht="15.75" customHeight="1" x14ac:dyDescent="0.25">
      <c r="A58" s="5"/>
      <c r="B58" s="5"/>
      <c r="C58" s="107"/>
      <c r="D58" s="107"/>
      <c r="E58" s="107"/>
      <c r="F58" s="107"/>
      <c r="G58" s="107"/>
      <c r="H58" s="107"/>
      <c r="I58" s="107"/>
      <c r="J58" s="107"/>
      <c r="K58" s="107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 spans="1:32" ht="15.75" customHeight="1" x14ac:dyDescent="0.25">
      <c r="A59" s="5"/>
      <c r="B59" s="5"/>
      <c r="C59" s="107"/>
      <c r="D59" s="107"/>
      <c r="E59" s="107"/>
      <c r="F59" s="107"/>
      <c r="G59" s="107"/>
      <c r="H59" s="107"/>
      <c r="I59" s="107"/>
      <c r="J59" s="107"/>
      <c r="K59" s="107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 spans="1:32" ht="15.75" customHeight="1" x14ac:dyDescent="0.25">
      <c r="A60" s="5"/>
      <c r="B60" s="5"/>
      <c r="C60" s="107"/>
      <c r="D60" s="107"/>
      <c r="E60" s="107"/>
      <c r="F60" s="107"/>
      <c r="G60" s="107"/>
      <c r="H60" s="107"/>
      <c r="I60" s="107"/>
      <c r="J60" s="107"/>
      <c r="K60" s="107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 spans="1:32" ht="15.75" customHeight="1" x14ac:dyDescent="0.25">
      <c r="A61" s="5"/>
      <c r="B61" s="5"/>
      <c r="C61" s="107"/>
      <c r="D61" s="107"/>
      <c r="E61" s="107"/>
      <c r="F61" s="107"/>
      <c r="G61" s="107"/>
      <c r="H61" s="107"/>
      <c r="I61" s="107"/>
      <c r="J61" s="107"/>
      <c r="K61" s="107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 spans="1:32" ht="15.75" customHeight="1" x14ac:dyDescent="0.25">
      <c r="A62" s="5"/>
      <c r="B62" s="5"/>
      <c r="C62" s="107"/>
      <c r="D62" s="107"/>
      <c r="E62" s="107"/>
      <c r="F62" s="107"/>
      <c r="G62" s="107"/>
      <c r="H62" s="107"/>
      <c r="I62" s="107"/>
      <c r="J62" s="107"/>
      <c r="K62" s="107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 spans="1:32" ht="15.75" customHeight="1" x14ac:dyDescent="0.25">
      <c r="A63" s="5"/>
      <c r="B63" s="5"/>
      <c r="C63" s="107"/>
      <c r="D63" s="107"/>
      <c r="E63" s="107"/>
      <c r="F63" s="107"/>
      <c r="G63" s="107"/>
      <c r="H63" s="107"/>
      <c r="I63" s="107"/>
      <c r="J63" s="107"/>
      <c r="K63" s="107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 spans="1:32" ht="15.75" customHeight="1" x14ac:dyDescent="0.25">
      <c r="A64" s="5"/>
      <c r="B64" s="5"/>
      <c r="C64" s="107"/>
      <c r="D64" s="107"/>
      <c r="E64" s="107"/>
      <c r="F64" s="107"/>
      <c r="G64" s="107"/>
      <c r="H64" s="107"/>
      <c r="I64" s="107"/>
      <c r="J64" s="107"/>
      <c r="K64" s="107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 spans="1:32" ht="15.75" customHeight="1" x14ac:dyDescent="0.25">
      <c r="A65" s="5"/>
      <c r="B65" s="5"/>
      <c r="C65" s="107"/>
      <c r="D65" s="107"/>
      <c r="E65" s="107"/>
      <c r="F65" s="107"/>
      <c r="G65" s="107"/>
      <c r="H65" s="107"/>
      <c r="I65" s="107"/>
      <c r="J65" s="107"/>
      <c r="K65" s="107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 spans="1:32" ht="15.75" customHeight="1" x14ac:dyDescent="0.25">
      <c r="A66" s="5"/>
      <c r="B66" s="5"/>
      <c r="C66" s="107"/>
      <c r="D66" s="107"/>
      <c r="E66" s="107"/>
      <c r="F66" s="107"/>
      <c r="G66" s="107"/>
      <c r="H66" s="107"/>
      <c r="I66" s="107"/>
      <c r="J66" s="107"/>
      <c r="K66" s="107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spans="1:32" ht="15.75" customHeight="1" x14ac:dyDescent="0.25">
      <c r="A67" s="5"/>
      <c r="B67" s="5"/>
      <c r="C67" s="107"/>
      <c r="D67" s="107"/>
      <c r="E67" s="107"/>
      <c r="F67" s="107"/>
      <c r="G67" s="107"/>
      <c r="H67" s="107"/>
      <c r="I67" s="107"/>
      <c r="J67" s="107"/>
      <c r="K67" s="107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 spans="1:32" ht="15.75" customHeight="1" x14ac:dyDescent="0.25">
      <c r="A68" s="5"/>
      <c r="B68" s="5"/>
      <c r="C68" s="107"/>
      <c r="D68" s="107"/>
      <c r="E68" s="107"/>
      <c r="F68" s="107"/>
      <c r="G68" s="107"/>
      <c r="H68" s="107"/>
      <c r="I68" s="107"/>
      <c r="J68" s="107"/>
      <c r="K68" s="10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 spans="1:32" ht="15.75" customHeight="1" x14ac:dyDescent="0.25">
      <c r="A69" s="5"/>
      <c r="B69" s="5"/>
      <c r="C69" s="107"/>
      <c r="D69" s="107"/>
      <c r="E69" s="107"/>
      <c r="F69" s="107"/>
      <c r="G69" s="107"/>
      <c r="H69" s="107"/>
      <c r="I69" s="107"/>
      <c r="J69" s="107"/>
      <c r="K69" s="10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 spans="1:32" ht="15.75" customHeight="1" x14ac:dyDescent="0.25">
      <c r="A70" s="5"/>
      <c r="B70" s="5"/>
      <c r="C70" s="107"/>
      <c r="D70" s="107"/>
      <c r="E70" s="107"/>
      <c r="F70" s="107"/>
      <c r="G70" s="107"/>
      <c r="H70" s="107"/>
      <c r="I70" s="107"/>
      <c r="J70" s="107"/>
      <c r="K70" s="10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 spans="1:32" ht="15.75" customHeight="1" x14ac:dyDescent="0.25">
      <c r="A71" s="5"/>
      <c r="B71" s="5"/>
      <c r="C71" s="107"/>
      <c r="D71" s="107"/>
      <c r="E71" s="107"/>
      <c r="F71" s="107"/>
      <c r="G71" s="107"/>
      <c r="H71" s="107"/>
      <c r="I71" s="107"/>
      <c r="J71" s="107"/>
      <c r="K71" s="10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 spans="1:32" ht="15.75" customHeight="1" x14ac:dyDescent="0.25">
      <c r="A72" s="5"/>
      <c r="B72" s="5"/>
      <c r="C72" s="107"/>
      <c r="D72" s="107"/>
      <c r="E72" s="107"/>
      <c r="F72" s="107"/>
      <c r="G72" s="107"/>
      <c r="H72" s="107"/>
      <c r="I72" s="107"/>
      <c r="J72" s="107"/>
      <c r="K72" s="10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 spans="1:32" ht="15.75" customHeight="1" x14ac:dyDescent="0.25">
      <c r="A73" s="5"/>
      <c r="B73" s="5"/>
      <c r="C73" s="107"/>
      <c r="D73" s="107"/>
      <c r="E73" s="107"/>
      <c r="F73" s="107"/>
      <c r="G73" s="107"/>
      <c r="H73" s="107"/>
      <c r="I73" s="107"/>
      <c r="J73" s="107"/>
      <c r="K73" s="107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 spans="1:32" ht="15.75" customHeight="1" x14ac:dyDescent="0.25">
      <c r="A74" s="5"/>
      <c r="B74" s="5"/>
      <c r="C74" s="107"/>
      <c r="D74" s="107"/>
      <c r="E74" s="107"/>
      <c r="F74" s="107"/>
      <c r="G74" s="107"/>
      <c r="H74" s="107"/>
      <c r="I74" s="107"/>
      <c r="J74" s="107"/>
      <c r="K74" s="10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 spans="1:32" ht="15.75" customHeight="1" x14ac:dyDescent="0.25">
      <c r="A75" s="5"/>
      <c r="B75" s="5"/>
      <c r="C75" s="107"/>
      <c r="D75" s="107"/>
      <c r="E75" s="107"/>
      <c r="F75" s="107"/>
      <c r="G75" s="107"/>
      <c r="H75" s="107"/>
      <c r="I75" s="107"/>
      <c r="J75" s="107"/>
      <c r="K75" s="107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 spans="1:32" ht="15.75" customHeight="1" x14ac:dyDescent="0.25">
      <c r="A76" s="5"/>
      <c r="B76" s="5"/>
      <c r="C76" s="107"/>
      <c r="D76" s="107"/>
      <c r="E76" s="107"/>
      <c r="F76" s="107"/>
      <c r="G76" s="107"/>
      <c r="H76" s="107"/>
      <c r="I76" s="107"/>
      <c r="J76" s="107"/>
      <c r="K76" s="107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 spans="1:32" ht="15.75" customHeight="1" x14ac:dyDescent="0.25">
      <c r="A77" s="5"/>
      <c r="B77" s="5"/>
      <c r="C77" s="107"/>
      <c r="D77" s="107"/>
      <c r="E77" s="107"/>
      <c r="F77" s="107"/>
      <c r="G77" s="107"/>
      <c r="H77" s="107"/>
      <c r="I77" s="107"/>
      <c r="J77" s="107"/>
      <c r="K77" s="107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 spans="1:32" ht="15.75" customHeight="1" x14ac:dyDescent="0.25">
      <c r="A78" s="5"/>
      <c r="B78" s="5"/>
      <c r="C78" s="107"/>
      <c r="D78" s="107"/>
      <c r="E78" s="107"/>
      <c r="F78" s="107"/>
      <c r="G78" s="107"/>
      <c r="H78" s="107"/>
      <c r="I78" s="107"/>
      <c r="J78" s="107"/>
      <c r="K78" s="107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 spans="1:32" ht="15.75" customHeight="1" x14ac:dyDescent="0.25">
      <c r="A79" s="5"/>
      <c r="B79" s="5"/>
      <c r="C79" s="107"/>
      <c r="D79" s="107"/>
      <c r="E79" s="107"/>
      <c r="F79" s="107"/>
      <c r="G79" s="107"/>
      <c r="H79" s="107"/>
      <c r="I79" s="107"/>
      <c r="J79" s="107"/>
      <c r="K79" s="107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 spans="1:32" ht="15.75" customHeight="1" x14ac:dyDescent="0.25">
      <c r="A80" s="5"/>
      <c r="B80" s="5"/>
      <c r="C80" s="107"/>
      <c r="D80" s="107"/>
      <c r="E80" s="107"/>
      <c r="F80" s="107"/>
      <c r="G80" s="107"/>
      <c r="H80" s="107"/>
      <c r="I80" s="107"/>
      <c r="J80" s="107"/>
      <c r="K80" s="107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 spans="1:32" ht="15.75" customHeight="1" x14ac:dyDescent="0.25">
      <c r="A81" s="5"/>
      <c r="B81" s="5"/>
      <c r="C81" s="107"/>
      <c r="D81" s="107"/>
      <c r="E81" s="107"/>
      <c r="F81" s="107"/>
      <c r="G81" s="107"/>
      <c r="H81" s="107"/>
      <c r="I81" s="107"/>
      <c r="J81" s="107"/>
      <c r="K81" s="107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 spans="1:32" ht="15.75" customHeight="1" x14ac:dyDescent="0.25">
      <c r="A82" s="5"/>
      <c r="B82" s="5"/>
      <c r="C82" s="107"/>
      <c r="D82" s="107"/>
      <c r="E82" s="107"/>
      <c r="F82" s="107"/>
      <c r="G82" s="107"/>
      <c r="H82" s="107"/>
      <c r="I82" s="107"/>
      <c r="J82" s="107"/>
      <c r="K82" s="107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 spans="1:32" ht="15.75" customHeight="1" x14ac:dyDescent="0.25">
      <c r="A83" s="5"/>
      <c r="B83" s="5"/>
      <c r="C83" s="107"/>
      <c r="D83" s="107"/>
      <c r="E83" s="107"/>
      <c r="F83" s="107"/>
      <c r="G83" s="107"/>
      <c r="H83" s="107"/>
      <c r="I83" s="107"/>
      <c r="J83" s="107"/>
      <c r="K83" s="107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 spans="1:32" ht="15.75" customHeight="1" x14ac:dyDescent="0.25">
      <c r="A84" s="5"/>
      <c r="B84" s="5"/>
      <c r="C84" s="107"/>
      <c r="D84" s="107"/>
      <c r="E84" s="107"/>
      <c r="F84" s="107"/>
      <c r="G84" s="107"/>
      <c r="H84" s="107"/>
      <c r="I84" s="107"/>
      <c r="J84" s="107"/>
      <c r="K84" s="107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 spans="1:32" ht="15.75" customHeight="1" x14ac:dyDescent="0.25">
      <c r="A85" s="5"/>
      <c r="B85" s="5"/>
      <c r="C85" s="107"/>
      <c r="D85" s="107"/>
      <c r="E85" s="107"/>
      <c r="F85" s="107"/>
      <c r="G85" s="107"/>
      <c r="H85" s="107"/>
      <c r="I85" s="107"/>
      <c r="J85" s="107"/>
      <c r="K85" s="107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 spans="1:32" ht="15.75" customHeight="1" x14ac:dyDescent="0.25">
      <c r="A86" s="5"/>
      <c r="B86" s="5"/>
      <c r="C86" s="107"/>
      <c r="D86" s="107"/>
      <c r="E86" s="107"/>
      <c r="F86" s="107"/>
      <c r="G86" s="107"/>
      <c r="H86" s="107"/>
      <c r="I86" s="107"/>
      <c r="J86" s="107"/>
      <c r="K86" s="107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 spans="1:32" ht="15.75" customHeight="1" x14ac:dyDescent="0.25">
      <c r="A87" s="5"/>
      <c r="B87" s="5"/>
      <c r="C87" s="107"/>
      <c r="D87" s="107"/>
      <c r="E87" s="107"/>
      <c r="F87" s="107"/>
      <c r="G87" s="107"/>
      <c r="H87" s="107"/>
      <c r="I87" s="107"/>
      <c r="J87" s="107"/>
      <c r="K87" s="107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 spans="1:32" ht="15.75" customHeight="1" x14ac:dyDescent="0.25">
      <c r="A88" s="5"/>
      <c r="B88" s="5"/>
      <c r="C88" s="107"/>
      <c r="D88" s="107"/>
      <c r="E88" s="107"/>
      <c r="F88" s="107"/>
      <c r="G88" s="107"/>
      <c r="H88" s="107"/>
      <c r="I88" s="107"/>
      <c r="J88" s="107"/>
      <c r="K88" s="107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 spans="1:32" ht="15.75" customHeight="1" x14ac:dyDescent="0.25">
      <c r="A89" s="5"/>
      <c r="B89" s="5"/>
      <c r="C89" s="107"/>
      <c r="D89" s="107"/>
      <c r="E89" s="107"/>
      <c r="F89" s="107"/>
      <c r="G89" s="107"/>
      <c r="H89" s="107"/>
      <c r="I89" s="107"/>
      <c r="J89" s="107"/>
      <c r="K89" s="107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 spans="1:32" ht="15.75" customHeight="1" x14ac:dyDescent="0.25">
      <c r="A90" s="5"/>
      <c r="B90" s="5"/>
      <c r="C90" s="107"/>
      <c r="D90" s="107"/>
      <c r="E90" s="107"/>
      <c r="F90" s="107"/>
      <c r="G90" s="107"/>
      <c r="H90" s="107"/>
      <c r="I90" s="107"/>
      <c r="J90" s="107"/>
      <c r="K90" s="107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 spans="1:32" ht="15.75" customHeight="1" x14ac:dyDescent="0.25">
      <c r="A91" s="5"/>
      <c r="B91" s="5"/>
      <c r="C91" s="107"/>
      <c r="D91" s="107"/>
      <c r="E91" s="107"/>
      <c r="F91" s="107"/>
      <c r="G91" s="107"/>
      <c r="H91" s="107"/>
      <c r="I91" s="107"/>
      <c r="J91" s="107"/>
      <c r="K91" s="107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 spans="1:32" ht="15.75" customHeight="1" x14ac:dyDescent="0.25">
      <c r="A92" s="5"/>
      <c r="B92" s="5"/>
      <c r="C92" s="107"/>
      <c r="D92" s="107"/>
      <c r="E92" s="107"/>
      <c r="F92" s="107"/>
      <c r="G92" s="107"/>
      <c r="H92" s="107"/>
      <c r="I92" s="107"/>
      <c r="J92" s="107"/>
      <c r="K92" s="107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 spans="1:32" ht="15.75" customHeight="1" x14ac:dyDescent="0.25">
      <c r="A93" s="5"/>
      <c r="B93" s="5"/>
      <c r="C93" s="107"/>
      <c r="D93" s="107"/>
      <c r="E93" s="107"/>
      <c r="F93" s="107"/>
      <c r="G93" s="107"/>
      <c r="H93" s="107"/>
      <c r="I93" s="107"/>
      <c r="J93" s="107"/>
      <c r="K93" s="107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 spans="1:32" ht="15.75" customHeight="1" x14ac:dyDescent="0.25">
      <c r="A94" s="5"/>
      <c r="B94" s="5"/>
      <c r="C94" s="107"/>
      <c r="D94" s="107"/>
      <c r="E94" s="107"/>
      <c r="F94" s="107"/>
      <c r="G94" s="107"/>
      <c r="H94" s="107"/>
      <c r="I94" s="107"/>
      <c r="J94" s="107"/>
      <c r="K94" s="107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 spans="1:32" ht="15.75" customHeight="1" x14ac:dyDescent="0.25">
      <c r="A95" s="5"/>
      <c r="B95" s="5"/>
      <c r="C95" s="107"/>
      <c r="D95" s="107"/>
      <c r="E95" s="107"/>
      <c r="F95" s="107"/>
      <c r="G95" s="107"/>
      <c r="H95" s="107"/>
      <c r="I95" s="107"/>
      <c r="J95" s="107"/>
      <c r="K95" s="107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 spans="1:32" ht="15.75" customHeight="1" x14ac:dyDescent="0.25">
      <c r="A96" s="5"/>
      <c r="B96" s="5"/>
      <c r="C96" s="107"/>
      <c r="D96" s="107"/>
      <c r="E96" s="107"/>
      <c r="F96" s="107"/>
      <c r="G96" s="107"/>
      <c r="H96" s="107"/>
      <c r="I96" s="107"/>
      <c r="J96" s="107"/>
      <c r="K96" s="107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 spans="1:32" ht="15.75" customHeight="1" x14ac:dyDescent="0.25">
      <c r="A97" s="5"/>
      <c r="B97" s="5"/>
      <c r="C97" s="107"/>
      <c r="D97" s="107"/>
      <c r="E97" s="107"/>
      <c r="F97" s="107"/>
      <c r="G97" s="107"/>
      <c r="H97" s="107"/>
      <c r="I97" s="107"/>
      <c r="J97" s="107"/>
      <c r="K97" s="107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 spans="1:32" ht="15.75" customHeight="1" x14ac:dyDescent="0.25">
      <c r="A98" s="5"/>
      <c r="B98" s="5"/>
      <c r="C98" s="107"/>
      <c r="D98" s="107"/>
      <c r="E98" s="107"/>
      <c r="F98" s="107"/>
      <c r="G98" s="107"/>
      <c r="H98" s="107"/>
      <c r="I98" s="107"/>
      <c r="J98" s="107"/>
      <c r="K98" s="107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 spans="1:32" ht="15.75" customHeight="1" x14ac:dyDescent="0.25">
      <c r="A99" s="5"/>
      <c r="B99" s="5"/>
      <c r="C99" s="107"/>
      <c r="D99" s="107"/>
      <c r="E99" s="107"/>
      <c r="F99" s="107"/>
      <c r="G99" s="107"/>
      <c r="H99" s="107"/>
      <c r="I99" s="107"/>
      <c r="J99" s="107"/>
      <c r="K99" s="107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 spans="1:32" ht="15.75" customHeight="1" x14ac:dyDescent="0.25">
      <c r="A100" s="5"/>
      <c r="B100" s="5"/>
      <c r="C100" s="107"/>
      <c r="D100" s="107"/>
      <c r="E100" s="107"/>
      <c r="F100" s="107"/>
      <c r="G100" s="107"/>
      <c r="H100" s="107"/>
      <c r="I100" s="107"/>
      <c r="J100" s="107"/>
      <c r="K100" s="107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 spans="1:32" ht="15.75" customHeight="1" x14ac:dyDescent="0.25">
      <c r="A101" s="5"/>
      <c r="B101" s="5"/>
      <c r="C101" s="107"/>
      <c r="D101" s="107"/>
      <c r="E101" s="107"/>
      <c r="F101" s="107"/>
      <c r="G101" s="107"/>
      <c r="H101" s="107"/>
      <c r="I101" s="107"/>
      <c r="J101" s="107"/>
      <c r="K101" s="107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 spans="1:32" ht="15.75" customHeight="1" x14ac:dyDescent="0.25">
      <c r="A102" s="5"/>
      <c r="B102" s="5"/>
      <c r="C102" s="107"/>
      <c r="D102" s="107"/>
      <c r="E102" s="107"/>
      <c r="F102" s="107"/>
      <c r="G102" s="107"/>
      <c r="H102" s="107"/>
      <c r="I102" s="107"/>
      <c r="J102" s="107"/>
      <c r="K102" s="107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 spans="1:32" ht="15.75" customHeight="1" x14ac:dyDescent="0.25">
      <c r="A103" s="5"/>
      <c r="B103" s="5"/>
      <c r="C103" s="107"/>
      <c r="D103" s="107"/>
      <c r="E103" s="107"/>
      <c r="F103" s="107"/>
      <c r="G103" s="107"/>
      <c r="H103" s="107"/>
      <c r="I103" s="107"/>
      <c r="J103" s="107"/>
      <c r="K103" s="107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 spans="1:32" ht="15.75" customHeight="1" x14ac:dyDescent="0.25">
      <c r="A104" s="5"/>
      <c r="B104" s="5"/>
      <c r="C104" s="107"/>
      <c r="D104" s="107"/>
      <c r="E104" s="107"/>
      <c r="F104" s="107"/>
      <c r="G104" s="107"/>
      <c r="H104" s="107"/>
      <c r="I104" s="107"/>
      <c r="J104" s="107"/>
      <c r="K104" s="107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 spans="1:32" ht="15.75" customHeight="1" x14ac:dyDescent="0.25">
      <c r="A105" s="5"/>
      <c r="B105" s="5"/>
      <c r="C105" s="107"/>
      <c r="D105" s="107"/>
      <c r="E105" s="107"/>
      <c r="F105" s="107"/>
      <c r="G105" s="107"/>
      <c r="H105" s="107"/>
      <c r="I105" s="107"/>
      <c r="J105" s="107"/>
      <c r="K105" s="107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 spans="1:32" ht="15.75" customHeight="1" x14ac:dyDescent="0.25">
      <c r="A106" s="5"/>
      <c r="B106" s="5"/>
      <c r="C106" s="107"/>
      <c r="D106" s="107"/>
      <c r="E106" s="107"/>
      <c r="F106" s="107"/>
      <c r="G106" s="107"/>
      <c r="H106" s="107"/>
      <c r="I106" s="107"/>
      <c r="J106" s="107"/>
      <c r="K106" s="107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 spans="1:32" ht="15.75" customHeight="1" x14ac:dyDescent="0.25">
      <c r="A107" s="5"/>
      <c r="B107" s="5"/>
      <c r="C107" s="107"/>
      <c r="D107" s="107"/>
      <c r="E107" s="107"/>
      <c r="F107" s="107"/>
      <c r="G107" s="107"/>
      <c r="H107" s="107"/>
      <c r="I107" s="107"/>
      <c r="J107" s="107"/>
      <c r="K107" s="107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 spans="1:32" ht="15.75" customHeight="1" x14ac:dyDescent="0.25">
      <c r="A108" s="5"/>
      <c r="B108" s="5"/>
      <c r="C108" s="107"/>
      <c r="D108" s="107"/>
      <c r="E108" s="107"/>
      <c r="F108" s="107"/>
      <c r="G108" s="107"/>
      <c r="H108" s="107"/>
      <c r="I108" s="107"/>
      <c r="J108" s="107"/>
      <c r="K108" s="107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 spans="1:32" ht="15.75" customHeight="1" x14ac:dyDescent="0.25">
      <c r="A109" s="5"/>
      <c r="B109" s="5"/>
      <c r="C109" s="107"/>
      <c r="D109" s="107"/>
      <c r="E109" s="107"/>
      <c r="F109" s="107"/>
      <c r="G109" s="107"/>
      <c r="H109" s="107"/>
      <c r="I109" s="107"/>
      <c r="J109" s="107"/>
      <c r="K109" s="107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 spans="1:32" ht="15.75" customHeight="1" x14ac:dyDescent="0.25">
      <c r="A110" s="5"/>
      <c r="B110" s="5"/>
      <c r="C110" s="107"/>
      <c r="D110" s="107"/>
      <c r="E110" s="107"/>
      <c r="F110" s="107"/>
      <c r="G110" s="107"/>
      <c r="H110" s="107"/>
      <c r="I110" s="107"/>
      <c r="J110" s="107"/>
      <c r="K110" s="107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 spans="1:32" ht="15.75" customHeight="1" x14ac:dyDescent="0.25">
      <c r="A111" s="5"/>
      <c r="B111" s="5"/>
      <c r="C111" s="107"/>
      <c r="D111" s="107"/>
      <c r="E111" s="107"/>
      <c r="F111" s="107"/>
      <c r="G111" s="107"/>
      <c r="H111" s="107"/>
      <c r="I111" s="107"/>
      <c r="J111" s="107"/>
      <c r="K111" s="107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 spans="1:32" ht="15.75" customHeight="1" x14ac:dyDescent="0.25">
      <c r="A112" s="5"/>
      <c r="B112" s="5"/>
      <c r="C112" s="107"/>
      <c r="D112" s="107"/>
      <c r="E112" s="107"/>
      <c r="F112" s="107"/>
      <c r="G112" s="107"/>
      <c r="H112" s="107"/>
      <c r="I112" s="107"/>
      <c r="J112" s="107"/>
      <c r="K112" s="107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 spans="1:32" ht="15.75" customHeight="1" x14ac:dyDescent="0.25">
      <c r="A113" s="5"/>
      <c r="B113" s="5"/>
      <c r="C113" s="107"/>
      <c r="D113" s="107"/>
      <c r="E113" s="107"/>
      <c r="F113" s="107"/>
      <c r="G113" s="107"/>
      <c r="H113" s="107"/>
      <c r="I113" s="107"/>
      <c r="J113" s="107"/>
      <c r="K113" s="107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 spans="1:32" ht="15.75" customHeight="1" x14ac:dyDescent="0.25">
      <c r="A114" s="5"/>
      <c r="B114" s="5"/>
      <c r="C114" s="107"/>
      <c r="D114" s="107"/>
      <c r="E114" s="107"/>
      <c r="F114" s="107"/>
      <c r="G114" s="107"/>
      <c r="H114" s="107"/>
      <c r="I114" s="107"/>
      <c r="J114" s="107"/>
      <c r="K114" s="107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 spans="1:32" ht="15.75" customHeight="1" x14ac:dyDescent="0.25">
      <c r="A115" s="5"/>
      <c r="B115" s="5"/>
      <c r="C115" s="107"/>
      <c r="D115" s="107"/>
      <c r="E115" s="107"/>
      <c r="F115" s="107"/>
      <c r="G115" s="107"/>
      <c r="H115" s="107"/>
      <c r="I115" s="107"/>
      <c r="J115" s="107"/>
      <c r="K115" s="107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 spans="1:32" ht="15.75" customHeight="1" x14ac:dyDescent="0.25">
      <c r="A116" s="5"/>
      <c r="B116" s="5"/>
      <c r="C116" s="107"/>
      <c r="D116" s="107"/>
      <c r="E116" s="107"/>
      <c r="F116" s="107"/>
      <c r="G116" s="107"/>
      <c r="H116" s="107"/>
      <c r="I116" s="107"/>
      <c r="J116" s="107"/>
      <c r="K116" s="107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 spans="1:32" ht="15.75" customHeight="1" x14ac:dyDescent="0.25">
      <c r="A117" s="5"/>
      <c r="B117" s="5"/>
      <c r="C117" s="107"/>
      <c r="D117" s="107"/>
      <c r="E117" s="107"/>
      <c r="F117" s="107"/>
      <c r="G117" s="107"/>
      <c r="H117" s="107"/>
      <c r="I117" s="107"/>
      <c r="J117" s="107"/>
      <c r="K117" s="107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 spans="1:32" ht="15.75" customHeight="1" x14ac:dyDescent="0.25">
      <c r="A118" s="5"/>
      <c r="B118" s="5"/>
      <c r="C118" s="107"/>
      <c r="D118" s="107"/>
      <c r="E118" s="107"/>
      <c r="F118" s="107"/>
      <c r="G118" s="107"/>
      <c r="H118" s="107"/>
      <c r="I118" s="107"/>
      <c r="J118" s="107"/>
      <c r="K118" s="107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 spans="1:32" ht="15.75" customHeight="1" x14ac:dyDescent="0.25">
      <c r="A119" s="5"/>
      <c r="B119" s="5"/>
      <c r="C119" s="107"/>
      <c r="D119" s="107"/>
      <c r="E119" s="107"/>
      <c r="F119" s="107"/>
      <c r="G119" s="107"/>
      <c r="H119" s="107"/>
      <c r="I119" s="107"/>
      <c r="J119" s="107"/>
      <c r="K119" s="107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 spans="1:32" ht="15.75" customHeight="1" x14ac:dyDescent="0.25">
      <c r="A120" s="5"/>
      <c r="B120" s="5"/>
      <c r="C120" s="107"/>
      <c r="D120" s="107"/>
      <c r="E120" s="107"/>
      <c r="F120" s="107"/>
      <c r="G120" s="107"/>
      <c r="H120" s="107"/>
      <c r="I120" s="107"/>
      <c r="J120" s="107"/>
      <c r="K120" s="107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 spans="1:32" ht="15.75" customHeight="1" x14ac:dyDescent="0.25">
      <c r="A121" s="5"/>
      <c r="B121" s="5"/>
      <c r="C121" s="107"/>
      <c r="D121" s="107"/>
      <c r="E121" s="107"/>
      <c r="F121" s="107"/>
      <c r="G121" s="107"/>
      <c r="H121" s="107"/>
      <c r="I121" s="107"/>
      <c r="J121" s="107"/>
      <c r="K121" s="107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 spans="1:32" ht="15.75" customHeight="1" x14ac:dyDescent="0.25">
      <c r="A122" s="5"/>
      <c r="B122" s="5"/>
      <c r="C122" s="107"/>
      <c r="D122" s="107"/>
      <c r="E122" s="107"/>
      <c r="F122" s="107"/>
      <c r="G122" s="107"/>
      <c r="H122" s="107"/>
      <c r="I122" s="107"/>
      <c r="J122" s="107"/>
      <c r="K122" s="107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 spans="1:32" ht="15.75" customHeight="1" x14ac:dyDescent="0.25">
      <c r="A123" s="5"/>
      <c r="B123" s="5"/>
      <c r="C123" s="107"/>
      <c r="D123" s="107"/>
      <c r="E123" s="107"/>
      <c r="F123" s="107"/>
      <c r="G123" s="107"/>
      <c r="H123" s="107"/>
      <c r="I123" s="107"/>
      <c r="J123" s="107"/>
      <c r="K123" s="107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 spans="1:32" ht="15.75" customHeight="1" x14ac:dyDescent="0.25">
      <c r="A124" s="5"/>
      <c r="B124" s="5"/>
      <c r="C124" s="107"/>
      <c r="D124" s="107"/>
      <c r="E124" s="107"/>
      <c r="F124" s="107"/>
      <c r="G124" s="107"/>
      <c r="H124" s="107"/>
      <c r="I124" s="107"/>
      <c r="J124" s="107"/>
      <c r="K124" s="107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 spans="1:32" ht="15.75" customHeight="1" x14ac:dyDescent="0.25">
      <c r="A125" s="5"/>
      <c r="B125" s="5"/>
      <c r="C125" s="107"/>
      <c r="D125" s="107"/>
      <c r="E125" s="107"/>
      <c r="F125" s="107"/>
      <c r="G125" s="107"/>
      <c r="H125" s="107"/>
      <c r="I125" s="107"/>
      <c r="J125" s="107"/>
      <c r="K125" s="107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 spans="1:32" ht="15.75" customHeight="1" x14ac:dyDescent="0.25">
      <c r="A126" s="5"/>
      <c r="B126" s="5"/>
      <c r="C126" s="107"/>
      <c r="D126" s="107"/>
      <c r="E126" s="107"/>
      <c r="F126" s="107"/>
      <c r="G126" s="107"/>
      <c r="H126" s="107"/>
      <c r="I126" s="107"/>
      <c r="J126" s="107"/>
      <c r="K126" s="107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 spans="1:32" ht="15.75" customHeight="1" x14ac:dyDescent="0.25">
      <c r="A127" s="5"/>
      <c r="B127" s="5"/>
      <c r="C127" s="107"/>
      <c r="D127" s="107"/>
      <c r="E127" s="107"/>
      <c r="F127" s="107"/>
      <c r="G127" s="107"/>
      <c r="H127" s="107"/>
      <c r="I127" s="107"/>
      <c r="J127" s="107"/>
      <c r="K127" s="107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 spans="1:32" ht="15.75" customHeight="1" x14ac:dyDescent="0.25">
      <c r="A128" s="5"/>
      <c r="B128" s="5"/>
      <c r="C128" s="107"/>
      <c r="D128" s="107"/>
      <c r="E128" s="107"/>
      <c r="F128" s="107"/>
      <c r="G128" s="107"/>
      <c r="H128" s="107"/>
      <c r="I128" s="107"/>
      <c r="J128" s="107"/>
      <c r="K128" s="107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 spans="1:32" ht="15.75" customHeight="1" x14ac:dyDescent="0.25">
      <c r="A129" s="5"/>
      <c r="B129" s="5"/>
      <c r="C129" s="107"/>
      <c r="D129" s="107"/>
      <c r="E129" s="107"/>
      <c r="F129" s="107"/>
      <c r="G129" s="107"/>
      <c r="H129" s="107"/>
      <c r="I129" s="107"/>
      <c r="J129" s="107"/>
      <c r="K129" s="107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 spans="1:32" ht="15.75" customHeight="1" x14ac:dyDescent="0.25">
      <c r="A130" s="5"/>
      <c r="B130" s="5"/>
      <c r="C130" s="107"/>
      <c r="D130" s="107"/>
      <c r="E130" s="107"/>
      <c r="F130" s="107"/>
      <c r="G130" s="107"/>
      <c r="H130" s="107"/>
      <c r="I130" s="107"/>
      <c r="J130" s="107"/>
      <c r="K130" s="107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 spans="1:32" ht="15.75" customHeight="1" x14ac:dyDescent="0.25">
      <c r="A131" s="5"/>
      <c r="B131" s="5"/>
      <c r="C131" s="107"/>
      <c r="D131" s="107"/>
      <c r="E131" s="107"/>
      <c r="F131" s="107"/>
      <c r="G131" s="107"/>
      <c r="H131" s="107"/>
      <c r="I131" s="107"/>
      <c r="J131" s="107"/>
      <c r="K131" s="107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 spans="1:32" ht="15.75" customHeight="1" x14ac:dyDescent="0.25">
      <c r="A132" s="5"/>
      <c r="B132" s="5"/>
      <c r="C132" s="107"/>
      <c r="D132" s="107"/>
      <c r="E132" s="107"/>
      <c r="F132" s="107"/>
      <c r="G132" s="107"/>
      <c r="H132" s="107"/>
      <c r="I132" s="107"/>
      <c r="J132" s="107"/>
      <c r="K132" s="107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 spans="1:32" ht="15.75" customHeight="1" x14ac:dyDescent="0.25">
      <c r="A133" s="5"/>
      <c r="B133" s="5"/>
      <c r="C133" s="107"/>
      <c r="D133" s="107"/>
      <c r="E133" s="107"/>
      <c r="F133" s="107"/>
      <c r="G133" s="107"/>
      <c r="H133" s="107"/>
      <c r="I133" s="107"/>
      <c r="J133" s="107"/>
      <c r="K133" s="107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 spans="1:32" ht="15.75" customHeight="1" x14ac:dyDescent="0.25">
      <c r="A134" s="5"/>
      <c r="B134" s="5"/>
      <c r="C134" s="107"/>
      <c r="D134" s="107"/>
      <c r="E134" s="107"/>
      <c r="F134" s="107"/>
      <c r="G134" s="107"/>
      <c r="H134" s="107"/>
      <c r="I134" s="107"/>
      <c r="J134" s="107"/>
      <c r="K134" s="107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 spans="1:32" ht="15.75" customHeight="1" x14ac:dyDescent="0.25">
      <c r="A135" s="5"/>
      <c r="B135" s="5"/>
      <c r="C135" s="107"/>
      <c r="D135" s="107"/>
      <c r="E135" s="107"/>
      <c r="F135" s="107"/>
      <c r="G135" s="107"/>
      <c r="H135" s="107"/>
      <c r="I135" s="107"/>
      <c r="J135" s="107"/>
      <c r="K135" s="107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 spans="1:32" ht="15.75" customHeight="1" x14ac:dyDescent="0.25">
      <c r="A136" s="5"/>
      <c r="B136" s="5"/>
      <c r="C136" s="107"/>
      <c r="D136" s="107"/>
      <c r="E136" s="107"/>
      <c r="F136" s="107"/>
      <c r="G136" s="107"/>
      <c r="H136" s="107"/>
      <c r="I136" s="107"/>
      <c r="J136" s="107"/>
      <c r="K136" s="107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 spans="1:32" ht="15.75" customHeight="1" x14ac:dyDescent="0.25">
      <c r="A137" s="5"/>
      <c r="B137" s="5"/>
      <c r="C137" s="107"/>
      <c r="D137" s="107"/>
      <c r="E137" s="107"/>
      <c r="F137" s="107"/>
      <c r="G137" s="107"/>
      <c r="H137" s="107"/>
      <c r="I137" s="107"/>
      <c r="J137" s="107"/>
      <c r="K137" s="107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 spans="1:32" ht="15.75" customHeight="1" x14ac:dyDescent="0.25">
      <c r="A138" s="5"/>
      <c r="B138" s="5"/>
      <c r="C138" s="107"/>
      <c r="D138" s="107"/>
      <c r="E138" s="107"/>
      <c r="F138" s="107"/>
      <c r="G138" s="107"/>
      <c r="H138" s="107"/>
      <c r="I138" s="107"/>
      <c r="J138" s="107"/>
      <c r="K138" s="107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 spans="1:32" ht="15.75" customHeight="1" x14ac:dyDescent="0.25">
      <c r="A139" s="5"/>
      <c r="B139" s="5"/>
      <c r="C139" s="107"/>
      <c r="D139" s="107"/>
      <c r="E139" s="107"/>
      <c r="F139" s="107"/>
      <c r="G139" s="107"/>
      <c r="H139" s="107"/>
      <c r="I139" s="107"/>
      <c r="J139" s="107"/>
      <c r="K139" s="107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 spans="1:32" ht="15.75" customHeight="1" x14ac:dyDescent="0.25">
      <c r="A140" s="5"/>
      <c r="B140" s="5"/>
      <c r="C140" s="107"/>
      <c r="D140" s="107"/>
      <c r="E140" s="107"/>
      <c r="F140" s="107"/>
      <c r="G140" s="107"/>
      <c r="H140" s="107"/>
      <c r="I140" s="107"/>
      <c r="J140" s="107"/>
      <c r="K140" s="107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 spans="1:32" ht="15.75" customHeight="1" x14ac:dyDescent="0.25">
      <c r="A141" s="5"/>
      <c r="B141" s="5"/>
      <c r="C141" s="107"/>
      <c r="D141" s="107"/>
      <c r="E141" s="107"/>
      <c r="F141" s="107"/>
      <c r="G141" s="107"/>
      <c r="H141" s="107"/>
      <c r="I141" s="107"/>
      <c r="J141" s="107"/>
      <c r="K141" s="107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 spans="1:32" ht="15.75" customHeight="1" x14ac:dyDescent="0.25">
      <c r="A142" s="5"/>
      <c r="B142" s="5"/>
      <c r="C142" s="107"/>
      <c r="D142" s="107"/>
      <c r="E142" s="107"/>
      <c r="F142" s="107"/>
      <c r="G142" s="107"/>
      <c r="H142" s="107"/>
      <c r="I142" s="107"/>
      <c r="J142" s="107"/>
      <c r="K142" s="107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 spans="1:32" ht="15.75" customHeight="1" x14ac:dyDescent="0.25">
      <c r="A143" s="5"/>
      <c r="B143" s="5"/>
      <c r="C143" s="107"/>
      <c r="D143" s="107"/>
      <c r="E143" s="107"/>
      <c r="F143" s="107"/>
      <c r="G143" s="107"/>
      <c r="H143" s="107"/>
      <c r="I143" s="107"/>
      <c r="J143" s="107"/>
      <c r="K143" s="107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 spans="1:32" ht="15.75" customHeight="1" x14ac:dyDescent="0.25">
      <c r="A144" s="5"/>
      <c r="B144" s="5"/>
      <c r="C144" s="107"/>
      <c r="D144" s="107"/>
      <c r="E144" s="107"/>
      <c r="F144" s="107"/>
      <c r="G144" s="107"/>
      <c r="H144" s="107"/>
      <c r="I144" s="107"/>
      <c r="J144" s="107"/>
      <c r="K144" s="107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 spans="1:32" ht="15.75" customHeight="1" x14ac:dyDescent="0.25">
      <c r="A145" s="5"/>
      <c r="B145" s="5"/>
      <c r="C145" s="107"/>
      <c r="D145" s="107"/>
      <c r="E145" s="107"/>
      <c r="F145" s="107"/>
      <c r="G145" s="107"/>
      <c r="H145" s="107"/>
      <c r="I145" s="107"/>
      <c r="J145" s="107"/>
      <c r="K145" s="107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 spans="1:32" ht="15.75" customHeight="1" x14ac:dyDescent="0.25">
      <c r="A146" s="5"/>
      <c r="B146" s="5"/>
      <c r="C146" s="107"/>
      <c r="D146" s="107"/>
      <c r="E146" s="107"/>
      <c r="F146" s="107"/>
      <c r="G146" s="107"/>
      <c r="H146" s="107"/>
      <c r="I146" s="107"/>
      <c r="J146" s="107"/>
      <c r="K146" s="107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 spans="1:32" ht="15.75" customHeight="1" x14ac:dyDescent="0.25">
      <c r="A147" s="5"/>
      <c r="B147" s="5"/>
      <c r="C147" s="107"/>
      <c r="D147" s="107"/>
      <c r="E147" s="107"/>
      <c r="F147" s="107"/>
      <c r="G147" s="107"/>
      <c r="H147" s="107"/>
      <c r="I147" s="107"/>
      <c r="J147" s="107"/>
      <c r="K147" s="107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 spans="1:32" ht="15.75" customHeight="1" x14ac:dyDescent="0.25">
      <c r="A148" s="5"/>
      <c r="B148" s="5"/>
      <c r="C148" s="107"/>
      <c r="D148" s="107"/>
      <c r="E148" s="107"/>
      <c r="F148" s="107"/>
      <c r="G148" s="107"/>
      <c r="H148" s="107"/>
      <c r="I148" s="107"/>
      <c r="J148" s="107"/>
      <c r="K148" s="107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 spans="1:32" ht="15.75" customHeight="1" x14ac:dyDescent="0.25">
      <c r="A149" s="5"/>
      <c r="B149" s="5"/>
      <c r="C149" s="107"/>
      <c r="D149" s="107"/>
      <c r="E149" s="107"/>
      <c r="F149" s="107"/>
      <c r="G149" s="107"/>
      <c r="H149" s="107"/>
      <c r="I149" s="107"/>
      <c r="J149" s="107"/>
      <c r="K149" s="107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 spans="1:32" ht="15.75" customHeight="1" x14ac:dyDescent="0.25">
      <c r="A150" s="5"/>
      <c r="B150" s="5"/>
      <c r="C150" s="107"/>
      <c r="D150" s="107"/>
      <c r="E150" s="107"/>
      <c r="F150" s="107"/>
      <c r="G150" s="107"/>
      <c r="H150" s="107"/>
      <c r="I150" s="107"/>
      <c r="J150" s="107"/>
      <c r="K150" s="107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 spans="1:32" ht="15.75" customHeight="1" x14ac:dyDescent="0.25">
      <c r="A151" s="5"/>
      <c r="B151" s="5"/>
      <c r="C151" s="107"/>
      <c r="D151" s="107"/>
      <c r="E151" s="107"/>
      <c r="F151" s="107"/>
      <c r="G151" s="107"/>
      <c r="H151" s="107"/>
      <c r="I151" s="107"/>
      <c r="J151" s="107"/>
      <c r="K151" s="107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 spans="1:32" ht="15.75" customHeight="1" x14ac:dyDescent="0.25">
      <c r="A152" s="5"/>
      <c r="B152" s="5"/>
      <c r="C152" s="107"/>
      <c r="D152" s="107"/>
      <c r="E152" s="107"/>
      <c r="F152" s="107"/>
      <c r="G152" s="107"/>
      <c r="H152" s="107"/>
      <c r="I152" s="107"/>
      <c r="J152" s="107"/>
      <c r="K152" s="107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 spans="1:32" ht="15.75" customHeight="1" x14ac:dyDescent="0.25">
      <c r="A153" s="5"/>
      <c r="B153" s="5"/>
      <c r="C153" s="107"/>
      <c r="D153" s="107"/>
      <c r="E153" s="107"/>
      <c r="F153" s="107"/>
      <c r="G153" s="107"/>
      <c r="H153" s="107"/>
      <c r="I153" s="107"/>
      <c r="J153" s="107"/>
      <c r="K153" s="107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 spans="1:32" ht="15.75" customHeight="1" x14ac:dyDescent="0.25">
      <c r="A154" s="5"/>
      <c r="B154" s="5"/>
      <c r="C154" s="107"/>
      <c r="D154" s="107"/>
      <c r="E154" s="107"/>
      <c r="F154" s="107"/>
      <c r="G154" s="107"/>
      <c r="H154" s="107"/>
      <c r="I154" s="107"/>
      <c r="J154" s="107"/>
      <c r="K154" s="107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 spans="1:32" ht="15.75" customHeight="1" x14ac:dyDescent="0.25">
      <c r="A155" s="5"/>
      <c r="B155" s="5"/>
      <c r="C155" s="107"/>
      <c r="D155" s="107"/>
      <c r="E155" s="107"/>
      <c r="F155" s="107"/>
      <c r="G155" s="107"/>
      <c r="H155" s="107"/>
      <c r="I155" s="107"/>
      <c r="J155" s="107"/>
      <c r="K155" s="107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 spans="1:32" ht="15.75" customHeight="1" x14ac:dyDescent="0.25">
      <c r="A156" s="5"/>
      <c r="B156" s="5"/>
      <c r="C156" s="107"/>
      <c r="D156" s="107"/>
      <c r="E156" s="107"/>
      <c r="F156" s="107"/>
      <c r="G156" s="107"/>
      <c r="H156" s="107"/>
      <c r="I156" s="107"/>
      <c r="J156" s="107"/>
      <c r="K156" s="107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 spans="1:32" ht="15.75" customHeight="1" x14ac:dyDescent="0.25">
      <c r="A157" s="5"/>
      <c r="B157" s="5"/>
      <c r="C157" s="107"/>
      <c r="D157" s="107"/>
      <c r="E157" s="107"/>
      <c r="F157" s="107"/>
      <c r="G157" s="107"/>
      <c r="H157" s="107"/>
      <c r="I157" s="107"/>
      <c r="J157" s="107"/>
      <c r="K157" s="107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 spans="1:32" ht="15.75" customHeight="1" x14ac:dyDescent="0.25">
      <c r="A158" s="5"/>
      <c r="B158" s="5"/>
      <c r="C158" s="107"/>
      <c r="D158" s="107"/>
      <c r="E158" s="107"/>
      <c r="F158" s="107"/>
      <c r="G158" s="107"/>
      <c r="H158" s="107"/>
      <c r="I158" s="107"/>
      <c r="J158" s="107"/>
      <c r="K158" s="107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 spans="1:32" ht="15.75" customHeight="1" x14ac:dyDescent="0.25">
      <c r="A159" s="5"/>
      <c r="B159" s="5"/>
      <c r="C159" s="107"/>
      <c r="D159" s="107"/>
      <c r="E159" s="107"/>
      <c r="F159" s="107"/>
      <c r="G159" s="107"/>
      <c r="H159" s="107"/>
      <c r="I159" s="107"/>
      <c r="J159" s="107"/>
      <c r="K159" s="107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 spans="1:32" ht="15.75" customHeight="1" x14ac:dyDescent="0.25">
      <c r="A160" s="5"/>
      <c r="B160" s="5"/>
      <c r="C160" s="107"/>
      <c r="D160" s="107"/>
      <c r="E160" s="107"/>
      <c r="F160" s="107"/>
      <c r="G160" s="107"/>
      <c r="H160" s="107"/>
      <c r="I160" s="107"/>
      <c r="J160" s="107"/>
      <c r="K160" s="107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 spans="1:32" ht="15.75" customHeight="1" x14ac:dyDescent="0.25">
      <c r="A161" s="5"/>
      <c r="B161" s="5"/>
      <c r="C161" s="107"/>
      <c r="D161" s="107"/>
      <c r="E161" s="107"/>
      <c r="F161" s="107"/>
      <c r="G161" s="107"/>
      <c r="H161" s="107"/>
      <c r="I161" s="107"/>
      <c r="J161" s="107"/>
      <c r="K161" s="107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 spans="1:32" ht="15.75" customHeight="1" x14ac:dyDescent="0.25">
      <c r="A162" s="5"/>
      <c r="B162" s="5"/>
      <c r="C162" s="107"/>
      <c r="D162" s="107"/>
      <c r="E162" s="107"/>
      <c r="F162" s="107"/>
      <c r="G162" s="107"/>
      <c r="H162" s="107"/>
      <c r="I162" s="107"/>
      <c r="J162" s="107"/>
      <c r="K162" s="107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 spans="1:32" ht="15.75" customHeight="1" x14ac:dyDescent="0.25">
      <c r="A163" s="5"/>
      <c r="B163" s="5"/>
      <c r="C163" s="107"/>
      <c r="D163" s="107"/>
      <c r="E163" s="107"/>
      <c r="F163" s="107"/>
      <c r="G163" s="107"/>
      <c r="H163" s="107"/>
      <c r="I163" s="107"/>
      <c r="J163" s="107"/>
      <c r="K163" s="107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 spans="1:32" ht="15.75" customHeight="1" x14ac:dyDescent="0.25">
      <c r="A164" s="5"/>
      <c r="B164" s="5"/>
      <c r="C164" s="107"/>
      <c r="D164" s="107"/>
      <c r="E164" s="107"/>
      <c r="F164" s="107"/>
      <c r="G164" s="107"/>
      <c r="H164" s="107"/>
      <c r="I164" s="107"/>
      <c r="J164" s="107"/>
      <c r="K164" s="107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 spans="1:32" ht="15.75" customHeight="1" x14ac:dyDescent="0.25">
      <c r="A165" s="5"/>
      <c r="B165" s="5"/>
      <c r="C165" s="107"/>
      <c r="D165" s="107"/>
      <c r="E165" s="107"/>
      <c r="F165" s="107"/>
      <c r="G165" s="107"/>
      <c r="H165" s="107"/>
      <c r="I165" s="107"/>
      <c r="J165" s="107"/>
      <c r="K165" s="107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 spans="1:32" ht="15.75" customHeight="1" x14ac:dyDescent="0.25">
      <c r="A166" s="5"/>
      <c r="B166" s="5"/>
      <c r="C166" s="107"/>
      <c r="D166" s="107"/>
      <c r="E166" s="107"/>
      <c r="F166" s="107"/>
      <c r="G166" s="107"/>
      <c r="H166" s="107"/>
      <c r="I166" s="107"/>
      <c r="J166" s="107"/>
      <c r="K166" s="107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 spans="1:32" ht="15.75" customHeight="1" x14ac:dyDescent="0.25">
      <c r="A167" s="5"/>
      <c r="B167" s="5"/>
      <c r="C167" s="107"/>
      <c r="D167" s="107"/>
      <c r="E167" s="107"/>
      <c r="F167" s="107"/>
      <c r="G167" s="107"/>
      <c r="H167" s="107"/>
      <c r="I167" s="107"/>
      <c r="J167" s="107"/>
      <c r="K167" s="107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 spans="1:32" ht="15.75" customHeight="1" x14ac:dyDescent="0.25">
      <c r="A168" s="5"/>
      <c r="B168" s="5"/>
      <c r="C168" s="107"/>
      <c r="D168" s="107"/>
      <c r="E168" s="107"/>
      <c r="F168" s="107"/>
      <c r="G168" s="107"/>
      <c r="H168" s="107"/>
      <c r="I168" s="107"/>
      <c r="J168" s="107"/>
      <c r="K168" s="107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 spans="1:32" ht="15.75" customHeight="1" x14ac:dyDescent="0.25">
      <c r="A169" s="5"/>
      <c r="B169" s="5"/>
      <c r="C169" s="107"/>
      <c r="D169" s="107"/>
      <c r="E169" s="107"/>
      <c r="F169" s="107"/>
      <c r="G169" s="107"/>
      <c r="H169" s="107"/>
      <c r="I169" s="107"/>
      <c r="J169" s="107"/>
      <c r="K169" s="107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 spans="1:32" ht="15.75" customHeight="1" x14ac:dyDescent="0.25">
      <c r="A170" s="5"/>
      <c r="B170" s="5"/>
      <c r="C170" s="107"/>
      <c r="D170" s="107"/>
      <c r="E170" s="107"/>
      <c r="F170" s="107"/>
      <c r="G170" s="107"/>
      <c r="H170" s="107"/>
      <c r="I170" s="107"/>
      <c r="J170" s="107"/>
      <c r="K170" s="107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 spans="1:32" ht="15.75" customHeight="1" x14ac:dyDescent="0.25">
      <c r="A171" s="5"/>
      <c r="B171" s="5"/>
      <c r="C171" s="107"/>
      <c r="D171" s="107"/>
      <c r="E171" s="107"/>
      <c r="F171" s="107"/>
      <c r="G171" s="107"/>
      <c r="H171" s="107"/>
      <c r="I171" s="107"/>
      <c r="J171" s="107"/>
      <c r="K171" s="107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 spans="1:32" ht="15.75" customHeight="1" x14ac:dyDescent="0.25">
      <c r="A172" s="5"/>
      <c r="B172" s="5"/>
      <c r="C172" s="107"/>
      <c r="D172" s="107"/>
      <c r="E172" s="107"/>
      <c r="F172" s="107"/>
      <c r="G172" s="107"/>
      <c r="H172" s="107"/>
      <c r="I172" s="107"/>
      <c r="J172" s="107"/>
      <c r="K172" s="107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 spans="1:32" ht="15.75" customHeight="1" x14ac:dyDescent="0.25">
      <c r="A173" s="5"/>
      <c r="B173" s="5"/>
      <c r="C173" s="107"/>
      <c r="D173" s="107"/>
      <c r="E173" s="107"/>
      <c r="F173" s="107"/>
      <c r="G173" s="107"/>
      <c r="H173" s="107"/>
      <c r="I173" s="107"/>
      <c r="J173" s="107"/>
      <c r="K173" s="107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 spans="1:32" ht="15.75" customHeight="1" x14ac:dyDescent="0.25">
      <c r="A174" s="5"/>
      <c r="B174" s="5"/>
      <c r="C174" s="107"/>
      <c r="D174" s="107"/>
      <c r="E174" s="107"/>
      <c r="F174" s="107"/>
      <c r="G174" s="107"/>
      <c r="H174" s="107"/>
      <c r="I174" s="107"/>
      <c r="J174" s="107"/>
      <c r="K174" s="107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 spans="1:32" ht="15.75" customHeight="1" x14ac:dyDescent="0.25">
      <c r="A175" s="5"/>
      <c r="B175" s="5"/>
      <c r="C175" s="107"/>
      <c r="D175" s="107"/>
      <c r="E175" s="107"/>
      <c r="F175" s="107"/>
      <c r="G175" s="107"/>
      <c r="H175" s="107"/>
      <c r="I175" s="107"/>
      <c r="J175" s="107"/>
      <c r="K175" s="107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 spans="1:32" ht="15.75" customHeight="1" x14ac:dyDescent="0.25">
      <c r="A176" s="5"/>
      <c r="B176" s="5"/>
      <c r="C176" s="107"/>
      <c r="D176" s="107"/>
      <c r="E176" s="107"/>
      <c r="F176" s="107"/>
      <c r="G176" s="107"/>
      <c r="H176" s="107"/>
      <c r="I176" s="107"/>
      <c r="J176" s="107"/>
      <c r="K176" s="107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 spans="1:32" ht="15.75" customHeight="1" x14ac:dyDescent="0.25">
      <c r="A177" s="5"/>
      <c r="B177" s="5"/>
      <c r="C177" s="107"/>
      <c r="D177" s="107"/>
      <c r="E177" s="107"/>
      <c r="F177" s="107"/>
      <c r="G177" s="107"/>
      <c r="H177" s="107"/>
      <c r="I177" s="107"/>
      <c r="J177" s="107"/>
      <c r="K177" s="107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 spans="1:32" ht="15.75" customHeight="1" x14ac:dyDescent="0.25">
      <c r="A178" s="5"/>
      <c r="B178" s="5"/>
      <c r="C178" s="107"/>
      <c r="D178" s="107"/>
      <c r="E178" s="107"/>
      <c r="F178" s="107"/>
      <c r="G178" s="107"/>
      <c r="H178" s="107"/>
      <c r="I178" s="107"/>
      <c r="J178" s="107"/>
      <c r="K178" s="107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 spans="1:32" ht="15.75" customHeight="1" x14ac:dyDescent="0.25">
      <c r="A179" s="5"/>
      <c r="B179" s="5"/>
      <c r="C179" s="107"/>
      <c r="D179" s="107"/>
      <c r="E179" s="107"/>
      <c r="F179" s="107"/>
      <c r="G179" s="107"/>
      <c r="H179" s="107"/>
      <c r="I179" s="107"/>
      <c r="J179" s="107"/>
      <c r="K179" s="107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 spans="1:32" ht="15.75" customHeight="1" x14ac:dyDescent="0.25">
      <c r="A180" s="5"/>
      <c r="B180" s="5"/>
      <c r="C180" s="107"/>
      <c r="D180" s="107"/>
      <c r="E180" s="107"/>
      <c r="F180" s="107"/>
      <c r="G180" s="107"/>
      <c r="H180" s="107"/>
      <c r="I180" s="107"/>
      <c r="J180" s="107"/>
      <c r="K180" s="107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 spans="1:32" ht="15.75" customHeight="1" x14ac:dyDescent="0.25">
      <c r="A181" s="5"/>
      <c r="B181" s="5"/>
      <c r="C181" s="107"/>
      <c r="D181" s="107"/>
      <c r="E181" s="107"/>
      <c r="F181" s="107"/>
      <c r="G181" s="107"/>
      <c r="H181" s="107"/>
      <c r="I181" s="107"/>
      <c r="J181" s="107"/>
      <c r="K181" s="107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 spans="1:32" ht="15.75" customHeight="1" x14ac:dyDescent="0.25">
      <c r="A182" s="5"/>
      <c r="B182" s="5"/>
      <c r="C182" s="107"/>
      <c r="D182" s="107"/>
      <c r="E182" s="107"/>
      <c r="F182" s="107"/>
      <c r="G182" s="107"/>
      <c r="H182" s="107"/>
      <c r="I182" s="107"/>
      <c r="J182" s="107"/>
      <c r="K182" s="107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 spans="1:32" ht="15.75" customHeight="1" x14ac:dyDescent="0.25">
      <c r="A183" s="5"/>
      <c r="B183" s="5"/>
      <c r="C183" s="107"/>
      <c r="D183" s="107"/>
      <c r="E183" s="107"/>
      <c r="F183" s="107"/>
      <c r="G183" s="107"/>
      <c r="H183" s="107"/>
      <c r="I183" s="107"/>
      <c r="J183" s="107"/>
      <c r="K183" s="107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 spans="1:32" ht="15.75" customHeight="1" x14ac:dyDescent="0.25">
      <c r="A184" s="5"/>
      <c r="B184" s="5"/>
      <c r="C184" s="107"/>
      <c r="D184" s="107"/>
      <c r="E184" s="107"/>
      <c r="F184" s="107"/>
      <c r="G184" s="107"/>
      <c r="H184" s="107"/>
      <c r="I184" s="107"/>
      <c r="J184" s="107"/>
      <c r="K184" s="107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 spans="1:32" ht="15.75" customHeight="1" x14ac:dyDescent="0.25">
      <c r="A185" s="5"/>
      <c r="B185" s="5"/>
      <c r="C185" s="107"/>
      <c r="D185" s="107"/>
      <c r="E185" s="107"/>
      <c r="F185" s="107"/>
      <c r="G185" s="107"/>
      <c r="H185" s="107"/>
      <c r="I185" s="107"/>
      <c r="J185" s="107"/>
      <c r="K185" s="107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 spans="1:32" ht="15.75" customHeight="1" x14ac:dyDescent="0.25">
      <c r="A186" s="5"/>
      <c r="B186" s="5"/>
      <c r="C186" s="107"/>
      <c r="D186" s="107"/>
      <c r="E186" s="107"/>
      <c r="F186" s="107"/>
      <c r="G186" s="107"/>
      <c r="H186" s="107"/>
      <c r="I186" s="107"/>
      <c r="J186" s="107"/>
      <c r="K186" s="107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 spans="1:32" ht="15.75" customHeight="1" x14ac:dyDescent="0.25">
      <c r="A187" s="5"/>
      <c r="B187" s="5"/>
      <c r="C187" s="107"/>
      <c r="D187" s="107"/>
      <c r="E187" s="107"/>
      <c r="F187" s="107"/>
      <c r="G187" s="107"/>
      <c r="H187" s="107"/>
      <c r="I187" s="107"/>
      <c r="J187" s="107"/>
      <c r="K187" s="107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 spans="1:32" ht="15.75" customHeight="1" x14ac:dyDescent="0.25">
      <c r="A188" s="5"/>
      <c r="B188" s="5"/>
      <c r="C188" s="107"/>
      <c r="D188" s="107"/>
      <c r="E188" s="107"/>
      <c r="F188" s="107"/>
      <c r="G188" s="107"/>
      <c r="H188" s="107"/>
      <c r="I188" s="107"/>
      <c r="J188" s="107"/>
      <c r="K188" s="107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 spans="1:32" ht="15.75" customHeight="1" x14ac:dyDescent="0.25">
      <c r="A189" s="5"/>
      <c r="B189" s="5"/>
      <c r="C189" s="107"/>
      <c r="D189" s="107"/>
      <c r="E189" s="107"/>
      <c r="F189" s="107"/>
      <c r="G189" s="107"/>
      <c r="H189" s="107"/>
      <c r="I189" s="107"/>
      <c r="J189" s="107"/>
      <c r="K189" s="107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 spans="1:32" ht="15.75" customHeight="1" x14ac:dyDescent="0.25">
      <c r="A190" s="5"/>
      <c r="B190" s="5"/>
      <c r="C190" s="107"/>
      <c r="D190" s="107"/>
      <c r="E190" s="107"/>
      <c r="F190" s="107"/>
      <c r="G190" s="107"/>
      <c r="H190" s="107"/>
      <c r="I190" s="107"/>
      <c r="J190" s="107"/>
      <c r="K190" s="107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spans="1:32" ht="15.75" customHeight="1" x14ac:dyDescent="0.25">
      <c r="A191" s="5"/>
      <c r="B191" s="5"/>
      <c r="C191" s="107"/>
      <c r="D191" s="107"/>
      <c r="E191" s="107"/>
      <c r="F191" s="107"/>
      <c r="G191" s="107"/>
      <c r="H191" s="107"/>
      <c r="I191" s="107"/>
      <c r="J191" s="107"/>
      <c r="K191" s="107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 spans="1:32" ht="15.75" customHeight="1" x14ac:dyDescent="0.25">
      <c r="A192" s="5"/>
      <c r="B192" s="5"/>
      <c r="C192" s="107"/>
      <c r="D192" s="107"/>
      <c r="E192" s="107"/>
      <c r="F192" s="107"/>
      <c r="G192" s="107"/>
      <c r="H192" s="107"/>
      <c r="I192" s="107"/>
      <c r="J192" s="107"/>
      <c r="K192" s="107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 spans="1:32" ht="15.75" customHeight="1" x14ac:dyDescent="0.25">
      <c r="A193" s="5"/>
      <c r="B193" s="5"/>
      <c r="C193" s="107"/>
      <c r="D193" s="107"/>
      <c r="E193" s="107"/>
      <c r="F193" s="107"/>
      <c r="G193" s="107"/>
      <c r="H193" s="107"/>
      <c r="I193" s="107"/>
      <c r="J193" s="107"/>
      <c r="K193" s="107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 spans="1:32" ht="15.75" customHeight="1" x14ac:dyDescent="0.25">
      <c r="A194" s="5"/>
      <c r="B194" s="5"/>
      <c r="C194" s="107"/>
      <c r="D194" s="107"/>
      <c r="E194" s="107"/>
      <c r="F194" s="107"/>
      <c r="G194" s="107"/>
      <c r="H194" s="107"/>
      <c r="I194" s="107"/>
      <c r="J194" s="107"/>
      <c r="K194" s="107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 spans="1:32" ht="15.75" customHeight="1" x14ac:dyDescent="0.25">
      <c r="A195" s="5"/>
      <c r="B195" s="5"/>
      <c r="C195" s="107"/>
      <c r="D195" s="107"/>
      <c r="E195" s="107"/>
      <c r="F195" s="107"/>
      <c r="G195" s="107"/>
      <c r="H195" s="107"/>
      <c r="I195" s="107"/>
      <c r="J195" s="107"/>
      <c r="K195" s="107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 spans="1:32" ht="15.75" customHeight="1" x14ac:dyDescent="0.25">
      <c r="A196" s="5"/>
      <c r="B196" s="5"/>
      <c r="C196" s="107"/>
      <c r="D196" s="107"/>
      <c r="E196" s="107"/>
      <c r="F196" s="107"/>
      <c r="G196" s="107"/>
      <c r="H196" s="107"/>
      <c r="I196" s="107"/>
      <c r="J196" s="107"/>
      <c r="K196" s="107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 spans="1:32" ht="15.75" customHeight="1" x14ac:dyDescent="0.25">
      <c r="A197" s="5"/>
      <c r="B197" s="5"/>
      <c r="C197" s="107"/>
      <c r="D197" s="107"/>
      <c r="E197" s="107"/>
      <c r="F197" s="107"/>
      <c r="G197" s="107"/>
      <c r="H197" s="107"/>
      <c r="I197" s="107"/>
      <c r="J197" s="107"/>
      <c r="K197" s="107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 spans="1:32" ht="15.75" customHeight="1" x14ac:dyDescent="0.25">
      <c r="A198" s="5"/>
      <c r="B198" s="5"/>
      <c r="C198" s="107"/>
      <c r="D198" s="107"/>
      <c r="E198" s="107"/>
      <c r="F198" s="107"/>
      <c r="G198" s="107"/>
      <c r="H198" s="107"/>
      <c r="I198" s="107"/>
      <c r="J198" s="107"/>
      <c r="K198" s="107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 spans="1:32" ht="15.75" customHeight="1" x14ac:dyDescent="0.25">
      <c r="A199" s="5"/>
      <c r="B199" s="5"/>
      <c r="C199" s="107"/>
      <c r="D199" s="107"/>
      <c r="E199" s="107"/>
      <c r="F199" s="107"/>
      <c r="G199" s="107"/>
      <c r="H199" s="107"/>
      <c r="I199" s="107"/>
      <c r="J199" s="107"/>
      <c r="K199" s="107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 spans="1:32" ht="15.75" customHeight="1" x14ac:dyDescent="0.25">
      <c r="A200" s="5"/>
      <c r="B200" s="5"/>
      <c r="C200" s="107"/>
      <c r="D200" s="107"/>
      <c r="E200" s="107"/>
      <c r="F200" s="107"/>
      <c r="G200" s="107"/>
      <c r="H200" s="107"/>
      <c r="I200" s="107"/>
      <c r="J200" s="107"/>
      <c r="K200" s="107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 spans="1:32" ht="15.75" customHeight="1" x14ac:dyDescent="0.25">
      <c r="A201" s="5"/>
      <c r="B201" s="5"/>
      <c r="C201" s="107"/>
      <c r="D201" s="107"/>
      <c r="E201" s="107"/>
      <c r="F201" s="107"/>
      <c r="G201" s="107"/>
      <c r="H201" s="107"/>
      <c r="I201" s="107"/>
      <c r="J201" s="107"/>
      <c r="K201" s="107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 spans="1:32" ht="15.75" customHeight="1" x14ac:dyDescent="0.25">
      <c r="A202" s="5"/>
      <c r="B202" s="5"/>
      <c r="C202" s="107"/>
      <c r="D202" s="107"/>
      <c r="E202" s="107"/>
      <c r="F202" s="107"/>
      <c r="G202" s="107"/>
      <c r="H202" s="107"/>
      <c r="I202" s="107"/>
      <c r="J202" s="107"/>
      <c r="K202" s="107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 spans="1:32" ht="15.75" customHeight="1" x14ac:dyDescent="0.25">
      <c r="A203" s="5"/>
      <c r="B203" s="5"/>
      <c r="C203" s="107"/>
      <c r="D203" s="107"/>
      <c r="E203" s="107"/>
      <c r="F203" s="107"/>
      <c r="G203" s="107"/>
      <c r="H203" s="107"/>
      <c r="I203" s="107"/>
      <c r="J203" s="107"/>
      <c r="K203" s="107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 spans="1:32" ht="15.75" customHeight="1" x14ac:dyDescent="0.25">
      <c r="A204" s="5"/>
      <c r="B204" s="5"/>
      <c r="C204" s="107"/>
      <c r="D204" s="107"/>
      <c r="E204" s="107"/>
      <c r="F204" s="107"/>
      <c r="G204" s="107"/>
      <c r="H204" s="107"/>
      <c r="I204" s="107"/>
      <c r="J204" s="107"/>
      <c r="K204" s="107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 spans="1:32" ht="15.75" customHeight="1" x14ac:dyDescent="0.25">
      <c r="A205" s="5"/>
      <c r="B205" s="5"/>
      <c r="C205" s="107"/>
      <c r="D205" s="107"/>
      <c r="E205" s="107"/>
      <c r="F205" s="107"/>
      <c r="G205" s="107"/>
      <c r="H205" s="107"/>
      <c r="I205" s="107"/>
      <c r="J205" s="107"/>
      <c r="K205" s="107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 spans="1:32" ht="15.75" customHeight="1" x14ac:dyDescent="0.25">
      <c r="A206" s="5"/>
      <c r="B206" s="5"/>
      <c r="C206" s="107"/>
      <c r="D206" s="107"/>
      <c r="E206" s="107"/>
      <c r="F206" s="107"/>
      <c r="G206" s="107"/>
      <c r="H206" s="107"/>
      <c r="I206" s="107"/>
      <c r="J206" s="107"/>
      <c r="K206" s="107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 spans="1:32" ht="15.75" customHeight="1" x14ac:dyDescent="0.25">
      <c r="A207" s="5"/>
      <c r="B207" s="5"/>
      <c r="C207" s="107"/>
      <c r="D207" s="107"/>
      <c r="E207" s="107"/>
      <c r="F207" s="107"/>
      <c r="G207" s="107"/>
      <c r="H207" s="107"/>
      <c r="I207" s="107"/>
      <c r="J207" s="107"/>
      <c r="K207" s="107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 spans="1:32" ht="15.75" customHeight="1" x14ac:dyDescent="0.25">
      <c r="A208" s="5"/>
      <c r="B208" s="5"/>
      <c r="C208" s="107"/>
      <c r="D208" s="107"/>
      <c r="E208" s="107"/>
      <c r="F208" s="107"/>
      <c r="G208" s="107"/>
      <c r="H208" s="107"/>
      <c r="I208" s="107"/>
      <c r="J208" s="107"/>
      <c r="K208" s="107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 spans="1:32" ht="15.75" customHeight="1" x14ac:dyDescent="0.25">
      <c r="A209" s="5"/>
      <c r="B209" s="5"/>
      <c r="C209" s="107"/>
      <c r="D209" s="107"/>
      <c r="E209" s="107"/>
      <c r="F209" s="107"/>
      <c r="G209" s="107"/>
      <c r="H209" s="107"/>
      <c r="I209" s="107"/>
      <c r="J209" s="107"/>
      <c r="K209" s="107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 spans="1:32" ht="15.75" customHeight="1" x14ac:dyDescent="0.25">
      <c r="A210" s="5"/>
      <c r="B210" s="5"/>
      <c r="C210" s="107"/>
      <c r="D210" s="107"/>
      <c r="E210" s="107"/>
      <c r="F210" s="107"/>
      <c r="G210" s="107"/>
      <c r="H210" s="107"/>
      <c r="I210" s="107"/>
      <c r="J210" s="107"/>
      <c r="K210" s="107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 spans="1:32" ht="15.75" customHeight="1" x14ac:dyDescent="0.25">
      <c r="A211" s="5"/>
      <c r="B211" s="5"/>
      <c r="C211" s="107"/>
      <c r="D211" s="107"/>
      <c r="E211" s="107"/>
      <c r="F211" s="107"/>
      <c r="G211" s="107"/>
      <c r="H211" s="107"/>
      <c r="I211" s="107"/>
      <c r="J211" s="107"/>
      <c r="K211" s="107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 spans="1:32" ht="15.75" customHeight="1" x14ac:dyDescent="0.25">
      <c r="A212" s="5"/>
      <c r="B212" s="5"/>
      <c r="C212" s="107"/>
      <c r="D212" s="107"/>
      <c r="E212" s="107"/>
      <c r="F212" s="107"/>
      <c r="G212" s="107"/>
      <c r="H212" s="107"/>
      <c r="I212" s="107"/>
      <c r="J212" s="107"/>
      <c r="K212" s="107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 spans="1:32" ht="15.75" customHeight="1" x14ac:dyDescent="0.25">
      <c r="A213" s="5"/>
      <c r="B213" s="5"/>
      <c r="C213" s="107"/>
      <c r="D213" s="107"/>
      <c r="E213" s="107"/>
      <c r="F213" s="107"/>
      <c r="G213" s="107"/>
      <c r="H213" s="107"/>
      <c r="I213" s="107"/>
      <c r="J213" s="107"/>
      <c r="K213" s="107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 spans="1:32" ht="15.75" customHeight="1" x14ac:dyDescent="0.25">
      <c r="A214" s="5"/>
      <c r="B214" s="5"/>
      <c r="C214" s="107"/>
      <c r="D214" s="107"/>
      <c r="E214" s="107"/>
      <c r="F214" s="107"/>
      <c r="G214" s="107"/>
      <c r="H214" s="107"/>
      <c r="I214" s="107"/>
      <c r="J214" s="107"/>
      <c r="K214" s="107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 spans="1:32" ht="15.75" customHeight="1" x14ac:dyDescent="0.25">
      <c r="A215" s="5"/>
      <c r="B215" s="5"/>
      <c r="C215" s="107"/>
      <c r="D215" s="107"/>
      <c r="E215" s="107"/>
      <c r="F215" s="107"/>
      <c r="G215" s="107"/>
      <c r="H215" s="107"/>
      <c r="I215" s="107"/>
      <c r="J215" s="107"/>
      <c r="K215" s="107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 spans="1:32" ht="15.75" customHeight="1" x14ac:dyDescent="0.25">
      <c r="A216" s="5"/>
      <c r="B216" s="5"/>
      <c r="C216" s="107"/>
      <c r="D216" s="107"/>
      <c r="E216" s="107"/>
      <c r="F216" s="107"/>
      <c r="G216" s="107"/>
      <c r="H216" s="107"/>
      <c r="I216" s="107"/>
      <c r="J216" s="107"/>
      <c r="K216" s="107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 spans="1:32" ht="15.75" customHeight="1" x14ac:dyDescent="0.25">
      <c r="A217" s="5"/>
      <c r="B217" s="5"/>
      <c r="C217" s="107"/>
      <c r="D217" s="107"/>
      <c r="E217" s="107"/>
      <c r="F217" s="107"/>
      <c r="G217" s="107"/>
      <c r="H217" s="107"/>
      <c r="I217" s="107"/>
      <c r="J217" s="107"/>
      <c r="K217" s="107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 spans="1:32" ht="15.75" customHeight="1" x14ac:dyDescent="0.25">
      <c r="A218" s="5"/>
      <c r="B218" s="5"/>
      <c r="C218" s="107"/>
      <c r="D218" s="107"/>
      <c r="E218" s="107"/>
      <c r="F218" s="107"/>
      <c r="G218" s="107"/>
      <c r="H218" s="107"/>
      <c r="I218" s="107"/>
      <c r="J218" s="107"/>
      <c r="K218" s="107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 spans="1:32" ht="15.75" customHeight="1" x14ac:dyDescent="0.25">
      <c r="A219" s="5"/>
      <c r="B219" s="5"/>
      <c r="C219" s="107"/>
      <c r="D219" s="107"/>
      <c r="E219" s="107"/>
      <c r="F219" s="107"/>
      <c r="G219" s="107"/>
      <c r="H219" s="107"/>
      <c r="I219" s="107"/>
      <c r="J219" s="107"/>
      <c r="K219" s="107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 spans="1:32" ht="15.75" customHeight="1" x14ac:dyDescent="0.25">
      <c r="A220" s="5"/>
      <c r="B220" s="5"/>
      <c r="C220" s="107"/>
      <c r="D220" s="107"/>
      <c r="E220" s="107"/>
      <c r="F220" s="107"/>
      <c r="G220" s="107"/>
      <c r="H220" s="107"/>
      <c r="I220" s="107"/>
      <c r="J220" s="107"/>
      <c r="K220" s="107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 spans="1:32" ht="15.75" customHeight="1" x14ac:dyDescent="0.25">
      <c r="A221" s="5"/>
      <c r="B221" s="5"/>
      <c r="C221" s="107"/>
      <c r="D221" s="107"/>
      <c r="E221" s="107"/>
      <c r="F221" s="107"/>
      <c r="G221" s="107"/>
      <c r="H221" s="107"/>
      <c r="I221" s="107"/>
      <c r="J221" s="107"/>
      <c r="K221" s="107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 spans="1:32" ht="15.75" customHeight="1" x14ac:dyDescent="0.25">
      <c r="A222" s="5"/>
      <c r="B222" s="5"/>
      <c r="C222" s="107"/>
      <c r="D222" s="107"/>
      <c r="E222" s="107"/>
      <c r="F222" s="107"/>
      <c r="G222" s="107"/>
      <c r="H222" s="107"/>
      <c r="I222" s="107"/>
      <c r="J222" s="107"/>
      <c r="K222" s="107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 spans="1:32" ht="15.75" customHeight="1" x14ac:dyDescent="0.25">
      <c r="A223" s="5"/>
      <c r="B223" s="5"/>
      <c r="C223" s="107"/>
      <c r="D223" s="107"/>
      <c r="E223" s="107"/>
      <c r="F223" s="107"/>
      <c r="G223" s="107"/>
      <c r="H223" s="107"/>
      <c r="I223" s="107"/>
      <c r="J223" s="107"/>
      <c r="K223" s="107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 spans="1:32" ht="15.75" customHeight="1" x14ac:dyDescent="0.25">
      <c r="A224" s="5"/>
      <c r="B224" s="5"/>
      <c r="C224" s="107"/>
      <c r="D224" s="107"/>
      <c r="E224" s="107"/>
      <c r="F224" s="107"/>
      <c r="G224" s="107"/>
      <c r="H224" s="107"/>
      <c r="I224" s="107"/>
      <c r="J224" s="107"/>
      <c r="K224" s="107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 spans="1:32" ht="15.75" customHeight="1" x14ac:dyDescent="0.25">
      <c r="A225" s="5"/>
      <c r="B225" s="5"/>
      <c r="C225" s="107"/>
      <c r="D225" s="107"/>
      <c r="E225" s="107"/>
      <c r="F225" s="107"/>
      <c r="G225" s="107"/>
      <c r="H225" s="107"/>
      <c r="I225" s="107"/>
      <c r="J225" s="107"/>
      <c r="K225" s="107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 spans="1:32" ht="15.75" customHeight="1" x14ac:dyDescent="0.25">
      <c r="A226" s="5"/>
      <c r="B226" s="5"/>
      <c r="C226" s="107"/>
      <c r="D226" s="107"/>
      <c r="E226" s="107"/>
      <c r="F226" s="107"/>
      <c r="G226" s="107"/>
      <c r="H226" s="107"/>
      <c r="I226" s="107"/>
      <c r="J226" s="107"/>
      <c r="K226" s="107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 spans="1:32" ht="15.75" customHeight="1" x14ac:dyDescent="0.25">
      <c r="A227" s="5"/>
      <c r="B227" s="5"/>
      <c r="C227" s="107"/>
      <c r="D227" s="107"/>
      <c r="E227" s="107"/>
      <c r="F227" s="107"/>
      <c r="G227" s="107"/>
      <c r="H227" s="107"/>
      <c r="I227" s="107"/>
      <c r="J227" s="107"/>
      <c r="K227" s="107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 spans="1:32" ht="15.75" customHeight="1" x14ac:dyDescent="0.25">
      <c r="A228" s="5"/>
      <c r="B228" s="5"/>
      <c r="C228" s="107"/>
      <c r="D228" s="107"/>
      <c r="E228" s="107"/>
      <c r="F228" s="107"/>
      <c r="G228" s="107"/>
      <c r="H228" s="107"/>
      <c r="I228" s="107"/>
      <c r="J228" s="107"/>
      <c r="K228" s="107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 spans="1:32" ht="15.75" customHeight="1" x14ac:dyDescent="0.25">
      <c r="A229" s="5"/>
      <c r="B229" s="5"/>
      <c r="C229" s="107"/>
      <c r="D229" s="107"/>
      <c r="E229" s="107"/>
      <c r="F229" s="107"/>
      <c r="G229" s="107"/>
      <c r="H229" s="107"/>
      <c r="I229" s="107"/>
      <c r="J229" s="107"/>
      <c r="K229" s="107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 spans="1:32" ht="15.75" customHeight="1" x14ac:dyDescent="0.25">
      <c r="A230" s="5"/>
      <c r="B230" s="5"/>
      <c r="C230" s="107"/>
      <c r="D230" s="107"/>
      <c r="E230" s="107"/>
      <c r="F230" s="107"/>
      <c r="G230" s="107"/>
      <c r="H230" s="107"/>
      <c r="I230" s="107"/>
      <c r="J230" s="107"/>
      <c r="K230" s="107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 spans="1:32" ht="15.75" customHeight="1" x14ac:dyDescent="0.25">
      <c r="A231" s="5"/>
      <c r="B231" s="5"/>
      <c r="C231" s="107"/>
      <c r="D231" s="107"/>
      <c r="E231" s="107"/>
      <c r="F231" s="107"/>
      <c r="G231" s="107"/>
      <c r="H231" s="107"/>
      <c r="I231" s="107"/>
      <c r="J231" s="107"/>
      <c r="K231" s="107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 spans="1:32" ht="15.75" customHeight="1" x14ac:dyDescent="0.25">
      <c r="A232" s="5"/>
      <c r="B232" s="5"/>
      <c r="C232" s="107"/>
      <c r="D232" s="107"/>
      <c r="E232" s="107"/>
      <c r="F232" s="107"/>
      <c r="G232" s="107"/>
      <c r="H232" s="107"/>
      <c r="I232" s="107"/>
      <c r="J232" s="107"/>
      <c r="K232" s="107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 spans="1:32" ht="15.75" customHeight="1" x14ac:dyDescent="0.25">
      <c r="A233" s="5"/>
      <c r="B233" s="5"/>
      <c r="C233" s="107"/>
      <c r="D233" s="107"/>
      <c r="E233" s="107"/>
      <c r="F233" s="107"/>
      <c r="G233" s="107"/>
      <c r="H233" s="107"/>
      <c r="I233" s="107"/>
      <c r="J233" s="107"/>
      <c r="K233" s="107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 spans="1:32" ht="15.75" customHeight="1" x14ac:dyDescent="0.25">
      <c r="A234" s="5"/>
      <c r="B234" s="5"/>
      <c r="C234" s="107"/>
      <c r="D234" s="107"/>
      <c r="E234" s="107"/>
      <c r="F234" s="107"/>
      <c r="G234" s="107"/>
      <c r="H234" s="107"/>
      <c r="I234" s="107"/>
      <c r="J234" s="107"/>
      <c r="K234" s="107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 spans="1:32" ht="15.75" customHeight="1" x14ac:dyDescent="0.25">
      <c r="A235" s="5"/>
      <c r="B235" s="5"/>
      <c r="C235" s="107"/>
      <c r="D235" s="107"/>
      <c r="E235" s="107"/>
      <c r="F235" s="107"/>
      <c r="G235" s="107"/>
      <c r="H235" s="107"/>
      <c r="I235" s="107"/>
      <c r="J235" s="107"/>
      <c r="K235" s="107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 spans="1:32" ht="15.75" customHeight="1" x14ac:dyDescent="0.25">
      <c r="A236" s="5"/>
      <c r="B236" s="5"/>
      <c r="C236" s="107"/>
      <c r="D236" s="107"/>
      <c r="E236" s="107"/>
      <c r="F236" s="107"/>
      <c r="G236" s="107"/>
      <c r="H236" s="107"/>
      <c r="I236" s="107"/>
      <c r="J236" s="107"/>
      <c r="K236" s="107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 spans="1:32" ht="15.75" customHeight="1" x14ac:dyDescent="0.25">
      <c r="A237" s="5"/>
      <c r="B237" s="5"/>
      <c r="C237" s="107"/>
      <c r="D237" s="107"/>
      <c r="E237" s="107"/>
      <c r="F237" s="107"/>
      <c r="G237" s="107"/>
      <c r="H237" s="107"/>
      <c r="I237" s="107"/>
      <c r="J237" s="107"/>
      <c r="K237" s="107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 spans="1:32" ht="15.75" customHeight="1" x14ac:dyDescent="0.25">
      <c r="A238" s="5"/>
      <c r="B238" s="5"/>
      <c r="C238" s="107"/>
      <c r="D238" s="107"/>
      <c r="E238" s="107"/>
      <c r="F238" s="107"/>
      <c r="G238" s="107"/>
      <c r="H238" s="107"/>
      <c r="I238" s="107"/>
      <c r="J238" s="107"/>
      <c r="K238" s="107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 spans="1:32" ht="15.75" customHeight="1" x14ac:dyDescent="0.25">
      <c r="A239" s="5"/>
      <c r="B239" s="5"/>
      <c r="C239" s="107"/>
      <c r="D239" s="107"/>
      <c r="E239" s="107"/>
      <c r="F239" s="107"/>
      <c r="G239" s="107"/>
      <c r="H239" s="107"/>
      <c r="I239" s="107"/>
      <c r="J239" s="107"/>
      <c r="K239" s="107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 spans="1:32" ht="15.75" customHeight="1" x14ac:dyDescent="0.25">
      <c r="A240" s="5"/>
      <c r="B240" s="5"/>
      <c r="C240" s="107"/>
      <c r="D240" s="107"/>
      <c r="E240" s="107"/>
      <c r="F240" s="107"/>
      <c r="G240" s="107"/>
      <c r="H240" s="107"/>
      <c r="I240" s="107"/>
      <c r="J240" s="107"/>
      <c r="K240" s="107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 spans="1:32" ht="15.75" customHeight="1" x14ac:dyDescent="0.25">
      <c r="A241" s="5"/>
      <c r="B241" s="5"/>
      <c r="C241" s="107"/>
      <c r="D241" s="107"/>
      <c r="E241" s="107"/>
      <c r="F241" s="107"/>
      <c r="G241" s="107"/>
      <c r="H241" s="107"/>
      <c r="I241" s="107"/>
      <c r="J241" s="107"/>
      <c r="K241" s="107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 spans="1:32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 spans="1:32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 spans="1:32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 spans="1:32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 spans="1:32" ht="15.75" customHeight="1" x14ac:dyDescent="0.25"/>
    <row r="247" spans="1:32" ht="15.75" customHeight="1" x14ac:dyDescent="0.25"/>
    <row r="248" spans="1:32" ht="15.75" customHeight="1" x14ac:dyDescent="0.25"/>
    <row r="249" spans="1:32" ht="15.75" customHeight="1" x14ac:dyDescent="0.25"/>
    <row r="250" spans="1:32" ht="15.75" customHeight="1" x14ac:dyDescent="0.25"/>
    <row r="251" spans="1:32" ht="15.75" customHeight="1" x14ac:dyDescent="0.25"/>
    <row r="252" spans="1:32" ht="15.75" customHeight="1" x14ac:dyDescent="0.25"/>
    <row r="253" spans="1:32" ht="15.75" customHeight="1" x14ac:dyDescent="0.25"/>
    <row r="254" spans="1:32" ht="15.75" customHeight="1" x14ac:dyDescent="0.25"/>
    <row r="255" spans="1:32" ht="15.75" customHeight="1" x14ac:dyDescent="0.25"/>
    <row r="256" spans="1:32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L1:T1"/>
    <mergeCell ref="C1:K1"/>
    <mergeCell ref="A2:A3"/>
  </mergeCells>
  <conditionalFormatting sqref="C29:Q29">
    <cfRule type="cellIs" dxfId="5" priority="1" operator="greaterThan">
      <formula>0</formula>
    </cfRule>
    <cfRule type="cellIs" dxfId="4" priority="2" operator="lessThan">
      <formula>0</formula>
    </cfRule>
  </conditionalFormatting>
  <conditionalFormatting sqref="C37:Q37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C45:Q45">
    <cfRule type="cellIs" dxfId="1" priority="5" operator="greaterThan">
      <formula>0</formula>
    </cfRule>
    <cfRule type="cellIs" dxfId="0" priority="6" operator="lessThan">
      <formula>0</formula>
    </cfRule>
  </conditionalFormatting>
  <pageMargins left="0.7" right="0.7" top="0.75" bottom="0.75" header="0" footer="0"/>
  <pageSetup paperSize="8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</sheetPr>
  <dimension ref="A1:Z1000"/>
  <sheetViews>
    <sheetView workbookViewId="0">
      <selection activeCell="M6" sqref="M6"/>
    </sheetView>
  </sheetViews>
  <sheetFormatPr defaultColWidth="11.125" defaultRowHeight="15" customHeight="1" x14ac:dyDescent="0.25"/>
  <cols>
    <col min="1" max="1" width="8.625" customWidth="1"/>
    <col min="2" max="2" width="16.125" customWidth="1"/>
    <col min="3" max="3" width="12.625" customWidth="1"/>
    <col min="4" max="4" width="7.5" customWidth="1"/>
    <col min="5" max="6" width="8.625" customWidth="1"/>
    <col min="7" max="11" width="12.625" customWidth="1"/>
    <col min="12" max="12" width="11.625" customWidth="1"/>
    <col min="13" max="13" width="12" customWidth="1"/>
    <col min="14" max="14" width="11.625" bestFit="1" customWidth="1"/>
    <col min="15" max="15" width="16.375" customWidth="1"/>
    <col min="16" max="16" width="11.625" bestFit="1" customWidth="1"/>
    <col min="17" max="17" width="16.625" customWidth="1"/>
    <col min="18" max="18" width="13" customWidth="1"/>
    <col min="19" max="19" width="8.375" customWidth="1"/>
    <col min="20" max="26" width="11.125" customWidth="1"/>
  </cols>
  <sheetData>
    <row r="1" spans="1:26" ht="18" customHeight="1" x14ac:dyDescent="0.25">
      <c r="A1" s="1"/>
      <c r="B1" s="3"/>
      <c r="C1" s="1"/>
      <c r="D1" s="165">
        <v>2026</v>
      </c>
      <c r="E1" s="164"/>
      <c r="F1" s="164"/>
      <c r="G1" s="164"/>
      <c r="H1" s="164"/>
      <c r="I1" s="164"/>
      <c r="J1" s="164"/>
      <c r="K1" s="164"/>
      <c r="L1" s="164"/>
      <c r="M1" s="151">
        <v>2027</v>
      </c>
      <c r="N1" s="8"/>
      <c r="O1" s="8"/>
      <c r="P1" s="8"/>
      <c r="Q1" s="8"/>
      <c r="R1" s="8"/>
      <c r="S1" s="8"/>
      <c r="T1" s="5"/>
      <c r="U1" s="5"/>
      <c r="V1" s="5"/>
      <c r="W1" s="5"/>
      <c r="X1" s="5"/>
      <c r="Y1" s="5"/>
      <c r="Z1" s="5"/>
    </row>
    <row r="2" spans="1:26" ht="15.75" customHeight="1" x14ac:dyDescent="0.25">
      <c r="A2" s="10" t="s">
        <v>63</v>
      </c>
      <c r="B2" s="3"/>
      <c r="C2" s="11"/>
      <c r="D2" s="12" t="s">
        <v>1</v>
      </c>
      <c r="E2" s="12" t="s">
        <v>2</v>
      </c>
      <c r="F2" s="12" t="s">
        <v>3</v>
      </c>
      <c r="G2" s="12" t="s">
        <v>4</v>
      </c>
      <c r="H2" s="12" t="s">
        <v>5</v>
      </c>
      <c r="I2" s="12" t="s">
        <v>6</v>
      </c>
      <c r="J2" s="12" t="s">
        <v>7</v>
      </c>
      <c r="K2" s="12" t="s">
        <v>8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</v>
      </c>
      <c r="Q2" s="12" t="s">
        <v>2</v>
      </c>
      <c r="R2" s="12" t="s">
        <v>3</v>
      </c>
      <c r="S2" s="8"/>
      <c r="T2" s="5"/>
      <c r="U2" s="5"/>
      <c r="V2" s="5"/>
      <c r="W2" s="5"/>
      <c r="X2" s="5"/>
      <c r="Y2" s="5"/>
      <c r="Z2" s="5"/>
    </row>
    <row r="3" spans="1:26" ht="15.75" customHeight="1" x14ac:dyDescent="0.25">
      <c r="A3" s="1"/>
      <c r="B3" s="3"/>
      <c r="C3" s="1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8"/>
      <c r="T3" s="5"/>
      <c r="U3" s="5"/>
      <c r="V3" s="5"/>
      <c r="W3" s="5"/>
      <c r="X3" s="5"/>
      <c r="Y3" s="5"/>
      <c r="Z3" s="5"/>
    </row>
    <row r="4" spans="1:26" ht="16.5" customHeight="1" thickBot="1" x14ac:dyDescent="0.3">
      <c r="A4" s="17"/>
      <c r="B4" s="19" t="s">
        <v>22</v>
      </c>
      <c r="C4" s="19">
        <f t="shared" ref="C4:C35" si="0">SUM(D4:L4)</f>
        <v>795104.15</v>
      </c>
      <c r="D4" s="29">
        <f t="shared" ref="D4:R4" si="1">SUM(D5:D135)</f>
        <v>0</v>
      </c>
      <c r="E4" s="29">
        <f t="shared" si="1"/>
        <v>0</v>
      </c>
      <c r="F4" s="29">
        <f t="shared" si="1"/>
        <v>0</v>
      </c>
      <c r="G4" s="29">
        <f t="shared" si="1"/>
        <v>153671.34</v>
      </c>
      <c r="H4" s="29">
        <f t="shared" si="1"/>
        <v>153432.81</v>
      </c>
      <c r="I4" s="29">
        <f t="shared" si="1"/>
        <v>140000</v>
      </c>
      <c r="J4" s="29">
        <f t="shared" si="1"/>
        <v>115000</v>
      </c>
      <c r="K4" s="29">
        <f t="shared" si="1"/>
        <v>175000</v>
      </c>
      <c r="L4" s="29">
        <f t="shared" si="1"/>
        <v>58000</v>
      </c>
      <c r="M4" s="29">
        <f t="shared" si="1"/>
        <v>36500</v>
      </c>
      <c r="N4" s="29">
        <f t="shared" si="1"/>
        <v>25000</v>
      </c>
      <c r="O4" s="29">
        <f t="shared" si="1"/>
        <v>22000</v>
      </c>
      <c r="P4" s="29">
        <f t="shared" si="1"/>
        <v>25000</v>
      </c>
      <c r="Q4" s="29">
        <f t="shared" si="1"/>
        <v>69500</v>
      </c>
      <c r="R4" s="29">
        <f t="shared" si="1"/>
        <v>99000</v>
      </c>
      <c r="S4" s="27"/>
      <c r="T4" s="5"/>
      <c r="U4" s="5"/>
      <c r="V4" s="5"/>
      <c r="W4" s="5"/>
      <c r="X4" s="5"/>
      <c r="Y4" s="5"/>
      <c r="Z4" s="5"/>
    </row>
    <row r="5" spans="1:26" ht="16.5" customHeight="1" thickTop="1" x14ac:dyDescent="0.25">
      <c r="A5" s="37">
        <v>670101</v>
      </c>
      <c r="B5" s="38" t="s">
        <v>64</v>
      </c>
      <c r="C5" s="34">
        <f t="shared" si="0"/>
        <v>518342.68</v>
      </c>
      <c r="D5" s="46"/>
      <c r="E5" s="35"/>
      <c r="F5" s="35"/>
      <c r="G5" s="35">
        <v>94171.34</v>
      </c>
      <c r="H5" s="50">
        <v>94171.34</v>
      </c>
      <c r="I5" s="35">
        <v>90000</v>
      </c>
      <c r="J5" s="35">
        <v>80000</v>
      </c>
      <c r="K5" s="35">
        <v>120000</v>
      </c>
      <c r="L5" s="35">
        <v>40000</v>
      </c>
      <c r="M5" s="35">
        <v>22000</v>
      </c>
      <c r="N5" s="35">
        <v>14000</v>
      </c>
      <c r="O5" s="35">
        <v>14000</v>
      </c>
      <c r="P5" s="35">
        <v>13000</v>
      </c>
      <c r="Q5" s="35">
        <v>45000</v>
      </c>
      <c r="R5" s="35">
        <v>65000</v>
      </c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5">
      <c r="A6" s="37">
        <v>350301</v>
      </c>
      <c r="B6" s="55" t="s">
        <v>65</v>
      </c>
      <c r="C6" s="45">
        <f t="shared" si="0"/>
        <v>276761.46999999997</v>
      </c>
      <c r="D6" s="56"/>
      <c r="E6" s="47"/>
      <c r="F6" s="47"/>
      <c r="G6" s="47">
        <v>59500</v>
      </c>
      <c r="H6" s="47">
        <v>59261.47</v>
      </c>
      <c r="I6" s="47">
        <v>50000</v>
      </c>
      <c r="J6" s="47">
        <v>35000</v>
      </c>
      <c r="K6" s="47">
        <v>55000</v>
      </c>
      <c r="L6" s="47">
        <v>18000</v>
      </c>
      <c r="M6" s="47">
        <v>14500</v>
      </c>
      <c r="N6" s="47">
        <v>11000</v>
      </c>
      <c r="O6" s="47">
        <v>8000</v>
      </c>
      <c r="P6" s="47">
        <v>12000</v>
      </c>
      <c r="Q6" s="47">
        <v>24500</v>
      </c>
      <c r="R6" s="47">
        <v>34000</v>
      </c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5">
      <c r="A7" s="37"/>
      <c r="B7" s="58"/>
      <c r="C7" s="45">
        <f t="shared" si="0"/>
        <v>0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5">
      <c r="A8" s="37"/>
      <c r="B8" s="58"/>
      <c r="C8" s="45">
        <f t="shared" si="0"/>
        <v>0</v>
      </c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5">
      <c r="A9" s="37"/>
      <c r="B9" s="58"/>
      <c r="C9" s="45">
        <f t="shared" si="0"/>
        <v>0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5">
      <c r="A10" s="37"/>
      <c r="B10" s="58"/>
      <c r="C10" s="45">
        <f t="shared" si="0"/>
        <v>0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5">
      <c r="A11" s="37"/>
      <c r="B11" s="58"/>
      <c r="C11" s="45">
        <f t="shared" si="0"/>
        <v>0</v>
      </c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5">
      <c r="A12" s="37"/>
      <c r="B12" s="58"/>
      <c r="C12" s="45">
        <f t="shared" si="0"/>
        <v>0</v>
      </c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5">
      <c r="A13" s="37"/>
      <c r="B13" s="58"/>
      <c r="C13" s="45">
        <f t="shared" si="0"/>
        <v>0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5">
      <c r="A14" s="37"/>
      <c r="B14" s="58"/>
      <c r="C14" s="45">
        <f t="shared" si="0"/>
        <v>0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5">
      <c r="A15" s="37"/>
      <c r="B15" s="58"/>
      <c r="C15" s="45">
        <f t="shared" si="0"/>
        <v>0</v>
      </c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5">
      <c r="A16" s="37"/>
      <c r="B16" s="58"/>
      <c r="C16" s="45">
        <f t="shared" si="0"/>
        <v>0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5">
      <c r="A17" s="37"/>
      <c r="B17" s="58"/>
      <c r="C17" s="45">
        <f t="shared" si="0"/>
        <v>0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5">
      <c r="A18" s="37"/>
      <c r="B18" s="58"/>
      <c r="C18" s="45">
        <f t="shared" si="0"/>
        <v>0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5">
      <c r="A19" s="37"/>
      <c r="B19" s="58"/>
      <c r="C19" s="45">
        <f t="shared" si="0"/>
        <v>0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5">
      <c r="A20" s="37"/>
      <c r="B20" s="58"/>
      <c r="C20" s="45">
        <f t="shared" si="0"/>
        <v>0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5">
      <c r="A21" s="37"/>
      <c r="B21" s="58"/>
      <c r="C21" s="45">
        <f t="shared" si="0"/>
        <v>0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5">
      <c r="A22" s="37"/>
      <c r="B22" s="58"/>
      <c r="C22" s="45">
        <f t="shared" si="0"/>
        <v>0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5">
      <c r="A23" s="37"/>
      <c r="B23" s="58"/>
      <c r="C23" s="45">
        <f t="shared" si="0"/>
        <v>0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5">
      <c r="A24" s="37"/>
      <c r="B24" s="58"/>
      <c r="C24" s="45">
        <f t="shared" si="0"/>
        <v>0</v>
      </c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5">
      <c r="A25" s="37"/>
      <c r="B25" s="58"/>
      <c r="C25" s="45">
        <f t="shared" si="0"/>
        <v>0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5">
      <c r="A26" s="37"/>
      <c r="B26" s="58"/>
      <c r="C26" s="45">
        <f t="shared" si="0"/>
        <v>0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5">
      <c r="A27" s="37"/>
      <c r="B27" s="58"/>
      <c r="C27" s="45">
        <f t="shared" si="0"/>
        <v>0</v>
      </c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5">
      <c r="A28" s="37"/>
      <c r="B28" s="58"/>
      <c r="C28" s="45">
        <f t="shared" si="0"/>
        <v>0</v>
      </c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5">
      <c r="A29" s="37"/>
      <c r="B29" s="58"/>
      <c r="C29" s="45">
        <f t="shared" si="0"/>
        <v>0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5">
      <c r="A30" s="37"/>
      <c r="B30" s="58"/>
      <c r="C30" s="45">
        <f t="shared" si="0"/>
        <v>0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5">
      <c r="A31" s="37"/>
      <c r="B31" s="58"/>
      <c r="C31" s="45">
        <f t="shared" si="0"/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5">
      <c r="A32" s="37"/>
      <c r="B32" s="58"/>
      <c r="C32" s="45">
        <f t="shared" si="0"/>
        <v>0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5">
      <c r="A33" s="37"/>
      <c r="B33" s="58"/>
      <c r="C33" s="45">
        <f t="shared" si="0"/>
        <v>0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5">
      <c r="A34" s="37"/>
      <c r="B34" s="58"/>
      <c r="C34" s="45">
        <f t="shared" si="0"/>
        <v>0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5">
      <c r="A35" s="37"/>
      <c r="B35" s="58"/>
      <c r="C35" s="45">
        <f t="shared" si="0"/>
        <v>0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5">
      <c r="A36" s="37"/>
      <c r="B36" s="58"/>
      <c r="C36" s="45">
        <f t="shared" ref="C36:C67" si="2">SUM(D36:L36)</f>
        <v>0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5">
      <c r="A37" s="37"/>
      <c r="B37" s="58"/>
      <c r="C37" s="45">
        <f t="shared" si="2"/>
        <v>0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5">
      <c r="A38" s="37"/>
      <c r="B38" s="58"/>
      <c r="C38" s="45">
        <f t="shared" si="2"/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5">
      <c r="A39" s="37"/>
      <c r="B39" s="58"/>
      <c r="C39" s="45">
        <f t="shared" si="2"/>
        <v>0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5">
      <c r="A40" s="37"/>
      <c r="B40" s="58"/>
      <c r="C40" s="45">
        <f t="shared" si="2"/>
        <v>0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5">
      <c r="A41" s="37"/>
      <c r="B41" s="58"/>
      <c r="C41" s="45">
        <f t="shared" si="2"/>
        <v>0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5">
      <c r="A42" s="37"/>
      <c r="B42" s="58"/>
      <c r="C42" s="45">
        <f t="shared" si="2"/>
        <v>0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5">
      <c r="A43" s="37"/>
      <c r="B43" s="58"/>
      <c r="C43" s="45">
        <f t="shared" si="2"/>
        <v>0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5">
      <c r="A44" s="37"/>
      <c r="B44" s="58"/>
      <c r="C44" s="45">
        <f t="shared" si="2"/>
        <v>0</v>
      </c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5">
      <c r="A45" s="37"/>
      <c r="B45" s="58"/>
      <c r="C45" s="45">
        <f t="shared" si="2"/>
        <v>0</v>
      </c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5">
      <c r="A46" s="37"/>
      <c r="B46" s="58"/>
      <c r="C46" s="45">
        <f t="shared" si="2"/>
        <v>0</v>
      </c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5">
      <c r="A47" s="37"/>
      <c r="B47" s="58"/>
      <c r="C47" s="45">
        <f t="shared" si="2"/>
        <v>0</v>
      </c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5">
      <c r="A48" s="37"/>
      <c r="B48" s="58"/>
      <c r="C48" s="45">
        <f t="shared" si="2"/>
        <v>0</v>
      </c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5">
      <c r="A49" s="37"/>
      <c r="B49" s="58"/>
      <c r="C49" s="45">
        <f t="shared" si="2"/>
        <v>0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5">
      <c r="A50" s="37"/>
      <c r="B50" s="58"/>
      <c r="C50" s="45">
        <f t="shared" si="2"/>
        <v>0</v>
      </c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5">
      <c r="A51" s="37"/>
      <c r="B51" s="58"/>
      <c r="C51" s="45">
        <f t="shared" si="2"/>
        <v>0</v>
      </c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5">
      <c r="A52" s="37"/>
      <c r="B52" s="58"/>
      <c r="C52" s="45">
        <f t="shared" si="2"/>
        <v>0</v>
      </c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5">
      <c r="A53" s="37"/>
      <c r="B53" s="58"/>
      <c r="C53" s="45">
        <f t="shared" si="2"/>
        <v>0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5">
      <c r="A54" s="37"/>
      <c r="B54" s="58"/>
      <c r="C54" s="45">
        <f t="shared" si="2"/>
        <v>0</v>
      </c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5">
      <c r="A55" s="37"/>
      <c r="B55" s="58"/>
      <c r="C55" s="45">
        <f t="shared" si="2"/>
        <v>0</v>
      </c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5">
      <c r="A56" s="37"/>
      <c r="B56" s="58"/>
      <c r="C56" s="45">
        <f t="shared" si="2"/>
        <v>0</v>
      </c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5">
      <c r="A57" s="37"/>
      <c r="B57" s="58"/>
      <c r="C57" s="45">
        <f t="shared" si="2"/>
        <v>0</v>
      </c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5">
      <c r="A58" s="37"/>
      <c r="B58" s="58"/>
      <c r="C58" s="45">
        <f t="shared" si="2"/>
        <v>0</v>
      </c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5">
      <c r="A59" s="37"/>
      <c r="B59" s="58"/>
      <c r="C59" s="45">
        <f t="shared" si="2"/>
        <v>0</v>
      </c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5">
      <c r="A60" s="37"/>
      <c r="B60" s="58"/>
      <c r="C60" s="45">
        <f t="shared" si="2"/>
        <v>0</v>
      </c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5">
      <c r="A61" s="37"/>
      <c r="B61" s="58"/>
      <c r="C61" s="45">
        <f t="shared" si="2"/>
        <v>0</v>
      </c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5">
      <c r="A62" s="37"/>
      <c r="B62" s="58"/>
      <c r="C62" s="45">
        <f t="shared" si="2"/>
        <v>0</v>
      </c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5">
      <c r="A63" s="37"/>
      <c r="B63" s="58"/>
      <c r="C63" s="45">
        <f t="shared" si="2"/>
        <v>0</v>
      </c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5">
      <c r="A64" s="37"/>
      <c r="B64" s="58"/>
      <c r="C64" s="45">
        <f t="shared" si="2"/>
        <v>0</v>
      </c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5">
      <c r="A65" s="37"/>
      <c r="B65" s="58"/>
      <c r="C65" s="45">
        <f t="shared" si="2"/>
        <v>0</v>
      </c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5">
      <c r="A66" s="37"/>
      <c r="B66" s="58"/>
      <c r="C66" s="45">
        <f t="shared" si="2"/>
        <v>0</v>
      </c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5">
      <c r="A67" s="37"/>
      <c r="B67" s="58"/>
      <c r="C67" s="45">
        <f t="shared" si="2"/>
        <v>0</v>
      </c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5">
      <c r="A68" s="37"/>
      <c r="B68" s="58"/>
      <c r="C68" s="45">
        <f t="shared" ref="C68:C69" si="3">SUM(D68:L68)</f>
        <v>0</v>
      </c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5">
      <c r="A69" s="37"/>
      <c r="B69" s="109"/>
      <c r="C69" s="45">
        <f t="shared" si="3"/>
        <v>0</v>
      </c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5">
      <c r="A70" s="5"/>
      <c r="B70" s="107"/>
      <c r="C70" s="5"/>
      <c r="D70" s="107"/>
      <c r="E70" s="107"/>
      <c r="F70" s="107"/>
      <c r="G70" s="107"/>
      <c r="H70" s="107"/>
      <c r="I70" s="107"/>
      <c r="J70" s="107"/>
      <c r="K70" s="107"/>
      <c r="L70" s="107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5">
      <c r="A71" s="5"/>
      <c r="B71" s="107"/>
      <c r="C71" s="5"/>
      <c r="D71" s="107"/>
      <c r="E71" s="107"/>
      <c r="F71" s="107"/>
      <c r="G71" s="107"/>
      <c r="H71" s="107"/>
      <c r="I71" s="107"/>
      <c r="J71" s="107"/>
      <c r="K71" s="107"/>
      <c r="L71" s="107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5">
      <c r="A72" s="5"/>
      <c r="B72" s="107"/>
      <c r="C72" s="5"/>
      <c r="D72" s="107"/>
      <c r="E72" s="107"/>
      <c r="F72" s="107"/>
      <c r="G72" s="107"/>
      <c r="H72" s="107"/>
      <c r="I72" s="107"/>
      <c r="J72" s="107"/>
      <c r="K72" s="107"/>
      <c r="L72" s="107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5">
      <c r="A73" s="5"/>
      <c r="B73" s="107"/>
      <c r="C73" s="5"/>
      <c r="D73" s="107"/>
      <c r="E73" s="107"/>
      <c r="F73" s="107"/>
      <c r="G73" s="107"/>
      <c r="H73" s="107"/>
      <c r="I73" s="107"/>
      <c r="J73" s="107"/>
      <c r="K73" s="107"/>
      <c r="L73" s="107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5">
      <c r="A74" s="5"/>
      <c r="B74" s="107"/>
      <c r="C74" s="5"/>
      <c r="D74" s="107"/>
      <c r="E74" s="107"/>
      <c r="F74" s="107"/>
      <c r="G74" s="107"/>
      <c r="H74" s="107"/>
      <c r="I74" s="107"/>
      <c r="J74" s="107"/>
      <c r="K74" s="107"/>
      <c r="L74" s="107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5">
      <c r="A75" s="5"/>
      <c r="B75" s="107"/>
      <c r="C75" s="5"/>
      <c r="D75" s="107"/>
      <c r="E75" s="107"/>
      <c r="F75" s="107"/>
      <c r="G75" s="107"/>
      <c r="H75" s="107"/>
      <c r="I75" s="107"/>
      <c r="J75" s="107"/>
      <c r="K75" s="107"/>
      <c r="L75" s="107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5">
      <c r="A76" s="5"/>
      <c r="B76" s="107"/>
      <c r="C76" s="5"/>
      <c r="D76" s="107"/>
      <c r="E76" s="107"/>
      <c r="F76" s="107"/>
      <c r="G76" s="107"/>
      <c r="H76" s="107"/>
      <c r="I76" s="107"/>
      <c r="J76" s="107"/>
      <c r="K76" s="107"/>
      <c r="L76" s="107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5">
      <c r="A77" s="5"/>
      <c r="B77" s="107"/>
      <c r="C77" s="5"/>
      <c r="D77" s="107"/>
      <c r="E77" s="107"/>
      <c r="F77" s="107"/>
      <c r="G77" s="107"/>
      <c r="H77" s="107"/>
      <c r="I77" s="107"/>
      <c r="J77" s="107"/>
      <c r="K77" s="107"/>
      <c r="L77" s="107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5">
      <c r="A78" s="5"/>
      <c r="B78" s="107"/>
      <c r="C78" s="5"/>
      <c r="D78" s="107"/>
      <c r="E78" s="107"/>
      <c r="F78" s="107"/>
      <c r="G78" s="107"/>
      <c r="H78" s="107"/>
      <c r="I78" s="107"/>
      <c r="J78" s="107"/>
      <c r="K78" s="107"/>
      <c r="L78" s="107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5">
      <c r="A79" s="5"/>
      <c r="B79" s="107"/>
      <c r="C79" s="5"/>
      <c r="D79" s="107"/>
      <c r="E79" s="107"/>
      <c r="F79" s="107"/>
      <c r="G79" s="107"/>
      <c r="H79" s="107"/>
      <c r="I79" s="107"/>
      <c r="J79" s="107"/>
      <c r="K79" s="107"/>
      <c r="L79" s="107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5">
      <c r="A80" s="5"/>
      <c r="B80" s="107"/>
      <c r="C80" s="5"/>
      <c r="D80" s="107"/>
      <c r="E80" s="107"/>
      <c r="F80" s="107"/>
      <c r="G80" s="107"/>
      <c r="H80" s="107"/>
      <c r="I80" s="107"/>
      <c r="J80" s="107"/>
      <c r="K80" s="107"/>
      <c r="L80" s="107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5">
      <c r="A81" s="5"/>
      <c r="B81" s="107"/>
      <c r="C81" s="5"/>
      <c r="D81" s="107"/>
      <c r="E81" s="107"/>
      <c r="F81" s="107"/>
      <c r="G81" s="107"/>
      <c r="H81" s="107"/>
      <c r="I81" s="107"/>
      <c r="J81" s="107"/>
      <c r="K81" s="107"/>
      <c r="L81" s="107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5">
      <c r="A82" s="5"/>
      <c r="B82" s="107"/>
      <c r="C82" s="5"/>
      <c r="D82" s="107"/>
      <c r="E82" s="107"/>
      <c r="F82" s="107"/>
      <c r="G82" s="107"/>
      <c r="H82" s="107"/>
      <c r="I82" s="107"/>
      <c r="J82" s="107"/>
      <c r="K82" s="107"/>
      <c r="L82" s="107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5">
      <c r="A83" s="5"/>
      <c r="B83" s="107"/>
      <c r="C83" s="5"/>
      <c r="D83" s="107"/>
      <c r="E83" s="107"/>
      <c r="F83" s="107"/>
      <c r="G83" s="107"/>
      <c r="H83" s="107"/>
      <c r="I83" s="107"/>
      <c r="J83" s="107"/>
      <c r="K83" s="107"/>
      <c r="L83" s="107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5">
      <c r="A84" s="5"/>
      <c r="B84" s="107"/>
      <c r="C84" s="5"/>
      <c r="D84" s="107"/>
      <c r="E84" s="107"/>
      <c r="F84" s="107"/>
      <c r="G84" s="107"/>
      <c r="H84" s="107"/>
      <c r="I84" s="107"/>
      <c r="J84" s="107"/>
      <c r="K84" s="107"/>
      <c r="L84" s="107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5">
      <c r="A85" s="5"/>
      <c r="B85" s="107"/>
      <c r="C85" s="5"/>
      <c r="D85" s="107"/>
      <c r="E85" s="107"/>
      <c r="F85" s="107"/>
      <c r="G85" s="107"/>
      <c r="H85" s="107"/>
      <c r="I85" s="107"/>
      <c r="J85" s="107"/>
      <c r="K85" s="107"/>
      <c r="L85" s="107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5">
      <c r="A86" s="5"/>
      <c r="B86" s="107"/>
      <c r="C86" s="5"/>
      <c r="D86" s="107"/>
      <c r="E86" s="107"/>
      <c r="F86" s="107"/>
      <c r="G86" s="107"/>
      <c r="H86" s="107"/>
      <c r="I86" s="107"/>
      <c r="J86" s="107"/>
      <c r="K86" s="107"/>
      <c r="L86" s="107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5">
      <c r="A87" s="5"/>
      <c r="B87" s="107"/>
      <c r="C87" s="5"/>
      <c r="D87" s="107"/>
      <c r="E87" s="107"/>
      <c r="F87" s="107"/>
      <c r="G87" s="107"/>
      <c r="H87" s="107"/>
      <c r="I87" s="107"/>
      <c r="J87" s="107"/>
      <c r="K87" s="107"/>
      <c r="L87" s="107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5">
      <c r="A88" s="5"/>
      <c r="B88" s="107"/>
      <c r="C88" s="5"/>
      <c r="D88" s="107"/>
      <c r="E88" s="107"/>
      <c r="F88" s="107"/>
      <c r="G88" s="107"/>
      <c r="H88" s="107"/>
      <c r="I88" s="107"/>
      <c r="J88" s="107"/>
      <c r="K88" s="107"/>
      <c r="L88" s="107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5">
      <c r="A89" s="5"/>
      <c r="B89" s="107"/>
      <c r="C89" s="5"/>
      <c r="D89" s="107"/>
      <c r="E89" s="107"/>
      <c r="F89" s="107"/>
      <c r="G89" s="107"/>
      <c r="H89" s="107"/>
      <c r="I89" s="107"/>
      <c r="J89" s="107"/>
      <c r="K89" s="107"/>
      <c r="L89" s="107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5">
      <c r="A90" s="5"/>
      <c r="B90" s="107"/>
      <c r="C90" s="5"/>
      <c r="D90" s="107"/>
      <c r="E90" s="107"/>
      <c r="F90" s="107"/>
      <c r="G90" s="107"/>
      <c r="H90" s="107"/>
      <c r="I90" s="107"/>
      <c r="J90" s="107"/>
      <c r="K90" s="107"/>
      <c r="L90" s="107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5">
      <c r="A91" s="5"/>
      <c r="B91" s="107"/>
      <c r="C91" s="5"/>
      <c r="D91" s="107"/>
      <c r="E91" s="107"/>
      <c r="F91" s="107"/>
      <c r="G91" s="107"/>
      <c r="H91" s="107"/>
      <c r="I91" s="107"/>
      <c r="J91" s="107"/>
      <c r="K91" s="107"/>
      <c r="L91" s="107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5">
      <c r="A92" s="5"/>
      <c r="B92" s="107"/>
      <c r="C92" s="5"/>
      <c r="D92" s="107"/>
      <c r="E92" s="107"/>
      <c r="F92" s="107"/>
      <c r="G92" s="107"/>
      <c r="H92" s="107"/>
      <c r="I92" s="107"/>
      <c r="J92" s="107"/>
      <c r="K92" s="107"/>
      <c r="L92" s="107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5">
      <c r="A93" s="5"/>
      <c r="B93" s="107"/>
      <c r="C93" s="5"/>
      <c r="D93" s="107"/>
      <c r="E93" s="107"/>
      <c r="F93" s="107"/>
      <c r="G93" s="107"/>
      <c r="H93" s="107"/>
      <c r="I93" s="107"/>
      <c r="J93" s="107"/>
      <c r="K93" s="107"/>
      <c r="L93" s="107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5">
      <c r="A94" s="5"/>
      <c r="B94" s="107"/>
      <c r="C94" s="5"/>
      <c r="D94" s="107"/>
      <c r="E94" s="107"/>
      <c r="F94" s="107"/>
      <c r="G94" s="107"/>
      <c r="H94" s="107"/>
      <c r="I94" s="107"/>
      <c r="J94" s="107"/>
      <c r="K94" s="107"/>
      <c r="L94" s="107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5">
      <c r="A95" s="5"/>
      <c r="B95" s="107"/>
      <c r="C95" s="5"/>
      <c r="D95" s="107"/>
      <c r="E95" s="107"/>
      <c r="F95" s="107"/>
      <c r="G95" s="107"/>
      <c r="H95" s="107"/>
      <c r="I95" s="107"/>
      <c r="J95" s="107"/>
      <c r="K95" s="107"/>
      <c r="L95" s="107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5">
      <c r="A96" s="5"/>
      <c r="B96" s="107"/>
      <c r="C96" s="5"/>
      <c r="D96" s="107"/>
      <c r="E96" s="107"/>
      <c r="F96" s="107"/>
      <c r="G96" s="107"/>
      <c r="H96" s="107"/>
      <c r="I96" s="107"/>
      <c r="J96" s="107"/>
      <c r="K96" s="107"/>
      <c r="L96" s="107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5">
      <c r="A97" s="5"/>
      <c r="B97" s="107"/>
      <c r="C97" s="5"/>
      <c r="D97" s="107"/>
      <c r="E97" s="107"/>
      <c r="F97" s="107"/>
      <c r="G97" s="107"/>
      <c r="H97" s="107"/>
      <c r="I97" s="107"/>
      <c r="J97" s="107"/>
      <c r="K97" s="107"/>
      <c r="L97" s="107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5">
      <c r="A98" s="5"/>
      <c r="B98" s="107"/>
      <c r="C98" s="5"/>
      <c r="D98" s="107"/>
      <c r="E98" s="107"/>
      <c r="F98" s="107"/>
      <c r="G98" s="107"/>
      <c r="H98" s="107"/>
      <c r="I98" s="107"/>
      <c r="J98" s="107"/>
      <c r="K98" s="107"/>
      <c r="L98" s="107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5">
      <c r="A99" s="5"/>
      <c r="B99" s="107"/>
      <c r="C99" s="5"/>
      <c r="D99" s="107"/>
      <c r="E99" s="107"/>
      <c r="F99" s="107"/>
      <c r="G99" s="107"/>
      <c r="H99" s="107"/>
      <c r="I99" s="107"/>
      <c r="J99" s="107"/>
      <c r="K99" s="107"/>
      <c r="L99" s="107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5">
      <c r="A100" s="5"/>
      <c r="B100" s="107"/>
      <c r="C100" s="5"/>
      <c r="D100" s="107"/>
      <c r="E100" s="107"/>
      <c r="F100" s="107"/>
      <c r="G100" s="107"/>
      <c r="H100" s="107"/>
      <c r="I100" s="107"/>
      <c r="J100" s="107"/>
      <c r="K100" s="107"/>
      <c r="L100" s="107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5">
      <c r="A101" s="5"/>
      <c r="B101" s="107"/>
      <c r="C101" s="5"/>
      <c r="D101" s="107"/>
      <c r="E101" s="107"/>
      <c r="F101" s="107"/>
      <c r="G101" s="107"/>
      <c r="H101" s="107"/>
      <c r="I101" s="107"/>
      <c r="J101" s="107"/>
      <c r="K101" s="107"/>
      <c r="L101" s="107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5">
      <c r="A102" s="5"/>
      <c r="B102" s="107"/>
      <c r="C102" s="5"/>
      <c r="D102" s="107"/>
      <c r="E102" s="107"/>
      <c r="F102" s="107"/>
      <c r="G102" s="107"/>
      <c r="H102" s="107"/>
      <c r="I102" s="107"/>
      <c r="J102" s="107"/>
      <c r="K102" s="107"/>
      <c r="L102" s="107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5">
      <c r="A103" s="5"/>
      <c r="B103" s="107"/>
      <c r="C103" s="5"/>
      <c r="D103" s="107"/>
      <c r="E103" s="107"/>
      <c r="F103" s="107"/>
      <c r="G103" s="107"/>
      <c r="H103" s="107"/>
      <c r="I103" s="107"/>
      <c r="J103" s="107"/>
      <c r="K103" s="107"/>
      <c r="L103" s="107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5">
      <c r="A104" s="5"/>
      <c r="B104" s="107"/>
      <c r="C104" s="5"/>
      <c r="D104" s="107"/>
      <c r="E104" s="107"/>
      <c r="F104" s="107"/>
      <c r="G104" s="107"/>
      <c r="H104" s="107"/>
      <c r="I104" s="107"/>
      <c r="J104" s="107"/>
      <c r="K104" s="107"/>
      <c r="L104" s="107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5">
      <c r="A105" s="5"/>
      <c r="B105" s="107"/>
      <c r="C105" s="5"/>
      <c r="D105" s="107"/>
      <c r="E105" s="107"/>
      <c r="F105" s="107"/>
      <c r="G105" s="107"/>
      <c r="H105" s="107"/>
      <c r="I105" s="107"/>
      <c r="J105" s="107"/>
      <c r="K105" s="107"/>
      <c r="L105" s="107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5">
      <c r="A106" s="5"/>
      <c r="B106" s="107"/>
      <c r="C106" s="5"/>
      <c r="D106" s="107"/>
      <c r="E106" s="107"/>
      <c r="F106" s="107"/>
      <c r="G106" s="107"/>
      <c r="H106" s="107"/>
      <c r="I106" s="107"/>
      <c r="J106" s="107"/>
      <c r="K106" s="107"/>
      <c r="L106" s="107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5">
      <c r="A107" s="5"/>
      <c r="B107" s="107"/>
      <c r="C107" s="5"/>
      <c r="D107" s="107"/>
      <c r="E107" s="107"/>
      <c r="F107" s="107"/>
      <c r="G107" s="107"/>
      <c r="H107" s="107"/>
      <c r="I107" s="107"/>
      <c r="J107" s="107"/>
      <c r="K107" s="107"/>
      <c r="L107" s="107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5">
      <c r="A108" s="5"/>
      <c r="B108" s="107"/>
      <c r="C108" s="5"/>
      <c r="D108" s="107"/>
      <c r="E108" s="107"/>
      <c r="F108" s="107"/>
      <c r="G108" s="107"/>
      <c r="H108" s="107"/>
      <c r="I108" s="107"/>
      <c r="J108" s="107"/>
      <c r="K108" s="107"/>
      <c r="L108" s="107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5">
      <c r="A109" s="5"/>
      <c r="B109" s="107"/>
      <c r="C109" s="5"/>
      <c r="D109" s="107"/>
      <c r="E109" s="107"/>
      <c r="F109" s="107"/>
      <c r="G109" s="107"/>
      <c r="H109" s="107"/>
      <c r="I109" s="107"/>
      <c r="J109" s="107"/>
      <c r="K109" s="107"/>
      <c r="L109" s="107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5">
      <c r="A110" s="5"/>
      <c r="B110" s="107"/>
      <c r="C110" s="5"/>
      <c r="D110" s="107"/>
      <c r="E110" s="107"/>
      <c r="F110" s="107"/>
      <c r="G110" s="107"/>
      <c r="H110" s="107"/>
      <c r="I110" s="107"/>
      <c r="J110" s="107"/>
      <c r="K110" s="107"/>
      <c r="L110" s="107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5">
      <c r="A111" s="5"/>
      <c r="B111" s="107"/>
      <c r="C111" s="5"/>
      <c r="D111" s="107"/>
      <c r="E111" s="107"/>
      <c r="F111" s="107"/>
      <c r="G111" s="107"/>
      <c r="H111" s="107"/>
      <c r="I111" s="107"/>
      <c r="J111" s="107"/>
      <c r="K111" s="107"/>
      <c r="L111" s="107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5">
      <c r="A112" s="5"/>
      <c r="B112" s="107"/>
      <c r="C112" s="5"/>
      <c r="D112" s="107"/>
      <c r="E112" s="107"/>
      <c r="F112" s="107"/>
      <c r="G112" s="107"/>
      <c r="H112" s="107"/>
      <c r="I112" s="107"/>
      <c r="J112" s="107"/>
      <c r="K112" s="107"/>
      <c r="L112" s="107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5">
      <c r="A113" s="5"/>
      <c r="B113" s="107"/>
      <c r="C113" s="5"/>
      <c r="D113" s="107"/>
      <c r="E113" s="107"/>
      <c r="F113" s="107"/>
      <c r="G113" s="107"/>
      <c r="H113" s="107"/>
      <c r="I113" s="107"/>
      <c r="J113" s="107"/>
      <c r="K113" s="107"/>
      <c r="L113" s="107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5">
      <c r="A114" s="5"/>
      <c r="B114" s="107"/>
      <c r="C114" s="5"/>
      <c r="D114" s="107"/>
      <c r="E114" s="107"/>
      <c r="F114" s="107"/>
      <c r="G114" s="107"/>
      <c r="H114" s="107"/>
      <c r="I114" s="107"/>
      <c r="J114" s="107"/>
      <c r="K114" s="107"/>
      <c r="L114" s="107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5">
      <c r="A115" s="5"/>
      <c r="B115" s="107"/>
      <c r="C115" s="5"/>
      <c r="D115" s="107"/>
      <c r="E115" s="107"/>
      <c r="F115" s="107"/>
      <c r="G115" s="107"/>
      <c r="H115" s="107"/>
      <c r="I115" s="107"/>
      <c r="J115" s="107"/>
      <c r="K115" s="107"/>
      <c r="L115" s="107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5">
      <c r="A116" s="5"/>
      <c r="B116" s="107"/>
      <c r="C116" s="5"/>
      <c r="D116" s="107"/>
      <c r="E116" s="107"/>
      <c r="F116" s="107"/>
      <c r="G116" s="107"/>
      <c r="H116" s="107"/>
      <c r="I116" s="107"/>
      <c r="J116" s="107"/>
      <c r="K116" s="107"/>
      <c r="L116" s="107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5">
      <c r="A117" s="5"/>
      <c r="B117" s="107"/>
      <c r="C117" s="5"/>
      <c r="D117" s="107"/>
      <c r="E117" s="107"/>
      <c r="F117" s="107"/>
      <c r="G117" s="107"/>
      <c r="H117" s="107"/>
      <c r="I117" s="107"/>
      <c r="J117" s="107"/>
      <c r="K117" s="107"/>
      <c r="L117" s="107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5">
      <c r="A118" s="5"/>
      <c r="B118" s="107"/>
      <c r="C118" s="5"/>
      <c r="D118" s="107"/>
      <c r="E118" s="107"/>
      <c r="F118" s="107"/>
      <c r="G118" s="107"/>
      <c r="H118" s="107"/>
      <c r="I118" s="107"/>
      <c r="J118" s="107"/>
      <c r="K118" s="107"/>
      <c r="L118" s="107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5">
      <c r="A119" s="5"/>
      <c r="B119" s="107"/>
      <c r="C119" s="5"/>
      <c r="D119" s="107"/>
      <c r="E119" s="107"/>
      <c r="F119" s="107"/>
      <c r="G119" s="107"/>
      <c r="H119" s="107"/>
      <c r="I119" s="107"/>
      <c r="J119" s="107"/>
      <c r="K119" s="107"/>
      <c r="L119" s="107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5">
      <c r="A120" s="5"/>
      <c r="B120" s="107"/>
      <c r="C120" s="5"/>
      <c r="D120" s="107"/>
      <c r="E120" s="107"/>
      <c r="F120" s="107"/>
      <c r="G120" s="107"/>
      <c r="H120" s="107"/>
      <c r="I120" s="107"/>
      <c r="J120" s="107"/>
      <c r="K120" s="107"/>
      <c r="L120" s="107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5">
      <c r="A121" s="5"/>
      <c r="B121" s="107"/>
      <c r="C121" s="5"/>
      <c r="D121" s="107"/>
      <c r="E121" s="107"/>
      <c r="F121" s="107"/>
      <c r="G121" s="107"/>
      <c r="H121" s="107"/>
      <c r="I121" s="107"/>
      <c r="J121" s="107"/>
      <c r="K121" s="107"/>
      <c r="L121" s="107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5">
      <c r="A122" s="5"/>
      <c r="B122" s="107"/>
      <c r="C122" s="5"/>
      <c r="D122" s="107"/>
      <c r="E122" s="107"/>
      <c r="F122" s="107"/>
      <c r="G122" s="107"/>
      <c r="H122" s="107"/>
      <c r="I122" s="107"/>
      <c r="J122" s="107"/>
      <c r="K122" s="107"/>
      <c r="L122" s="107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5">
      <c r="A123" s="5"/>
      <c r="B123" s="107"/>
      <c r="C123" s="5"/>
      <c r="D123" s="107"/>
      <c r="E123" s="107"/>
      <c r="F123" s="107"/>
      <c r="G123" s="107"/>
      <c r="H123" s="107"/>
      <c r="I123" s="107"/>
      <c r="J123" s="107"/>
      <c r="K123" s="107"/>
      <c r="L123" s="107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5">
      <c r="A124" s="5"/>
      <c r="B124" s="107"/>
      <c r="C124" s="5"/>
      <c r="D124" s="107"/>
      <c r="E124" s="107"/>
      <c r="F124" s="107"/>
      <c r="G124" s="107"/>
      <c r="H124" s="107"/>
      <c r="I124" s="107"/>
      <c r="J124" s="107"/>
      <c r="K124" s="107"/>
      <c r="L124" s="107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5">
      <c r="A125" s="5"/>
      <c r="B125" s="107"/>
      <c r="C125" s="5"/>
      <c r="D125" s="107"/>
      <c r="E125" s="107"/>
      <c r="F125" s="107"/>
      <c r="G125" s="107"/>
      <c r="H125" s="107"/>
      <c r="I125" s="107"/>
      <c r="J125" s="107"/>
      <c r="K125" s="107"/>
      <c r="L125" s="107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5">
      <c r="A126" s="5"/>
      <c r="B126" s="107"/>
      <c r="C126" s="5"/>
      <c r="D126" s="107"/>
      <c r="E126" s="107"/>
      <c r="F126" s="107"/>
      <c r="G126" s="107"/>
      <c r="H126" s="107"/>
      <c r="I126" s="107"/>
      <c r="J126" s="107"/>
      <c r="K126" s="107"/>
      <c r="L126" s="107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5">
      <c r="A127" s="5"/>
      <c r="B127" s="107"/>
      <c r="C127" s="5"/>
      <c r="D127" s="107"/>
      <c r="E127" s="107"/>
      <c r="F127" s="107"/>
      <c r="G127" s="107"/>
      <c r="H127" s="107"/>
      <c r="I127" s="107"/>
      <c r="J127" s="107"/>
      <c r="K127" s="107"/>
      <c r="L127" s="107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5">
      <c r="A128" s="5"/>
      <c r="B128" s="107"/>
      <c r="C128" s="5"/>
      <c r="D128" s="107"/>
      <c r="E128" s="107"/>
      <c r="F128" s="107"/>
      <c r="G128" s="107"/>
      <c r="H128" s="107"/>
      <c r="I128" s="107"/>
      <c r="J128" s="107"/>
      <c r="K128" s="107"/>
      <c r="L128" s="107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5">
      <c r="A129" s="5"/>
      <c r="B129" s="107"/>
      <c r="C129" s="5"/>
      <c r="D129" s="107"/>
      <c r="E129" s="107"/>
      <c r="F129" s="107"/>
      <c r="G129" s="107"/>
      <c r="H129" s="107"/>
      <c r="I129" s="107"/>
      <c r="J129" s="107"/>
      <c r="K129" s="107"/>
      <c r="L129" s="107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5">
      <c r="A130" s="5"/>
      <c r="B130" s="107"/>
      <c r="C130" s="5"/>
      <c r="D130" s="107"/>
      <c r="E130" s="107"/>
      <c r="F130" s="107"/>
      <c r="G130" s="107"/>
      <c r="H130" s="107"/>
      <c r="I130" s="107"/>
      <c r="J130" s="107"/>
      <c r="K130" s="107"/>
      <c r="L130" s="107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5">
      <c r="A131" s="5"/>
      <c r="B131" s="107"/>
      <c r="C131" s="5"/>
      <c r="D131" s="107"/>
      <c r="E131" s="107"/>
      <c r="F131" s="107"/>
      <c r="G131" s="107"/>
      <c r="H131" s="107"/>
      <c r="I131" s="107"/>
      <c r="J131" s="107"/>
      <c r="K131" s="107"/>
      <c r="L131" s="107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5">
      <c r="A132" s="5"/>
      <c r="B132" s="107"/>
      <c r="C132" s="5"/>
      <c r="D132" s="107"/>
      <c r="E132" s="107"/>
      <c r="F132" s="107"/>
      <c r="G132" s="107"/>
      <c r="H132" s="107"/>
      <c r="I132" s="107"/>
      <c r="J132" s="107"/>
      <c r="K132" s="107"/>
      <c r="L132" s="107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5">
      <c r="A133" s="5"/>
      <c r="B133" s="107"/>
      <c r="C133" s="5"/>
      <c r="D133" s="107"/>
      <c r="E133" s="107"/>
      <c r="F133" s="107"/>
      <c r="G133" s="107"/>
      <c r="H133" s="107"/>
      <c r="I133" s="107"/>
      <c r="J133" s="107"/>
      <c r="K133" s="107"/>
      <c r="L133" s="107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5">
      <c r="A134" s="5"/>
      <c r="B134" s="107"/>
      <c r="C134" s="5"/>
      <c r="D134" s="107"/>
      <c r="E134" s="107"/>
      <c r="F134" s="107"/>
      <c r="G134" s="107"/>
      <c r="H134" s="107"/>
      <c r="I134" s="107"/>
      <c r="J134" s="107"/>
      <c r="K134" s="107"/>
      <c r="L134" s="107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5">
      <c r="A135" s="5"/>
      <c r="B135" s="107"/>
      <c r="C135" s="5"/>
      <c r="D135" s="107"/>
      <c r="E135" s="107"/>
      <c r="F135" s="107"/>
      <c r="G135" s="107"/>
      <c r="H135" s="107"/>
      <c r="I135" s="107"/>
      <c r="J135" s="107"/>
      <c r="K135" s="107"/>
      <c r="L135" s="107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5">
      <c r="A136" s="5"/>
      <c r="B136" s="107"/>
      <c r="C136" s="5"/>
      <c r="D136" s="107"/>
      <c r="E136" s="107"/>
      <c r="F136" s="107"/>
      <c r="G136" s="107"/>
      <c r="H136" s="107"/>
      <c r="I136" s="107"/>
      <c r="J136" s="107"/>
      <c r="K136" s="107"/>
      <c r="L136" s="107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5">
      <c r="A137" s="5"/>
      <c r="B137" s="107"/>
      <c r="C137" s="5"/>
      <c r="D137" s="107"/>
      <c r="E137" s="107"/>
      <c r="F137" s="107"/>
      <c r="G137" s="107"/>
      <c r="H137" s="107"/>
      <c r="I137" s="107"/>
      <c r="J137" s="107"/>
      <c r="K137" s="107"/>
      <c r="L137" s="107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5">
      <c r="A138" s="5"/>
      <c r="B138" s="107"/>
      <c r="C138" s="5"/>
      <c r="D138" s="107"/>
      <c r="E138" s="107"/>
      <c r="F138" s="107"/>
      <c r="G138" s="107"/>
      <c r="H138" s="107"/>
      <c r="I138" s="107"/>
      <c r="J138" s="107"/>
      <c r="K138" s="107"/>
      <c r="L138" s="107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5">
      <c r="A139" s="5"/>
      <c r="B139" s="107"/>
      <c r="C139" s="5"/>
      <c r="D139" s="107"/>
      <c r="E139" s="107"/>
      <c r="F139" s="107"/>
      <c r="G139" s="107"/>
      <c r="H139" s="107"/>
      <c r="I139" s="107"/>
      <c r="J139" s="107"/>
      <c r="K139" s="107"/>
      <c r="L139" s="107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5">
      <c r="A140" s="5"/>
      <c r="B140" s="107"/>
      <c r="C140" s="5"/>
      <c r="D140" s="107"/>
      <c r="E140" s="107"/>
      <c r="F140" s="107"/>
      <c r="G140" s="107"/>
      <c r="H140" s="107"/>
      <c r="I140" s="107"/>
      <c r="J140" s="107"/>
      <c r="K140" s="107"/>
      <c r="L140" s="107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5">
      <c r="A141" s="5"/>
      <c r="B141" s="107"/>
      <c r="C141" s="5"/>
      <c r="D141" s="107"/>
      <c r="E141" s="107"/>
      <c r="F141" s="107"/>
      <c r="G141" s="107"/>
      <c r="H141" s="107"/>
      <c r="I141" s="107"/>
      <c r="J141" s="107"/>
      <c r="K141" s="107"/>
      <c r="L141" s="107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5">
      <c r="A142" s="5"/>
      <c r="B142" s="107"/>
      <c r="C142" s="5"/>
      <c r="D142" s="107"/>
      <c r="E142" s="107"/>
      <c r="F142" s="107"/>
      <c r="G142" s="107"/>
      <c r="H142" s="107"/>
      <c r="I142" s="107"/>
      <c r="J142" s="107"/>
      <c r="K142" s="107"/>
      <c r="L142" s="107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5">
      <c r="A143" s="5"/>
      <c r="B143" s="107"/>
      <c r="C143" s="5"/>
      <c r="D143" s="107"/>
      <c r="E143" s="107"/>
      <c r="F143" s="107"/>
      <c r="G143" s="107"/>
      <c r="H143" s="107"/>
      <c r="I143" s="107"/>
      <c r="J143" s="107"/>
      <c r="K143" s="107"/>
      <c r="L143" s="107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5">
      <c r="A144" s="5"/>
      <c r="B144" s="107"/>
      <c r="C144" s="5"/>
      <c r="D144" s="107"/>
      <c r="E144" s="107"/>
      <c r="F144" s="107"/>
      <c r="G144" s="107"/>
      <c r="H144" s="107"/>
      <c r="I144" s="107"/>
      <c r="J144" s="107"/>
      <c r="K144" s="107"/>
      <c r="L144" s="107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5">
      <c r="A145" s="5"/>
      <c r="B145" s="107"/>
      <c r="C145" s="5"/>
      <c r="D145" s="107"/>
      <c r="E145" s="107"/>
      <c r="F145" s="107"/>
      <c r="G145" s="107"/>
      <c r="H145" s="107"/>
      <c r="I145" s="107"/>
      <c r="J145" s="107"/>
      <c r="K145" s="107"/>
      <c r="L145" s="107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5">
      <c r="A146" s="5"/>
      <c r="B146" s="107"/>
      <c r="C146" s="5"/>
      <c r="D146" s="107"/>
      <c r="E146" s="107"/>
      <c r="F146" s="107"/>
      <c r="G146" s="107"/>
      <c r="H146" s="107"/>
      <c r="I146" s="107"/>
      <c r="J146" s="107"/>
      <c r="K146" s="107"/>
      <c r="L146" s="107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5">
      <c r="A147" s="5"/>
      <c r="B147" s="107"/>
      <c r="C147" s="5"/>
      <c r="D147" s="107"/>
      <c r="E147" s="107"/>
      <c r="F147" s="107"/>
      <c r="G147" s="107"/>
      <c r="H147" s="107"/>
      <c r="I147" s="107"/>
      <c r="J147" s="107"/>
      <c r="K147" s="107"/>
      <c r="L147" s="107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5">
      <c r="A148" s="5"/>
      <c r="B148" s="107"/>
      <c r="C148" s="5"/>
      <c r="D148" s="107"/>
      <c r="E148" s="107"/>
      <c r="F148" s="107"/>
      <c r="G148" s="107"/>
      <c r="H148" s="107"/>
      <c r="I148" s="107"/>
      <c r="J148" s="107"/>
      <c r="K148" s="107"/>
      <c r="L148" s="107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5">
      <c r="A149" s="5"/>
      <c r="B149" s="107"/>
      <c r="C149" s="5"/>
      <c r="D149" s="107"/>
      <c r="E149" s="107"/>
      <c r="F149" s="107"/>
      <c r="G149" s="107"/>
      <c r="H149" s="107"/>
      <c r="I149" s="107"/>
      <c r="J149" s="107"/>
      <c r="K149" s="107"/>
      <c r="L149" s="107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5">
      <c r="A150" s="5"/>
      <c r="B150" s="107"/>
      <c r="C150" s="5"/>
      <c r="D150" s="107"/>
      <c r="E150" s="107"/>
      <c r="F150" s="107"/>
      <c r="G150" s="107"/>
      <c r="H150" s="107"/>
      <c r="I150" s="107"/>
      <c r="J150" s="107"/>
      <c r="K150" s="107"/>
      <c r="L150" s="107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5">
      <c r="A151" s="5"/>
      <c r="B151" s="107"/>
      <c r="C151" s="5"/>
      <c r="D151" s="107"/>
      <c r="E151" s="107"/>
      <c r="F151" s="107"/>
      <c r="G151" s="107"/>
      <c r="H151" s="107"/>
      <c r="I151" s="107"/>
      <c r="J151" s="107"/>
      <c r="K151" s="107"/>
      <c r="L151" s="107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5">
      <c r="A152" s="5"/>
      <c r="B152" s="107"/>
      <c r="C152" s="5"/>
      <c r="D152" s="107"/>
      <c r="E152" s="107"/>
      <c r="F152" s="107"/>
      <c r="G152" s="107"/>
      <c r="H152" s="107"/>
      <c r="I152" s="107"/>
      <c r="J152" s="107"/>
      <c r="K152" s="107"/>
      <c r="L152" s="107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5">
      <c r="A153" s="5"/>
      <c r="B153" s="107"/>
      <c r="C153" s="5"/>
      <c r="D153" s="107"/>
      <c r="E153" s="107"/>
      <c r="F153" s="107"/>
      <c r="G153" s="107"/>
      <c r="H153" s="107"/>
      <c r="I153" s="107"/>
      <c r="J153" s="107"/>
      <c r="K153" s="107"/>
      <c r="L153" s="107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5">
      <c r="A154" s="5"/>
      <c r="B154" s="107"/>
      <c r="C154" s="5"/>
      <c r="D154" s="107"/>
      <c r="E154" s="107"/>
      <c r="F154" s="107"/>
      <c r="G154" s="107"/>
      <c r="H154" s="107"/>
      <c r="I154" s="107"/>
      <c r="J154" s="107"/>
      <c r="K154" s="107"/>
      <c r="L154" s="107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5">
      <c r="A155" s="5"/>
      <c r="B155" s="107"/>
      <c r="C155" s="5"/>
      <c r="D155" s="107"/>
      <c r="E155" s="107"/>
      <c r="F155" s="107"/>
      <c r="G155" s="107"/>
      <c r="H155" s="107"/>
      <c r="I155" s="107"/>
      <c r="J155" s="107"/>
      <c r="K155" s="107"/>
      <c r="L155" s="107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5">
      <c r="A156" s="5"/>
      <c r="B156" s="107"/>
      <c r="C156" s="5"/>
      <c r="D156" s="107"/>
      <c r="E156" s="107"/>
      <c r="F156" s="107"/>
      <c r="G156" s="107"/>
      <c r="H156" s="107"/>
      <c r="I156" s="107"/>
      <c r="J156" s="107"/>
      <c r="K156" s="107"/>
      <c r="L156" s="107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5">
      <c r="A157" s="5"/>
      <c r="B157" s="107"/>
      <c r="C157" s="5"/>
      <c r="D157" s="107"/>
      <c r="E157" s="107"/>
      <c r="F157" s="107"/>
      <c r="G157" s="107"/>
      <c r="H157" s="107"/>
      <c r="I157" s="107"/>
      <c r="J157" s="107"/>
      <c r="K157" s="107"/>
      <c r="L157" s="107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5">
      <c r="A158" s="5"/>
      <c r="B158" s="107"/>
      <c r="C158" s="5"/>
      <c r="D158" s="107"/>
      <c r="E158" s="107"/>
      <c r="F158" s="107"/>
      <c r="G158" s="107"/>
      <c r="H158" s="107"/>
      <c r="I158" s="107"/>
      <c r="J158" s="107"/>
      <c r="K158" s="107"/>
      <c r="L158" s="107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5">
      <c r="A159" s="5"/>
      <c r="B159" s="107"/>
      <c r="C159" s="5"/>
      <c r="D159" s="107"/>
      <c r="E159" s="107"/>
      <c r="F159" s="107"/>
      <c r="G159" s="107"/>
      <c r="H159" s="107"/>
      <c r="I159" s="107"/>
      <c r="J159" s="107"/>
      <c r="K159" s="107"/>
      <c r="L159" s="107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5">
      <c r="A160" s="5"/>
      <c r="B160" s="107"/>
      <c r="C160" s="5"/>
      <c r="D160" s="107"/>
      <c r="E160" s="107"/>
      <c r="F160" s="107"/>
      <c r="G160" s="107"/>
      <c r="H160" s="107"/>
      <c r="I160" s="107"/>
      <c r="J160" s="107"/>
      <c r="K160" s="107"/>
      <c r="L160" s="107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5">
      <c r="A161" s="5"/>
      <c r="B161" s="107"/>
      <c r="C161" s="5"/>
      <c r="D161" s="107"/>
      <c r="E161" s="107"/>
      <c r="F161" s="107"/>
      <c r="G161" s="107"/>
      <c r="H161" s="107"/>
      <c r="I161" s="107"/>
      <c r="J161" s="107"/>
      <c r="K161" s="107"/>
      <c r="L161" s="107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5">
      <c r="A162" s="5"/>
      <c r="B162" s="107"/>
      <c r="C162" s="5"/>
      <c r="D162" s="107"/>
      <c r="E162" s="107"/>
      <c r="F162" s="107"/>
      <c r="G162" s="107"/>
      <c r="H162" s="107"/>
      <c r="I162" s="107"/>
      <c r="J162" s="107"/>
      <c r="K162" s="107"/>
      <c r="L162" s="107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5">
      <c r="A163" s="5"/>
      <c r="B163" s="107"/>
      <c r="C163" s="5"/>
      <c r="D163" s="107"/>
      <c r="E163" s="107"/>
      <c r="F163" s="107"/>
      <c r="G163" s="107"/>
      <c r="H163" s="107"/>
      <c r="I163" s="107"/>
      <c r="J163" s="107"/>
      <c r="K163" s="107"/>
      <c r="L163" s="107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5">
      <c r="A164" s="5"/>
      <c r="B164" s="107"/>
      <c r="C164" s="5"/>
      <c r="D164" s="107"/>
      <c r="E164" s="107"/>
      <c r="F164" s="107"/>
      <c r="G164" s="107"/>
      <c r="H164" s="107"/>
      <c r="I164" s="107"/>
      <c r="J164" s="107"/>
      <c r="K164" s="107"/>
      <c r="L164" s="107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5">
      <c r="A165" s="5"/>
      <c r="B165" s="107"/>
      <c r="C165" s="5"/>
      <c r="D165" s="107"/>
      <c r="E165" s="107"/>
      <c r="F165" s="107"/>
      <c r="G165" s="107"/>
      <c r="H165" s="107"/>
      <c r="I165" s="107"/>
      <c r="J165" s="107"/>
      <c r="K165" s="107"/>
      <c r="L165" s="107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5">
      <c r="A166" s="5"/>
      <c r="B166" s="107"/>
      <c r="C166" s="5"/>
      <c r="D166" s="107"/>
      <c r="E166" s="107"/>
      <c r="F166" s="107"/>
      <c r="G166" s="107"/>
      <c r="H166" s="107"/>
      <c r="I166" s="107"/>
      <c r="J166" s="107"/>
      <c r="K166" s="107"/>
      <c r="L166" s="107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5">
      <c r="A167" s="5"/>
      <c r="B167" s="107"/>
      <c r="C167" s="5"/>
      <c r="D167" s="107"/>
      <c r="E167" s="107"/>
      <c r="F167" s="107"/>
      <c r="G167" s="107"/>
      <c r="H167" s="107"/>
      <c r="I167" s="107"/>
      <c r="J167" s="107"/>
      <c r="K167" s="107"/>
      <c r="L167" s="107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5">
      <c r="A168" s="5"/>
      <c r="B168" s="107"/>
      <c r="C168" s="5"/>
      <c r="D168" s="107"/>
      <c r="E168" s="107"/>
      <c r="F168" s="107"/>
      <c r="G168" s="107"/>
      <c r="H168" s="107"/>
      <c r="I168" s="107"/>
      <c r="J168" s="107"/>
      <c r="K168" s="107"/>
      <c r="L168" s="107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5">
      <c r="A169" s="5"/>
      <c r="B169" s="107"/>
      <c r="C169" s="5"/>
      <c r="D169" s="107"/>
      <c r="E169" s="107"/>
      <c r="F169" s="107"/>
      <c r="G169" s="107"/>
      <c r="H169" s="107"/>
      <c r="I169" s="107"/>
      <c r="J169" s="107"/>
      <c r="K169" s="107"/>
      <c r="L169" s="107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5">
      <c r="A170" s="5"/>
      <c r="B170" s="107"/>
      <c r="C170" s="5"/>
      <c r="D170" s="107"/>
      <c r="E170" s="107"/>
      <c r="F170" s="107"/>
      <c r="G170" s="107"/>
      <c r="H170" s="107"/>
      <c r="I170" s="107"/>
      <c r="J170" s="107"/>
      <c r="K170" s="107"/>
      <c r="L170" s="107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5">
      <c r="A171" s="5"/>
      <c r="B171" s="107"/>
      <c r="C171" s="5"/>
      <c r="D171" s="107"/>
      <c r="E171" s="107"/>
      <c r="F171" s="107"/>
      <c r="G171" s="107"/>
      <c r="H171" s="107"/>
      <c r="I171" s="107"/>
      <c r="J171" s="107"/>
      <c r="K171" s="107"/>
      <c r="L171" s="107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5">
      <c r="A172" s="5"/>
      <c r="B172" s="107"/>
      <c r="C172" s="5"/>
      <c r="D172" s="107"/>
      <c r="E172" s="107"/>
      <c r="F172" s="107"/>
      <c r="G172" s="107"/>
      <c r="H172" s="107"/>
      <c r="I172" s="107"/>
      <c r="J172" s="107"/>
      <c r="K172" s="107"/>
      <c r="L172" s="107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5">
      <c r="A173" s="5"/>
      <c r="B173" s="107"/>
      <c r="C173" s="5"/>
      <c r="D173" s="107"/>
      <c r="E173" s="107"/>
      <c r="F173" s="107"/>
      <c r="G173" s="107"/>
      <c r="H173" s="107"/>
      <c r="I173" s="107"/>
      <c r="J173" s="107"/>
      <c r="K173" s="107"/>
      <c r="L173" s="107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5">
      <c r="A174" s="5"/>
      <c r="B174" s="107"/>
      <c r="C174" s="5"/>
      <c r="D174" s="107"/>
      <c r="E174" s="107"/>
      <c r="F174" s="107"/>
      <c r="G174" s="107"/>
      <c r="H174" s="107"/>
      <c r="I174" s="107"/>
      <c r="J174" s="107"/>
      <c r="K174" s="107"/>
      <c r="L174" s="107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5">
      <c r="A175" s="5"/>
      <c r="B175" s="107"/>
      <c r="C175" s="5"/>
      <c r="D175" s="107"/>
      <c r="E175" s="107"/>
      <c r="F175" s="107"/>
      <c r="G175" s="107"/>
      <c r="H175" s="107"/>
      <c r="I175" s="107"/>
      <c r="J175" s="107"/>
      <c r="K175" s="107"/>
      <c r="L175" s="107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5">
      <c r="A176" s="5"/>
      <c r="B176" s="107"/>
      <c r="C176" s="5"/>
      <c r="D176" s="107"/>
      <c r="E176" s="107"/>
      <c r="F176" s="107"/>
      <c r="G176" s="107"/>
      <c r="H176" s="107"/>
      <c r="I176" s="107"/>
      <c r="J176" s="107"/>
      <c r="K176" s="107"/>
      <c r="L176" s="107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5">
      <c r="A177" s="5"/>
      <c r="B177" s="107"/>
      <c r="C177" s="5"/>
      <c r="D177" s="107"/>
      <c r="E177" s="107"/>
      <c r="F177" s="107"/>
      <c r="G177" s="107"/>
      <c r="H177" s="107"/>
      <c r="I177" s="107"/>
      <c r="J177" s="107"/>
      <c r="K177" s="107"/>
      <c r="L177" s="107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5">
      <c r="A178" s="5"/>
      <c r="B178" s="107"/>
      <c r="C178" s="5"/>
      <c r="D178" s="107"/>
      <c r="E178" s="107"/>
      <c r="F178" s="107"/>
      <c r="G178" s="107"/>
      <c r="H178" s="107"/>
      <c r="I178" s="107"/>
      <c r="J178" s="107"/>
      <c r="K178" s="107"/>
      <c r="L178" s="107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5">
      <c r="A179" s="5"/>
      <c r="B179" s="107"/>
      <c r="C179" s="5"/>
      <c r="D179" s="107"/>
      <c r="E179" s="107"/>
      <c r="F179" s="107"/>
      <c r="G179" s="107"/>
      <c r="H179" s="107"/>
      <c r="I179" s="107"/>
      <c r="J179" s="107"/>
      <c r="K179" s="107"/>
      <c r="L179" s="107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5">
      <c r="A180" s="5"/>
      <c r="B180" s="107"/>
      <c r="C180" s="5"/>
      <c r="D180" s="107"/>
      <c r="E180" s="107"/>
      <c r="F180" s="107"/>
      <c r="G180" s="107"/>
      <c r="H180" s="107"/>
      <c r="I180" s="107"/>
      <c r="J180" s="107"/>
      <c r="K180" s="107"/>
      <c r="L180" s="107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5">
      <c r="A181" s="5"/>
      <c r="B181" s="107"/>
      <c r="C181" s="5"/>
      <c r="D181" s="107"/>
      <c r="E181" s="107"/>
      <c r="F181" s="107"/>
      <c r="G181" s="107"/>
      <c r="H181" s="107"/>
      <c r="I181" s="107"/>
      <c r="J181" s="107"/>
      <c r="K181" s="107"/>
      <c r="L181" s="107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5">
      <c r="A182" s="5"/>
      <c r="B182" s="107"/>
      <c r="C182" s="5"/>
      <c r="D182" s="107"/>
      <c r="E182" s="107"/>
      <c r="F182" s="107"/>
      <c r="G182" s="107"/>
      <c r="H182" s="107"/>
      <c r="I182" s="107"/>
      <c r="J182" s="107"/>
      <c r="K182" s="107"/>
      <c r="L182" s="107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5">
      <c r="A183" s="5"/>
      <c r="B183" s="107"/>
      <c r="C183" s="5"/>
      <c r="D183" s="107"/>
      <c r="E183" s="107"/>
      <c r="F183" s="107"/>
      <c r="G183" s="107"/>
      <c r="H183" s="107"/>
      <c r="I183" s="107"/>
      <c r="J183" s="107"/>
      <c r="K183" s="107"/>
      <c r="L183" s="107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5">
      <c r="A184" s="5"/>
      <c r="B184" s="107"/>
      <c r="C184" s="5"/>
      <c r="D184" s="107"/>
      <c r="E184" s="107"/>
      <c r="F184" s="107"/>
      <c r="G184" s="107"/>
      <c r="H184" s="107"/>
      <c r="I184" s="107"/>
      <c r="J184" s="107"/>
      <c r="K184" s="107"/>
      <c r="L184" s="107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5">
      <c r="A185" s="5"/>
      <c r="B185" s="107"/>
      <c r="C185" s="5"/>
      <c r="D185" s="107"/>
      <c r="E185" s="107"/>
      <c r="F185" s="107"/>
      <c r="G185" s="107"/>
      <c r="H185" s="107"/>
      <c r="I185" s="107"/>
      <c r="J185" s="107"/>
      <c r="K185" s="107"/>
      <c r="L185" s="107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5">
      <c r="A186" s="5"/>
      <c r="B186" s="107"/>
      <c r="C186" s="5"/>
      <c r="D186" s="107"/>
      <c r="E186" s="107"/>
      <c r="F186" s="107"/>
      <c r="G186" s="107"/>
      <c r="H186" s="107"/>
      <c r="I186" s="107"/>
      <c r="J186" s="107"/>
      <c r="K186" s="107"/>
      <c r="L186" s="107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5">
      <c r="A187" s="5"/>
      <c r="B187" s="107"/>
      <c r="C187" s="5"/>
      <c r="D187" s="107"/>
      <c r="E187" s="107"/>
      <c r="F187" s="107"/>
      <c r="G187" s="107"/>
      <c r="H187" s="107"/>
      <c r="I187" s="107"/>
      <c r="J187" s="107"/>
      <c r="K187" s="107"/>
      <c r="L187" s="107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5">
      <c r="A188" s="5"/>
      <c r="B188" s="107"/>
      <c r="C188" s="5"/>
      <c r="D188" s="107"/>
      <c r="E188" s="107"/>
      <c r="F188" s="107"/>
      <c r="G188" s="107"/>
      <c r="H188" s="107"/>
      <c r="I188" s="107"/>
      <c r="J188" s="107"/>
      <c r="K188" s="107"/>
      <c r="L188" s="107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5">
      <c r="A189" s="5"/>
      <c r="B189" s="107"/>
      <c r="C189" s="5"/>
      <c r="D189" s="107"/>
      <c r="E189" s="107"/>
      <c r="F189" s="107"/>
      <c r="G189" s="107"/>
      <c r="H189" s="107"/>
      <c r="I189" s="107"/>
      <c r="J189" s="107"/>
      <c r="K189" s="107"/>
      <c r="L189" s="107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5">
      <c r="A190" s="5"/>
      <c r="B190" s="107"/>
      <c r="C190" s="5"/>
      <c r="D190" s="107"/>
      <c r="E190" s="107"/>
      <c r="F190" s="107"/>
      <c r="G190" s="107"/>
      <c r="H190" s="107"/>
      <c r="I190" s="107"/>
      <c r="J190" s="107"/>
      <c r="K190" s="107"/>
      <c r="L190" s="107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5">
      <c r="A191" s="5"/>
      <c r="B191" s="107"/>
      <c r="C191" s="5"/>
      <c r="D191" s="107"/>
      <c r="E191" s="107"/>
      <c r="F191" s="107"/>
      <c r="G191" s="107"/>
      <c r="H191" s="107"/>
      <c r="I191" s="107"/>
      <c r="J191" s="107"/>
      <c r="K191" s="107"/>
      <c r="L191" s="107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5">
      <c r="A192" s="5"/>
      <c r="B192" s="107"/>
      <c r="C192" s="5"/>
      <c r="D192" s="107"/>
      <c r="E192" s="107"/>
      <c r="F192" s="107"/>
      <c r="G192" s="107"/>
      <c r="H192" s="107"/>
      <c r="I192" s="107"/>
      <c r="J192" s="107"/>
      <c r="K192" s="107"/>
      <c r="L192" s="107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5">
      <c r="A193" s="5"/>
      <c r="B193" s="107"/>
      <c r="C193" s="5"/>
      <c r="D193" s="107"/>
      <c r="E193" s="107"/>
      <c r="F193" s="107"/>
      <c r="G193" s="107"/>
      <c r="H193" s="107"/>
      <c r="I193" s="107"/>
      <c r="J193" s="107"/>
      <c r="K193" s="107"/>
      <c r="L193" s="107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5">
      <c r="A194" s="5"/>
      <c r="B194" s="107"/>
      <c r="C194" s="5"/>
      <c r="D194" s="107"/>
      <c r="E194" s="107"/>
      <c r="F194" s="107"/>
      <c r="G194" s="107"/>
      <c r="H194" s="107"/>
      <c r="I194" s="107"/>
      <c r="J194" s="107"/>
      <c r="K194" s="107"/>
      <c r="L194" s="107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5">
      <c r="A195" s="5"/>
      <c r="B195" s="107"/>
      <c r="C195" s="5"/>
      <c r="D195" s="107"/>
      <c r="E195" s="107"/>
      <c r="F195" s="107"/>
      <c r="G195" s="107"/>
      <c r="H195" s="107"/>
      <c r="I195" s="107"/>
      <c r="J195" s="107"/>
      <c r="K195" s="107"/>
      <c r="L195" s="107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5">
      <c r="A196" s="5"/>
      <c r="B196" s="107"/>
      <c r="C196" s="5"/>
      <c r="D196" s="107"/>
      <c r="E196" s="107"/>
      <c r="F196" s="107"/>
      <c r="G196" s="107"/>
      <c r="H196" s="107"/>
      <c r="I196" s="107"/>
      <c r="J196" s="107"/>
      <c r="K196" s="107"/>
      <c r="L196" s="107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5">
      <c r="A197" s="5"/>
      <c r="B197" s="107"/>
      <c r="C197" s="5"/>
      <c r="D197" s="107"/>
      <c r="E197" s="107"/>
      <c r="F197" s="107"/>
      <c r="G197" s="107"/>
      <c r="H197" s="107"/>
      <c r="I197" s="107"/>
      <c r="J197" s="107"/>
      <c r="K197" s="107"/>
      <c r="L197" s="107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5">
      <c r="A198" s="5"/>
      <c r="B198" s="107"/>
      <c r="C198" s="5"/>
      <c r="D198" s="107"/>
      <c r="E198" s="107"/>
      <c r="F198" s="107"/>
      <c r="G198" s="107"/>
      <c r="H198" s="107"/>
      <c r="I198" s="107"/>
      <c r="J198" s="107"/>
      <c r="K198" s="107"/>
      <c r="L198" s="107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5">
      <c r="A199" s="5"/>
      <c r="B199" s="107"/>
      <c r="C199" s="5"/>
      <c r="D199" s="107"/>
      <c r="E199" s="107"/>
      <c r="F199" s="107"/>
      <c r="G199" s="107"/>
      <c r="H199" s="107"/>
      <c r="I199" s="107"/>
      <c r="J199" s="107"/>
      <c r="K199" s="107"/>
      <c r="L199" s="107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5">
      <c r="A200" s="5"/>
      <c r="B200" s="107"/>
      <c r="C200" s="5"/>
      <c r="D200" s="107"/>
      <c r="E200" s="107"/>
      <c r="F200" s="107"/>
      <c r="G200" s="107"/>
      <c r="H200" s="107"/>
      <c r="I200" s="107"/>
      <c r="J200" s="107"/>
      <c r="K200" s="107"/>
      <c r="L200" s="107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5">
      <c r="A201" s="5"/>
      <c r="B201" s="107"/>
      <c r="C201" s="5"/>
      <c r="D201" s="107"/>
      <c r="E201" s="107"/>
      <c r="F201" s="107"/>
      <c r="G201" s="107"/>
      <c r="H201" s="107"/>
      <c r="I201" s="107"/>
      <c r="J201" s="107"/>
      <c r="K201" s="107"/>
      <c r="L201" s="107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5">
      <c r="A202" s="5"/>
      <c r="B202" s="107"/>
      <c r="C202" s="5"/>
      <c r="D202" s="107"/>
      <c r="E202" s="107"/>
      <c r="F202" s="107"/>
      <c r="G202" s="107"/>
      <c r="H202" s="107"/>
      <c r="I202" s="107"/>
      <c r="J202" s="107"/>
      <c r="K202" s="107"/>
      <c r="L202" s="107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5">
      <c r="A203" s="5"/>
      <c r="B203" s="107"/>
      <c r="C203" s="5"/>
      <c r="D203" s="107"/>
      <c r="E203" s="107"/>
      <c r="F203" s="107"/>
      <c r="G203" s="107"/>
      <c r="H203" s="107"/>
      <c r="I203" s="107"/>
      <c r="J203" s="107"/>
      <c r="K203" s="107"/>
      <c r="L203" s="107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5">
      <c r="A204" s="5"/>
      <c r="B204" s="107"/>
      <c r="C204" s="5"/>
      <c r="D204" s="107"/>
      <c r="E204" s="107"/>
      <c r="F204" s="107"/>
      <c r="G204" s="107"/>
      <c r="H204" s="107"/>
      <c r="I204" s="107"/>
      <c r="J204" s="107"/>
      <c r="K204" s="107"/>
      <c r="L204" s="107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5">
      <c r="A205" s="5"/>
      <c r="B205" s="107"/>
      <c r="C205" s="5"/>
      <c r="D205" s="107"/>
      <c r="E205" s="107"/>
      <c r="F205" s="107"/>
      <c r="G205" s="107"/>
      <c r="H205" s="107"/>
      <c r="I205" s="107"/>
      <c r="J205" s="107"/>
      <c r="K205" s="107"/>
      <c r="L205" s="107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5">
      <c r="A206" s="5"/>
      <c r="B206" s="107"/>
      <c r="C206" s="5"/>
      <c r="D206" s="107"/>
      <c r="E206" s="107"/>
      <c r="F206" s="107"/>
      <c r="G206" s="107"/>
      <c r="H206" s="107"/>
      <c r="I206" s="107"/>
      <c r="J206" s="107"/>
      <c r="K206" s="107"/>
      <c r="L206" s="107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5">
      <c r="A207" s="5"/>
      <c r="B207" s="107"/>
      <c r="C207" s="5"/>
      <c r="D207" s="107"/>
      <c r="E207" s="107"/>
      <c r="F207" s="107"/>
      <c r="G207" s="107"/>
      <c r="H207" s="107"/>
      <c r="I207" s="107"/>
      <c r="J207" s="107"/>
      <c r="K207" s="107"/>
      <c r="L207" s="107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5">
      <c r="A208" s="5"/>
      <c r="B208" s="107"/>
      <c r="C208" s="5"/>
      <c r="D208" s="107"/>
      <c r="E208" s="107"/>
      <c r="F208" s="107"/>
      <c r="G208" s="107"/>
      <c r="H208" s="107"/>
      <c r="I208" s="107"/>
      <c r="J208" s="107"/>
      <c r="K208" s="107"/>
      <c r="L208" s="107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5">
      <c r="A209" s="5"/>
      <c r="B209" s="107"/>
      <c r="C209" s="5"/>
      <c r="D209" s="107"/>
      <c r="E209" s="107"/>
      <c r="F209" s="107"/>
      <c r="G209" s="107"/>
      <c r="H209" s="107"/>
      <c r="I209" s="107"/>
      <c r="J209" s="107"/>
      <c r="K209" s="107"/>
      <c r="L209" s="107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5">
      <c r="A210" s="5"/>
      <c r="B210" s="107"/>
      <c r="C210" s="5"/>
      <c r="D210" s="107"/>
      <c r="E210" s="107"/>
      <c r="F210" s="107"/>
      <c r="G210" s="107"/>
      <c r="H210" s="107"/>
      <c r="I210" s="107"/>
      <c r="J210" s="107"/>
      <c r="K210" s="107"/>
      <c r="L210" s="107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5">
      <c r="A211" s="5"/>
      <c r="B211" s="107"/>
      <c r="C211" s="5"/>
      <c r="D211" s="107"/>
      <c r="E211" s="107"/>
      <c r="F211" s="107"/>
      <c r="G211" s="107"/>
      <c r="H211" s="107"/>
      <c r="I211" s="107"/>
      <c r="J211" s="107"/>
      <c r="K211" s="107"/>
      <c r="L211" s="107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5">
      <c r="A212" s="5"/>
      <c r="B212" s="107"/>
      <c r="C212" s="5"/>
      <c r="D212" s="107"/>
      <c r="E212" s="107"/>
      <c r="F212" s="107"/>
      <c r="G212" s="107"/>
      <c r="H212" s="107"/>
      <c r="I212" s="107"/>
      <c r="J212" s="107"/>
      <c r="K212" s="107"/>
      <c r="L212" s="107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5">
      <c r="A213" s="5"/>
      <c r="B213" s="107"/>
      <c r="C213" s="5"/>
      <c r="D213" s="107"/>
      <c r="E213" s="107"/>
      <c r="F213" s="107"/>
      <c r="G213" s="107"/>
      <c r="H213" s="107"/>
      <c r="I213" s="107"/>
      <c r="J213" s="107"/>
      <c r="K213" s="107"/>
      <c r="L213" s="107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5">
      <c r="A214" s="5"/>
      <c r="B214" s="107"/>
      <c r="C214" s="5"/>
      <c r="D214" s="107"/>
      <c r="E214" s="107"/>
      <c r="F214" s="107"/>
      <c r="G214" s="107"/>
      <c r="H214" s="107"/>
      <c r="I214" s="107"/>
      <c r="J214" s="107"/>
      <c r="K214" s="107"/>
      <c r="L214" s="107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5">
      <c r="A215" s="5"/>
      <c r="B215" s="107"/>
      <c r="C215" s="5"/>
      <c r="D215" s="107"/>
      <c r="E215" s="107"/>
      <c r="F215" s="107"/>
      <c r="G215" s="107"/>
      <c r="H215" s="107"/>
      <c r="I215" s="107"/>
      <c r="J215" s="107"/>
      <c r="K215" s="107"/>
      <c r="L215" s="107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5">
      <c r="A216" s="5"/>
      <c r="B216" s="107"/>
      <c r="C216" s="5"/>
      <c r="D216" s="107"/>
      <c r="E216" s="107"/>
      <c r="F216" s="107"/>
      <c r="G216" s="107"/>
      <c r="H216" s="107"/>
      <c r="I216" s="107"/>
      <c r="J216" s="107"/>
      <c r="K216" s="107"/>
      <c r="L216" s="107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5">
      <c r="A217" s="5"/>
      <c r="B217" s="107"/>
      <c r="C217" s="5"/>
      <c r="D217" s="107"/>
      <c r="E217" s="107"/>
      <c r="F217" s="107"/>
      <c r="G217" s="107"/>
      <c r="H217" s="107"/>
      <c r="I217" s="107"/>
      <c r="J217" s="107"/>
      <c r="K217" s="107"/>
      <c r="L217" s="107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5">
      <c r="A218" s="5"/>
      <c r="B218" s="107"/>
      <c r="C218" s="5"/>
      <c r="D218" s="107"/>
      <c r="E218" s="107"/>
      <c r="F218" s="107"/>
      <c r="G218" s="107"/>
      <c r="H218" s="107"/>
      <c r="I218" s="107"/>
      <c r="J218" s="107"/>
      <c r="K218" s="107"/>
      <c r="L218" s="107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5">
      <c r="A219" s="5"/>
      <c r="B219" s="107"/>
      <c r="C219" s="5"/>
      <c r="D219" s="107"/>
      <c r="E219" s="107"/>
      <c r="F219" s="107"/>
      <c r="G219" s="107"/>
      <c r="H219" s="107"/>
      <c r="I219" s="107"/>
      <c r="J219" s="107"/>
      <c r="K219" s="107"/>
      <c r="L219" s="107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5">
      <c r="A220" s="5"/>
      <c r="B220" s="107"/>
      <c r="C220" s="5"/>
      <c r="D220" s="107"/>
      <c r="E220" s="107"/>
      <c r="F220" s="107"/>
      <c r="G220" s="107"/>
      <c r="H220" s="107"/>
      <c r="I220" s="107"/>
      <c r="J220" s="107"/>
      <c r="K220" s="107"/>
      <c r="L220" s="107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5">
      <c r="A221" s="5"/>
      <c r="B221" s="5"/>
      <c r="C221" s="5"/>
      <c r="D221" s="107"/>
      <c r="E221" s="107"/>
      <c r="F221" s="107"/>
      <c r="G221" s="107"/>
      <c r="H221" s="107"/>
      <c r="I221" s="107"/>
      <c r="J221" s="107"/>
      <c r="K221" s="107"/>
      <c r="L221" s="107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5"/>
    <row r="271" spans="1:26" ht="15.75" customHeight="1" x14ac:dyDescent="0.25"/>
    <row r="272" spans="1:26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D1:L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</sheetPr>
  <dimension ref="A1:Z1000"/>
  <sheetViews>
    <sheetView workbookViewId="0">
      <selection activeCell="R9" sqref="R9"/>
    </sheetView>
  </sheetViews>
  <sheetFormatPr defaultColWidth="7.875" defaultRowHeight="15" customHeight="1" x14ac:dyDescent="0.25"/>
  <cols>
    <col min="1" max="1" width="8.625" bestFit="1" customWidth="1"/>
    <col min="2" max="2" width="16.125" bestFit="1" customWidth="1"/>
    <col min="3" max="3" width="12.625" bestFit="1" customWidth="1"/>
    <col min="4" max="4" width="7.5" bestFit="1" customWidth="1"/>
    <col min="5" max="6" width="8.625" bestFit="1" customWidth="1"/>
    <col min="7" max="8" width="11.625" bestFit="1" customWidth="1"/>
    <col min="9" max="9" width="12.625" bestFit="1" customWidth="1"/>
    <col min="10" max="12" width="11.625" bestFit="1" customWidth="1"/>
    <col min="13" max="13" width="10.625" bestFit="1" customWidth="1"/>
    <col min="14" max="14" width="11" bestFit="1" customWidth="1"/>
    <col min="15" max="16" width="10.625" bestFit="1" customWidth="1"/>
    <col min="17" max="18" width="11.625" bestFit="1" customWidth="1"/>
  </cols>
  <sheetData>
    <row r="1" spans="1:26" ht="18" customHeight="1" x14ac:dyDescent="0.25">
      <c r="A1" s="1"/>
      <c r="B1" s="3"/>
      <c r="C1" s="1"/>
      <c r="D1" s="165">
        <v>2026</v>
      </c>
      <c r="E1" s="164"/>
      <c r="F1" s="164"/>
      <c r="G1" s="164"/>
      <c r="H1" s="164"/>
      <c r="I1" s="164"/>
      <c r="J1" s="164"/>
      <c r="K1" s="164"/>
      <c r="L1" s="164"/>
      <c r="M1" s="151">
        <v>2027</v>
      </c>
      <c r="N1" s="8"/>
      <c r="O1" s="8"/>
      <c r="P1" s="8"/>
      <c r="Q1" s="8"/>
      <c r="R1" s="8"/>
      <c r="S1" s="8"/>
      <c r="T1" s="5"/>
      <c r="U1" s="5"/>
      <c r="V1" s="5"/>
      <c r="W1" s="5"/>
      <c r="X1" s="5"/>
      <c r="Y1" s="5"/>
      <c r="Z1" s="5"/>
    </row>
    <row r="2" spans="1:26" ht="15.75" customHeight="1" x14ac:dyDescent="0.25">
      <c r="A2" s="10" t="s">
        <v>63</v>
      </c>
      <c r="B2" s="3"/>
      <c r="C2" s="1"/>
      <c r="D2" s="12" t="s">
        <v>1</v>
      </c>
      <c r="E2" s="12" t="s">
        <v>2</v>
      </c>
      <c r="F2" s="12" t="s">
        <v>3</v>
      </c>
      <c r="G2" s="12" t="s">
        <v>4</v>
      </c>
      <c r="H2" s="12" t="s">
        <v>5</v>
      </c>
      <c r="I2" s="12" t="s">
        <v>6</v>
      </c>
      <c r="J2" s="12" t="s">
        <v>7</v>
      </c>
      <c r="K2" s="12" t="s">
        <v>8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</v>
      </c>
      <c r="Q2" s="12" t="s">
        <v>2</v>
      </c>
      <c r="R2" s="12" t="s">
        <v>3</v>
      </c>
      <c r="S2" s="8"/>
      <c r="T2" s="5"/>
      <c r="U2" s="5"/>
      <c r="V2" s="5"/>
      <c r="W2" s="5"/>
      <c r="X2" s="5"/>
      <c r="Y2" s="5"/>
      <c r="Z2" s="5"/>
    </row>
    <row r="3" spans="1:26" ht="16.5" customHeight="1" thickBot="1" x14ac:dyDescent="0.3">
      <c r="A3" s="17"/>
      <c r="B3" s="19" t="s">
        <v>23</v>
      </c>
      <c r="C3" s="19">
        <f t="shared" ref="C3:C34" si="0">SUM(D3:L3)</f>
        <v>183468.7</v>
      </c>
      <c r="D3" s="24">
        <f t="shared" ref="D3:R3" si="1">SUM(D4:D134)</f>
        <v>0</v>
      </c>
      <c r="E3" s="24">
        <f t="shared" si="1"/>
        <v>0</v>
      </c>
      <c r="F3" s="24">
        <f t="shared" si="1"/>
        <v>0</v>
      </c>
      <c r="G3" s="24">
        <f t="shared" si="1"/>
        <v>34025.61</v>
      </c>
      <c r="H3" s="24">
        <f t="shared" si="1"/>
        <v>33443.089999999997</v>
      </c>
      <c r="I3" s="24">
        <f t="shared" si="1"/>
        <v>25500</v>
      </c>
      <c r="J3" s="24">
        <f t="shared" si="1"/>
        <v>27000</v>
      </c>
      <c r="K3" s="24">
        <f t="shared" si="1"/>
        <v>26500</v>
      </c>
      <c r="L3" s="24">
        <f t="shared" si="1"/>
        <v>37000</v>
      </c>
      <c r="M3" s="24">
        <f t="shared" si="1"/>
        <v>4450</v>
      </c>
      <c r="N3" s="24">
        <f t="shared" si="1"/>
        <v>7200</v>
      </c>
      <c r="O3" s="24">
        <f t="shared" si="1"/>
        <v>3470</v>
      </c>
      <c r="P3" s="24">
        <f t="shared" si="1"/>
        <v>7890</v>
      </c>
      <c r="Q3" s="24">
        <f t="shared" si="1"/>
        <v>13100</v>
      </c>
      <c r="R3" s="24">
        <f t="shared" si="1"/>
        <v>26600</v>
      </c>
      <c r="S3" s="27"/>
      <c r="T3" s="5"/>
      <c r="U3" s="5"/>
      <c r="V3" s="5"/>
      <c r="W3" s="5"/>
      <c r="X3" s="5"/>
      <c r="Y3" s="5"/>
      <c r="Z3" s="5"/>
    </row>
    <row r="4" spans="1:26" ht="16.5" customHeight="1" thickTop="1" x14ac:dyDescent="0.25">
      <c r="A4" s="32">
        <v>570913</v>
      </c>
      <c r="B4" s="33" t="s">
        <v>66</v>
      </c>
      <c r="C4" s="34">
        <f t="shared" si="0"/>
        <v>131825.60999999999</v>
      </c>
      <c r="D4" s="35"/>
      <c r="E4" s="35"/>
      <c r="F4" s="35"/>
      <c r="G4" s="35">
        <v>27525.61</v>
      </c>
      <c r="H4" s="35">
        <v>21300</v>
      </c>
      <c r="I4" s="35">
        <v>19000</v>
      </c>
      <c r="J4" s="35">
        <v>17000</v>
      </c>
      <c r="K4" s="35">
        <v>20000</v>
      </c>
      <c r="L4" s="35">
        <v>27000</v>
      </c>
      <c r="M4" s="35">
        <v>4000</v>
      </c>
      <c r="N4" s="35">
        <v>3000</v>
      </c>
      <c r="O4" s="35">
        <v>3100</v>
      </c>
      <c r="P4" s="35">
        <v>4000</v>
      </c>
      <c r="Q4" s="35">
        <v>6600</v>
      </c>
      <c r="R4" s="35">
        <v>16000</v>
      </c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25">
      <c r="A5" s="32">
        <v>570919</v>
      </c>
      <c r="B5" s="42" t="s">
        <v>67</v>
      </c>
      <c r="C5" s="45">
        <f t="shared" si="0"/>
        <v>39000</v>
      </c>
      <c r="D5" s="47"/>
      <c r="E5" s="47"/>
      <c r="F5" s="47"/>
      <c r="G5" s="47">
        <v>6500</v>
      </c>
      <c r="H5" s="47">
        <v>6500</v>
      </c>
      <c r="I5" s="47">
        <v>6500</v>
      </c>
      <c r="J5" s="47">
        <v>6500</v>
      </c>
      <c r="K5" s="47">
        <v>6500</v>
      </c>
      <c r="L5" s="47">
        <v>6500</v>
      </c>
      <c r="M5" s="47">
        <v>450</v>
      </c>
      <c r="N5" s="47">
        <v>700</v>
      </c>
      <c r="O5" s="47">
        <v>370</v>
      </c>
      <c r="P5" s="47">
        <v>390</v>
      </c>
      <c r="Q5" s="47">
        <v>6500</v>
      </c>
      <c r="R5" s="47">
        <v>5600</v>
      </c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5">
      <c r="A6" s="32">
        <v>18</v>
      </c>
      <c r="B6" s="42" t="s">
        <v>68</v>
      </c>
      <c r="C6" s="45">
        <f t="shared" si="0"/>
        <v>2143.09</v>
      </c>
      <c r="D6" s="35"/>
      <c r="E6" s="35"/>
      <c r="F6" s="35"/>
      <c r="G6" s="35"/>
      <c r="H6" s="35">
        <v>2143.09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5">
      <c r="A7" s="32">
        <v>44</v>
      </c>
      <c r="B7" s="42" t="s">
        <v>69</v>
      </c>
      <c r="C7" s="45">
        <f t="shared" si="0"/>
        <v>0</v>
      </c>
      <c r="D7" s="59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5">
      <c r="A8" s="32">
        <v>570909</v>
      </c>
      <c r="B8" s="42" t="s">
        <v>70</v>
      </c>
      <c r="C8" s="45">
        <f t="shared" si="0"/>
        <v>10500</v>
      </c>
      <c r="D8" s="47"/>
      <c r="E8" s="47"/>
      <c r="F8" s="47"/>
      <c r="G8" s="47"/>
      <c r="H8" s="47">
        <v>3500</v>
      </c>
      <c r="I8" s="47"/>
      <c r="J8" s="47">
        <v>3500</v>
      </c>
      <c r="K8" s="47"/>
      <c r="L8" s="47">
        <v>3500</v>
      </c>
      <c r="M8" s="47"/>
      <c r="N8" s="47">
        <v>3500</v>
      </c>
      <c r="O8" s="47"/>
      <c r="P8" s="47">
        <v>3500</v>
      </c>
      <c r="Q8" s="47"/>
      <c r="R8" s="47">
        <v>5000</v>
      </c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5">
      <c r="A9" s="32"/>
      <c r="B9" s="60"/>
      <c r="C9" s="45">
        <f t="shared" si="0"/>
        <v>0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5">
      <c r="A10" s="32"/>
      <c r="B10" s="60"/>
      <c r="C10" s="45">
        <f t="shared" si="0"/>
        <v>0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5">
      <c r="A11" s="32"/>
      <c r="B11" s="60"/>
      <c r="C11" s="45">
        <f t="shared" si="0"/>
        <v>0</v>
      </c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5">
      <c r="A12" s="32"/>
      <c r="B12" s="60"/>
      <c r="C12" s="45">
        <f t="shared" si="0"/>
        <v>0</v>
      </c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5">
      <c r="A13" s="32"/>
      <c r="B13" s="60"/>
      <c r="C13" s="45">
        <f t="shared" si="0"/>
        <v>0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5">
      <c r="A14" s="32"/>
      <c r="B14" s="60"/>
      <c r="C14" s="45">
        <f t="shared" si="0"/>
        <v>0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5">
      <c r="A15" s="32"/>
      <c r="B15" s="60"/>
      <c r="C15" s="45">
        <f t="shared" si="0"/>
        <v>0</v>
      </c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5">
      <c r="A16" s="32"/>
      <c r="B16" s="60"/>
      <c r="C16" s="45">
        <f t="shared" si="0"/>
        <v>0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5">
      <c r="A17" s="32"/>
      <c r="B17" s="60"/>
      <c r="C17" s="45">
        <f t="shared" si="0"/>
        <v>0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5">
      <c r="A18" s="32"/>
      <c r="B18" s="60"/>
      <c r="C18" s="45">
        <f t="shared" si="0"/>
        <v>0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5">
      <c r="A19" s="32"/>
      <c r="B19" s="60"/>
      <c r="C19" s="45">
        <f t="shared" si="0"/>
        <v>0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5">
      <c r="A20" s="32"/>
      <c r="B20" s="60"/>
      <c r="C20" s="45">
        <f t="shared" si="0"/>
        <v>0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5">
      <c r="A21" s="32"/>
      <c r="B21" s="60"/>
      <c r="C21" s="45">
        <f t="shared" si="0"/>
        <v>0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5">
      <c r="A22" s="32"/>
      <c r="B22" s="60"/>
      <c r="C22" s="45">
        <f t="shared" si="0"/>
        <v>0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5">
      <c r="A23" s="32"/>
      <c r="B23" s="60"/>
      <c r="C23" s="45">
        <f t="shared" si="0"/>
        <v>0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5">
      <c r="A24" s="32"/>
      <c r="B24" s="60"/>
      <c r="C24" s="45">
        <f t="shared" si="0"/>
        <v>0</v>
      </c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5">
      <c r="A25" s="32"/>
      <c r="B25" s="60"/>
      <c r="C25" s="45">
        <f t="shared" si="0"/>
        <v>0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5">
      <c r="A26" s="32"/>
      <c r="B26" s="60"/>
      <c r="C26" s="45">
        <f t="shared" si="0"/>
        <v>0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5">
      <c r="A27" s="32"/>
      <c r="B27" s="60"/>
      <c r="C27" s="45">
        <f t="shared" si="0"/>
        <v>0</v>
      </c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5">
      <c r="A28" s="32"/>
      <c r="B28" s="60"/>
      <c r="C28" s="45">
        <f t="shared" si="0"/>
        <v>0</v>
      </c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5">
      <c r="A29" s="32"/>
      <c r="B29" s="60"/>
      <c r="C29" s="45">
        <f t="shared" si="0"/>
        <v>0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5">
      <c r="A30" s="32"/>
      <c r="B30" s="60"/>
      <c r="C30" s="45">
        <f t="shared" si="0"/>
        <v>0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5">
      <c r="A31" s="32"/>
      <c r="B31" s="60"/>
      <c r="C31" s="45">
        <f t="shared" si="0"/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5">
      <c r="A32" s="32"/>
      <c r="B32" s="60"/>
      <c r="C32" s="45">
        <f t="shared" si="0"/>
        <v>0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5">
      <c r="A33" s="32"/>
      <c r="B33" s="60"/>
      <c r="C33" s="45">
        <f t="shared" si="0"/>
        <v>0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5">
      <c r="A34" s="32"/>
      <c r="B34" s="60"/>
      <c r="C34" s="45">
        <f t="shared" si="0"/>
        <v>0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5">
      <c r="A35" s="32"/>
      <c r="B35" s="60"/>
      <c r="C35" s="45">
        <f t="shared" ref="C35:C66" si="2">SUM(D35:L35)</f>
        <v>0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5">
      <c r="A36" s="32"/>
      <c r="B36" s="60"/>
      <c r="C36" s="45">
        <f t="shared" si="2"/>
        <v>0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5">
      <c r="A37" s="32"/>
      <c r="B37" s="60"/>
      <c r="C37" s="45">
        <f t="shared" si="2"/>
        <v>0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5">
      <c r="A38" s="32"/>
      <c r="B38" s="60"/>
      <c r="C38" s="45">
        <f t="shared" si="2"/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5">
      <c r="A39" s="32"/>
      <c r="B39" s="60"/>
      <c r="C39" s="45">
        <f t="shared" si="2"/>
        <v>0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5">
      <c r="A40" s="32"/>
      <c r="B40" s="60"/>
      <c r="C40" s="45">
        <f t="shared" si="2"/>
        <v>0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5">
      <c r="A41" s="32"/>
      <c r="B41" s="60"/>
      <c r="C41" s="45">
        <f t="shared" si="2"/>
        <v>0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5">
      <c r="A42" s="32"/>
      <c r="B42" s="60"/>
      <c r="C42" s="45">
        <f t="shared" si="2"/>
        <v>0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5">
      <c r="A43" s="32"/>
      <c r="B43" s="60"/>
      <c r="C43" s="45">
        <f t="shared" si="2"/>
        <v>0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5">
      <c r="A44" s="32"/>
      <c r="B44" s="60"/>
      <c r="C44" s="45">
        <f t="shared" si="2"/>
        <v>0</v>
      </c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5">
      <c r="A45" s="32"/>
      <c r="B45" s="60"/>
      <c r="C45" s="45">
        <f t="shared" si="2"/>
        <v>0</v>
      </c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5">
      <c r="A46" s="32"/>
      <c r="B46" s="60"/>
      <c r="C46" s="45">
        <f t="shared" si="2"/>
        <v>0</v>
      </c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5">
      <c r="A47" s="32"/>
      <c r="B47" s="60"/>
      <c r="C47" s="45">
        <f t="shared" si="2"/>
        <v>0</v>
      </c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5">
      <c r="A48" s="32"/>
      <c r="B48" s="60"/>
      <c r="C48" s="45">
        <f t="shared" si="2"/>
        <v>0</v>
      </c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5">
      <c r="A49" s="32"/>
      <c r="B49" s="60"/>
      <c r="C49" s="45">
        <f t="shared" si="2"/>
        <v>0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5">
      <c r="A50" s="32"/>
      <c r="B50" s="60"/>
      <c r="C50" s="45">
        <f t="shared" si="2"/>
        <v>0</v>
      </c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5">
      <c r="A51" s="32"/>
      <c r="B51" s="60"/>
      <c r="C51" s="45">
        <f t="shared" si="2"/>
        <v>0</v>
      </c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5">
      <c r="A52" s="32"/>
      <c r="B52" s="60"/>
      <c r="C52" s="45">
        <f t="shared" si="2"/>
        <v>0</v>
      </c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5">
      <c r="A53" s="32"/>
      <c r="B53" s="60"/>
      <c r="C53" s="45">
        <f t="shared" si="2"/>
        <v>0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5">
      <c r="A54" s="32"/>
      <c r="B54" s="60"/>
      <c r="C54" s="45">
        <f t="shared" si="2"/>
        <v>0</v>
      </c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5">
      <c r="A55" s="32"/>
      <c r="B55" s="60"/>
      <c r="C55" s="45">
        <f t="shared" si="2"/>
        <v>0</v>
      </c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5">
      <c r="A56" s="32"/>
      <c r="B56" s="60"/>
      <c r="C56" s="45">
        <f t="shared" si="2"/>
        <v>0</v>
      </c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5">
      <c r="A57" s="32"/>
      <c r="B57" s="60"/>
      <c r="C57" s="45">
        <f t="shared" si="2"/>
        <v>0</v>
      </c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5">
      <c r="A58" s="32"/>
      <c r="B58" s="60"/>
      <c r="C58" s="45">
        <f t="shared" si="2"/>
        <v>0</v>
      </c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5">
      <c r="A59" s="32"/>
      <c r="B59" s="60"/>
      <c r="C59" s="45">
        <f t="shared" si="2"/>
        <v>0</v>
      </c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5">
      <c r="A60" s="32"/>
      <c r="B60" s="60"/>
      <c r="C60" s="45">
        <f t="shared" si="2"/>
        <v>0</v>
      </c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5">
      <c r="A61" s="32"/>
      <c r="B61" s="60"/>
      <c r="C61" s="45">
        <f t="shared" si="2"/>
        <v>0</v>
      </c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5">
      <c r="A62" s="32"/>
      <c r="B62" s="60"/>
      <c r="C62" s="45">
        <f t="shared" si="2"/>
        <v>0</v>
      </c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5">
      <c r="A63" s="32"/>
      <c r="B63" s="60"/>
      <c r="C63" s="45">
        <f t="shared" si="2"/>
        <v>0</v>
      </c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5">
      <c r="A64" s="32"/>
      <c r="B64" s="60"/>
      <c r="C64" s="45">
        <f t="shared" si="2"/>
        <v>0</v>
      </c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5">
      <c r="A65" s="32"/>
      <c r="B65" s="60"/>
      <c r="C65" s="45">
        <f t="shared" si="2"/>
        <v>0</v>
      </c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5">
      <c r="A66" s="32"/>
      <c r="B66" s="60"/>
      <c r="C66" s="45">
        <f t="shared" si="2"/>
        <v>0</v>
      </c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5">
      <c r="A67" s="32"/>
      <c r="B67" s="60"/>
      <c r="C67" s="45">
        <f t="shared" ref="C67:C68" si="3">SUM(D67:L67)</f>
        <v>0</v>
      </c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5">
      <c r="A68" s="32"/>
      <c r="B68" s="110"/>
      <c r="C68" s="45">
        <f t="shared" si="3"/>
        <v>0</v>
      </c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5">
      <c r="A69" s="5"/>
      <c r="B69" s="107"/>
      <c r="C69" s="5"/>
      <c r="D69" s="107"/>
      <c r="E69" s="107"/>
      <c r="F69" s="107"/>
      <c r="G69" s="107"/>
      <c r="H69" s="107"/>
      <c r="I69" s="107"/>
      <c r="J69" s="107"/>
      <c r="K69" s="107"/>
      <c r="L69" s="107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5">
      <c r="A70" s="5"/>
      <c r="B70" s="107"/>
      <c r="C70" s="5"/>
      <c r="D70" s="107"/>
      <c r="E70" s="107"/>
      <c r="F70" s="107"/>
      <c r="G70" s="107"/>
      <c r="H70" s="107"/>
      <c r="I70" s="107"/>
      <c r="J70" s="107"/>
      <c r="K70" s="107"/>
      <c r="L70" s="107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5">
      <c r="A71" s="5"/>
      <c r="B71" s="107"/>
      <c r="C71" s="5"/>
      <c r="D71" s="107"/>
      <c r="E71" s="107"/>
      <c r="F71" s="107"/>
      <c r="G71" s="107"/>
      <c r="H71" s="107"/>
      <c r="I71" s="107"/>
      <c r="J71" s="107"/>
      <c r="K71" s="107"/>
      <c r="L71" s="107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5">
      <c r="A72" s="5"/>
      <c r="B72" s="107"/>
      <c r="C72" s="5"/>
      <c r="D72" s="107"/>
      <c r="E72" s="107"/>
      <c r="F72" s="107"/>
      <c r="G72" s="107"/>
      <c r="H72" s="107"/>
      <c r="I72" s="107"/>
      <c r="J72" s="107"/>
      <c r="K72" s="107"/>
      <c r="L72" s="107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5">
      <c r="A73" s="5"/>
      <c r="B73" s="107"/>
      <c r="C73" s="5"/>
      <c r="D73" s="107"/>
      <c r="E73" s="107"/>
      <c r="F73" s="107"/>
      <c r="G73" s="107"/>
      <c r="H73" s="107"/>
      <c r="I73" s="107"/>
      <c r="J73" s="107"/>
      <c r="K73" s="107"/>
      <c r="L73" s="107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5">
      <c r="A74" s="5"/>
      <c r="B74" s="107"/>
      <c r="C74" s="5"/>
      <c r="D74" s="107"/>
      <c r="E74" s="107"/>
      <c r="F74" s="107"/>
      <c r="G74" s="107"/>
      <c r="H74" s="107"/>
      <c r="I74" s="107"/>
      <c r="J74" s="107"/>
      <c r="K74" s="107"/>
      <c r="L74" s="107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5">
      <c r="A75" s="5"/>
      <c r="B75" s="107"/>
      <c r="C75" s="5"/>
      <c r="D75" s="107"/>
      <c r="E75" s="107"/>
      <c r="F75" s="107"/>
      <c r="G75" s="107"/>
      <c r="H75" s="107"/>
      <c r="I75" s="107"/>
      <c r="J75" s="107"/>
      <c r="K75" s="107"/>
      <c r="L75" s="107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5">
      <c r="A76" s="5"/>
      <c r="B76" s="107"/>
      <c r="C76" s="5"/>
      <c r="D76" s="107"/>
      <c r="E76" s="107"/>
      <c r="F76" s="107"/>
      <c r="G76" s="107"/>
      <c r="H76" s="107"/>
      <c r="I76" s="107"/>
      <c r="J76" s="107"/>
      <c r="K76" s="107"/>
      <c r="L76" s="107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5">
      <c r="A77" s="5"/>
      <c r="B77" s="107"/>
      <c r="C77" s="5"/>
      <c r="D77" s="107"/>
      <c r="E77" s="107"/>
      <c r="F77" s="107"/>
      <c r="G77" s="107"/>
      <c r="H77" s="107"/>
      <c r="I77" s="107"/>
      <c r="J77" s="107"/>
      <c r="K77" s="107"/>
      <c r="L77" s="107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5">
      <c r="A78" s="5"/>
      <c r="B78" s="107"/>
      <c r="C78" s="5"/>
      <c r="D78" s="107"/>
      <c r="E78" s="107"/>
      <c r="F78" s="107"/>
      <c r="G78" s="107"/>
      <c r="H78" s="107"/>
      <c r="I78" s="107"/>
      <c r="J78" s="107"/>
      <c r="K78" s="107"/>
      <c r="L78" s="107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5">
      <c r="A79" s="5"/>
      <c r="B79" s="107"/>
      <c r="C79" s="5"/>
      <c r="D79" s="107"/>
      <c r="E79" s="107"/>
      <c r="F79" s="107"/>
      <c r="G79" s="107"/>
      <c r="H79" s="107"/>
      <c r="I79" s="107"/>
      <c r="J79" s="107"/>
      <c r="K79" s="107"/>
      <c r="L79" s="107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5">
      <c r="A80" s="5"/>
      <c r="B80" s="107"/>
      <c r="C80" s="5"/>
      <c r="D80" s="107"/>
      <c r="E80" s="107"/>
      <c r="F80" s="107"/>
      <c r="G80" s="107"/>
      <c r="H80" s="107"/>
      <c r="I80" s="107"/>
      <c r="J80" s="107"/>
      <c r="K80" s="107"/>
      <c r="L80" s="107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5">
      <c r="A81" s="5"/>
      <c r="B81" s="107"/>
      <c r="C81" s="5"/>
      <c r="D81" s="107"/>
      <c r="E81" s="107"/>
      <c r="F81" s="107"/>
      <c r="G81" s="107"/>
      <c r="H81" s="107"/>
      <c r="I81" s="107"/>
      <c r="J81" s="107"/>
      <c r="K81" s="107"/>
      <c r="L81" s="107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5">
      <c r="A82" s="5"/>
      <c r="B82" s="107"/>
      <c r="C82" s="5"/>
      <c r="D82" s="107"/>
      <c r="E82" s="107"/>
      <c r="F82" s="107"/>
      <c r="G82" s="107"/>
      <c r="H82" s="107"/>
      <c r="I82" s="107"/>
      <c r="J82" s="107"/>
      <c r="K82" s="107"/>
      <c r="L82" s="107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5">
      <c r="A83" s="5"/>
      <c r="B83" s="107"/>
      <c r="C83" s="5"/>
      <c r="D83" s="107"/>
      <c r="E83" s="107"/>
      <c r="F83" s="107"/>
      <c r="G83" s="107"/>
      <c r="H83" s="107"/>
      <c r="I83" s="107"/>
      <c r="J83" s="107"/>
      <c r="K83" s="107"/>
      <c r="L83" s="107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5">
      <c r="A84" s="5"/>
      <c r="B84" s="107"/>
      <c r="C84" s="5"/>
      <c r="D84" s="107"/>
      <c r="E84" s="107"/>
      <c r="F84" s="107"/>
      <c r="G84" s="107"/>
      <c r="H84" s="107"/>
      <c r="I84" s="107"/>
      <c r="J84" s="107"/>
      <c r="K84" s="107"/>
      <c r="L84" s="107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5">
      <c r="A85" s="5"/>
      <c r="B85" s="107"/>
      <c r="C85" s="5"/>
      <c r="D85" s="107"/>
      <c r="E85" s="107"/>
      <c r="F85" s="107"/>
      <c r="G85" s="107"/>
      <c r="H85" s="107"/>
      <c r="I85" s="107"/>
      <c r="J85" s="107"/>
      <c r="K85" s="107"/>
      <c r="L85" s="107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5">
      <c r="A86" s="5"/>
      <c r="B86" s="107"/>
      <c r="C86" s="5"/>
      <c r="D86" s="107"/>
      <c r="E86" s="107"/>
      <c r="F86" s="107"/>
      <c r="G86" s="107"/>
      <c r="H86" s="107"/>
      <c r="I86" s="107"/>
      <c r="J86" s="107"/>
      <c r="K86" s="107"/>
      <c r="L86" s="107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5">
      <c r="A87" s="5"/>
      <c r="B87" s="107"/>
      <c r="C87" s="5"/>
      <c r="D87" s="107"/>
      <c r="E87" s="107"/>
      <c r="F87" s="107"/>
      <c r="G87" s="107"/>
      <c r="H87" s="107"/>
      <c r="I87" s="107"/>
      <c r="J87" s="107"/>
      <c r="K87" s="107"/>
      <c r="L87" s="107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5">
      <c r="A88" s="5"/>
      <c r="B88" s="107"/>
      <c r="C88" s="5"/>
      <c r="D88" s="107"/>
      <c r="E88" s="107"/>
      <c r="F88" s="107"/>
      <c r="G88" s="107"/>
      <c r="H88" s="107"/>
      <c r="I88" s="107"/>
      <c r="J88" s="107"/>
      <c r="K88" s="107"/>
      <c r="L88" s="107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5">
      <c r="A89" s="5"/>
      <c r="B89" s="107"/>
      <c r="C89" s="5"/>
      <c r="D89" s="107"/>
      <c r="E89" s="107"/>
      <c r="F89" s="107"/>
      <c r="G89" s="107"/>
      <c r="H89" s="107"/>
      <c r="I89" s="107"/>
      <c r="J89" s="107"/>
      <c r="K89" s="107"/>
      <c r="L89" s="107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5">
      <c r="A90" s="5"/>
      <c r="B90" s="107"/>
      <c r="C90" s="5"/>
      <c r="D90" s="107"/>
      <c r="E90" s="107"/>
      <c r="F90" s="107"/>
      <c r="G90" s="107"/>
      <c r="H90" s="107"/>
      <c r="I90" s="107"/>
      <c r="J90" s="107"/>
      <c r="K90" s="107"/>
      <c r="L90" s="107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5">
      <c r="A91" s="5"/>
      <c r="B91" s="107"/>
      <c r="C91" s="5"/>
      <c r="D91" s="107"/>
      <c r="E91" s="107"/>
      <c r="F91" s="107"/>
      <c r="G91" s="107"/>
      <c r="H91" s="107"/>
      <c r="I91" s="107"/>
      <c r="J91" s="107"/>
      <c r="K91" s="107"/>
      <c r="L91" s="107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5">
      <c r="A92" s="5"/>
      <c r="B92" s="107"/>
      <c r="C92" s="5"/>
      <c r="D92" s="107"/>
      <c r="E92" s="107"/>
      <c r="F92" s="107"/>
      <c r="G92" s="107"/>
      <c r="H92" s="107"/>
      <c r="I92" s="107"/>
      <c r="J92" s="107"/>
      <c r="K92" s="107"/>
      <c r="L92" s="107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5">
      <c r="A93" s="5"/>
      <c r="B93" s="107"/>
      <c r="C93" s="5"/>
      <c r="D93" s="107"/>
      <c r="E93" s="107"/>
      <c r="F93" s="107"/>
      <c r="G93" s="107"/>
      <c r="H93" s="107"/>
      <c r="I93" s="107"/>
      <c r="J93" s="107"/>
      <c r="K93" s="107"/>
      <c r="L93" s="107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5">
      <c r="A94" s="5"/>
      <c r="B94" s="107"/>
      <c r="C94" s="5"/>
      <c r="D94" s="107"/>
      <c r="E94" s="107"/>
      <c r="F94" s="107"/>
      <c r="G94" s="107"/>
      <c r="H94" s="107"/>
      <c r="I94" s="107"/>
      <c r="J94" s="107"/>
      <c r="K94" s="107"/>
      <c r="L94" s="107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5">
      <c r="A95" s="5"/>
      <c r="B95" s="107"/>
      <c r="C95" s="5"/>
      <c r="D95" s="107"/>
      <c r="E95" s="107"/>
      <c r="F95" s="107"/>
      <c r="G95" s="107"/>
      <c r="H95" s="107"/>
      <c r="I95" s="107"/>
      <c r="J95" s="107"/>
      <c r="K95" s="107"/>
      <c r="L95" s="107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5">
      <c r="A96" s="5"/>
      <c r="B96" s="107"/>
      <c r="C96" s="5"/>
      <c r="D96" s="107"/>
      <c r="E96" s="107"/>
      <c r="F96" s="107"/>
      <c r="G96" s="107"/>
      <c r="H96" s="107"/>
      <c r="I96" s="107"/>
      <c r="J96" s="107"/>
      <c r="K96" s="107"/>
      <c r="L96" s="107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5">
      <c r="A97" s="5"/>
      <c r="B97" s="107"/>
      <c r="C97" s="5"/>
      <c r="D97" s="107"/>
      <c r="E97" s="107"/>
      <c r="F97" s="107"/>
      <c r="G97" s="107"/>
      <c r="H97" s="107"/>
      <c r="I97" s="107"/>
      <c r="J97" s="107"/>
      <c r="K97" s="107"/>
      <c r="L97" s="107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5">
      <c r="A98" s="5"/>
      <c r="B98" s="107"/>
      <c r="C98" s="5"/>
      <c r="D98" s="107"/>
      <c r="E98" s="107"/>
      <c r="F98" s="107"/>
      <c r="G98" s="107"/>
      <c r="H98" s="107"/>
      <c r="I98" s="107"/>
      <c r="J98" s="107"/>
      <c r="K98" s="107"/>
      <c r="L98" s="107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5">
      <c r="A99" s="5"/>
      <c r="B99" s="107"/>
      <c r="C99" s="5"/>
      <c r="D99" s="107"/>
      <c r="E99" s="107"/>
      <c r="F99" s="107"/>
      <c r="G99" s="107"/>
      <c r="H99" s="107"/>
      <c r="I99" s="107"/>
      <c r="J99" s="107"/>
      <c r="K99" s="107"/>
      <c r="L99" s="107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5">
      <c r="A100" s="5"/>
      <c r="B100" s="107"/>
      <c r="C100" s="5"/>
      <c r="D100" s="107"/>
      <c r="E100" s="107"/>
      <c r="F100" s="107"/>
      <c r="G100" s="107"/>
      <c r="H100" s="107"/>
      <c r="I100" s="107"/>
      <c r="J100" s="107"/>
      <c r="K100" s="107"/>
      <c r="L100" s="107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5">
      <c r="A101" s="5"/>
      <c r="B101" s="107"/>
      <c r="C101" s="5"/>
      <c r="D101" s="107"/>
      <c r="E101" s="107"/>
      <c r="F101" s="107"/>
      <c r="G101" s="107"/>
      <c r="H101" s="107"/>
      <c r="I101" s="107"/>
      <c r="J101" s="107"/>
      <c r="K101" s="107"/>
      <c r="L101" s="107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5">
      <c r="A102" s="5"/>
      <c r="B102" s="107"/>
      <c r="C102" s="5"/>
      <c r="D102" s="107"/>
      <c r="E102" s="107"/>
      <c r="F102" s="107"/>
      <c r="G102" s="107"/>
      <c r="H102" s="107"/>
      <c r="I102" s="107"/>
      <c r="J102" s="107"/>
      <c r="K102" s="107"/>
      <c r="L102" s="107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5">
      <c r="A103" s="5"/>
      <c r="B103" s="107"/>
      <c r="C103" s="5"/>
      <c r="D103" s="107"/>
      <c r="E103" s="107"/>
      <c r="F103" s="107"/>
      <c r="G103" s="107"/>
      <c r="H103" s="107"/>
      <c r="I103" s="107"/>
      <c r="J103" s="107"/>
      <c r="K103" s="107"/>
      <c r="L103" s="107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5">
      <c r="A104" s="5"/>
      <c r="B104" s="107"/>
      <c r="C104" s="5"/>
      <c r="D104" s="107"/>
      <c r="E104" s="107"/>
      <c r="F104" s="107"/>
      <c r="G104" s="107"/>
      <c r="H104" s="107"/>
      <c r="I104" s="107"/>
      <c r="J104" s="107"/>
      <c r="K104" s="107"/>
      <c r="L104" s="107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5">
      <c r="A105" s="5"/>
      <c r="B105" s="107"/>
      <c r="C105" s="5"/>
      <c r="D105" s="107"/>
      <c r="E105" s="107"/>
      <c r="F105" s="107"/>
      <c r="G105" s="107"/>
      <c r="H105" s="107"/>
      <c r="I105" s="107"/>
      <c r="J105" s="107"/>
      <c r="K105" s="107"/>
      <c r="L105" s="107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5">
      <c r="A106" s="5"/>
      <c r="B106" s="107"/>
      <c r="C106" s="5"/>
      <c r="D106" s="107"/>
      <c r="E106" s="107"/>
      <c r="F106" s="107"/>
      <c r="G106" s="107"/>
      <c r="H106" s="107"/>
      <c r="I106" s="107"/>
      <c r="J106" s="107"/>
      <c r="K106" s="107"/>
      <c r="L106" s="107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5">
      <c r="A107" s="5"/>
      <c r="B107" s="107"/>
      <c r="C107" s="5"/>
      <c r="D107" s="107"/>
      <c r="E107" s="107"/>
      <c r="F107" s="107"/>
      <c r="G107" s="107"/>
      <c r="H107" s="107"/>
      <c r="I107" s="107"/>
      <c r="J107" s="107"/>
      <c r="K107" s="107"/>
      <c r="L107" s="107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5">
      <c r="A108" s="5"/>
      <c r="B108" s="107"/>
      <c r="C108" s="5"/>
      <c r="D108" s="107"/>
      <c r="E108" s="107"/>
      <c r="F108" s="107"/>
      <c r="G108" s="107"/>
      <c r="H108" s="107"/>
      <c r="I108" s="107"/>
      <c r="J108" s="107"/>
      <c r="K108" s="107"/>
      <c r="L108" s="107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5">
      <c r="A109" s="5"/>
      <c r="B109" s="107"/>
      <c r="C109" s="5"/>
      <c r="D109" s="107"/>
      <c r="E109" s="107"/>
      <c r="F109" s="107"/>
      <c r="G109" s="107"/>
      <c r="H109" s="107"/>
      <c r="I109" s="107"/>
      <c r="J109" s="107"/>
      <c r="K109" s="107"/>
      <c r="L109" s="107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5">
      <c r="A110" s="5"/>
      <c r="B110" s="107"/>
      <c r="C110" s="5"/>
      <c r="D110" s="107"/>
      <c r="E110" s="107"/>
      <c r="F110" s="107"/>
      <c r="G110" s="107"/>
      <c r="H110" s="107"/>
      <c r="I110" s="107"/>
      <c r="J110" s="107"/>
      <c r="K110" s="107"/>
      <c r="L110" s="107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5">
      <c r="A111" s="5"/>
      <c r="B111" s="107"/>
      <c r="C111" s="5"/>
      <c r="D111" s="107"/>
      <c r="E111" s="107"/>
      <c r="F111" s="107"/>
      <c r="G111" s="107"/>
      <c r="H111" s="107"/>
      <c r="I111" s="107"/>
      <c r="J111" s="107"/>
      <c r="K111" s="107"/>
      <c r="L111" s="107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5">
      <c r="A112" s="5"/>
      <c r="B112" s="107"/>
      <c r="C112" s="5"/>
      <c r="D112" s="107"/>
      <c r="E112" s="107"/>
      <c r="F112" s="107"/>
      <c r="G112" s="107"/>
      <c r="H112" s="107"/>
      <c r="I112" s="107"/>
      <c r="J112" s="107"/>
      <c r="K112" s="107"/>
      <c r="L112" s="107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5">
      <c r="A113" s="5"/>
      <c r="B113" s="107"/>
      <c r="C113" s="5"/>
      <c r="D113" s="107"/>
      <c r="E113" s="107"/>
      <c r="F113" s="107"/>
      <c r="G113" s="107"/>
      <c r="H113" s="107"/>
      <c r="I113" s="107"/>
      <c r="J113" s="107"/>
      <c r="K113" s="107"/>
      <c r="L113" s="107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5">
      <c r="A114" s="5"/>
      <c r="B114" s="107"/>
      <c r="C114" s="5"/>
      <c r="D114" s="107"/>
      <c r="E114" s="107"/>
      <c r="F114" s="107"/>
      <c r="G114" s="107"/>
      <c r="H114" s="107"/>
      <c r="I114" s="107"/>
      <c r="J114" s="107"/>
      <c r="K114" s="107"/>
      <c r="L114" s="107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5">
      <c r="A115" s="5"/>
      <c r="B115" s="107"/>
      <c r="C115" s="5"/>
      <c r="D115" s="107"/>
      <c r="E115" s="107"/>
      <c r="F115" s="107"/>
      <c r="G115" s="107"/>
      <c r="H115" s="107"/>
      <c r="I115" s="107"/>
      <c r="J115" s="107"/>
      <c r="K115" s="107"/>
      <c r="L115" s="107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5">
      <c r="A116" s="5"/>
      <c r="B116" s="107"/>
      <c r="C116" s="5"/>
      <c r="D116" s="107"/>
      <c r="E116" s="107"/>
      <c r="F116" s="107"/>
      <c r="G116" s="107"/>
      <c r="H116" s="107"/>
      <c r="I116" s="107"/>
      <c r="J116" s="107"/>
      <c r="K116" s="107"/>
      <c r="L116" s="107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5">
      <c r="A117" s="5"/>
      <c r="B117" s="107"/>
      <c r="C117" s="5"/>
      <c r="D117" s="107"/>
      <c r="E117" s="107"/>
      <c r="F117" s="107"/>
      <c r="G117" s="107"/>
      <c r="H117" s="107"/>
      <c r="I117" s="107"/>
      <c r="J117" s="107"/>
      <c r="K117" s="107"/>
      <c r="L117" s="107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5">
      <c r="A118" s="5"/>
      <c r="B118" s="107"/>
      <c r="C118" s="5"/>
      <c r="D118" s="107"/>
      <c r="E118" s="107"/>
      <c r="F118" s="107"/>
      <c r="G118" s="107"/>
      <c r="H118" s="107"/>
      <c r="I118" s="107"/>
      <c r="J118" s="107"/>
      <c r="K118" s="107"/>
      <c r="L118" s="107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5">
      <c r="A119" s="5"/>
      <c r="B119" s="107"/>
      <c r="C119" s="5"/>
      <c r="D119" s="107"/>
      <c r="E119" s="107"/>
      <c r="F119" s="107"/>
      <c r="G119" s="107"/>
      <c r="H119" s="107"/>
      <c r="I119" s="107"/>
      <c r="J119" s="107"/>
      <c r="K119" s="107"/>
      <c r="L119" s="107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5">
      <c r="A120" s="5"/>
      <c r="B120" s="107"/>
      <c r="C120" s="5"/>
      <c r="D120" s="107"/>
      <c r="E120" s="107"/>
      <c r="F120" s="107"/>
      <c r="G120" s="107"/>
      <c r="H120" s="107"/>
      <c r="I120" s="107"/>
      <c r="J120" s="107"/>
      <c r="K120" s="107"/>
      <c r="L120" s="107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5">
      <c r="A121" s="5"/>
      <c r="B121" s="107"/>
      <c r="C121" s="5"/>
      <c r="D121" s="107"/>
      <c r="E121" s="107"/>
      <c r="F121" s="107"/>
      <c r="G121" s="107"/>
      <c r="H121" s="107"/>
      <c r="I121" s="107"/>
      <c r="J121" s="107"/>
      <c r="K121" s="107"/>
      <c r="L121" s="107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5">
      <c r="A122" s="5"/>
      <c r="B122" s="107"/>
      <c r="C122" s="5"/>
      <c r="D122" s="107"/>
      <c r="E122" s="107"/>
      <c r="F122" s="107"/>
      <c r="G122" s="107"/>
      <c r="H122" s="107"/>
      <c r="I122" s="107"/>
      <c r="J122" s="107"/>
      <c r="K122" s="107"/>
      <c r="L122" s="107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5">
      <c r="A123" s="5"/>
      <c r="B123" s="107"/>
      <c r="C123" s="5"/>
      <c r="D123" s="107"/>
      <c r="E123" s="107"/>
      <c r="F123" s="107"/>
      <c r="G123" s="107"/>
      <c r="H123" s="107"/>
      <c r="I123" s="107"/>
      <c r="J123" s="107"/>
      <c r="K123" s="107"/>
      <c r="L123" s="107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5">
      <c r="A124" s="5"/>
      <c r="B124" s="107"/>
      <c r="C124" s="5"/>
      <c r="D124" s="107"/>
      <c r="E124" s="107"/>
      <c r="F124" s="107"/>
      <c r="G124" s="107"/>
      <c r="H124" s="107"/>
      <c r="I124" s="107"/>
      <c r="J124" s="107"/>
      <c r="K124" s="107"/>
      <c r="L124" s="107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5">
      <c r="A125" s="5"/>
      <c r="B125" s="107"/>
      <c r="C125" s="5"/>
      <c r="D125" s="107"/>
      <c r="E125" s="107"/>
      <c r="F125" s="107"/>
      <c r="G125" s="107"/>
      <c r="H125" s="107"/>
      <c r="I125" s="107"/>
      <c r="J125" s="107"/>
      <c r="K125" s="107"/>
      <c r="L125" s="107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5">
      <c r="A126" s="5"/>
      <c r="B126" s="107"/>
      <c r="C126" s="5"/>
      <c r="D126" s="107"/>
      <c r="E126" s="107"/>
      <c r="F126" s="107"/>
      <c r="G126" s="107"/>
      <c r="H126" s="107"/>
      <c r="I126" s="107"/>
      <c r="J126" s="107"/>
      <c r="K126" s="107"/>
      <c r="L126" s="107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5">
      <c r="A127" s="5"/>
      <c r="B127" s="107"/>
      <c r="C127" s="5"/>
      <c r="D127" s="107"/>
      <c r="E127" s="107"/>
      <c r="F127" s="107"/>
      <c r="G127" s="107"/>
      <c r="H127" s="107"/>
      <c r="I127" s="107"/>
      <c r="J127" s="107"/>
      <c r="K127" s="107"/>
      <c r="L127" s="107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5">
      <c r="A128" s="5"/>
      <c r="B128" s="107"/>
      <c r="C128" s="5"/>
      <c r="D128" s="107"/>
      <c r="E128" s="107"/>
      <c r="F128" s="107"/>
      <c r="G128" s="107"/>
      <c r="H128" s="107"/>
      <c r="I128" s="107"/>
      <c r="J128" s="107"/>
      <c r="K128" s="107"/>
      <c r="L128" s="107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5">
      <c r="A129" s="5"/>
      <c r="B129" s="107"/>
      <c r="C129" s="5"/>
      <c r="D129" s="107"/>
      <c r="E129" s="107"/>
      <c r="F129" s="107"/>
      <c r="G129" s="107"/>
      <c r="H129" s="107"/>
      <c r="I129" s="107"/>
      <c r="J129" s="107"/>
      <c r="K129" s="107"/>
      <c r="L129" s="107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5">
      <c r="A130" s="5"/>
      <c r="B130" s="107"/>
      <c r="C130" s="5"/>
      <c r="D130" s="107"/>
      <c r="E130" s="107"/>
      <c r="F130" s="107"/>
      <c r="G130" s="107"/>
      <c r="H130" s="107"/>
      <c r="I130" s="107"/>
      <c r="J130" s="107"/>
      <c r="K130" s="107"/>
      <c r="L130" s="107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5">
      <c r="A131" s="5"/>
      <c r="B131" s="107"/>
      <c r="C131" s="5"/>
      <c r="D131" s="107"/>
      <c r="E131" s="107"/>
      <c r="F131" s="107"/>
      <c r="G131" s="107"/>
      <c r="H131" s="107"/>
      <c r="I131" s="107"/>
      <c r="J131" s="107"/>
      <c r="K131" s="107"/>
      <c r="L131" s="107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5">
      <c r="A132" s="5"/>
      <c r="B132" s="107"/>
      <c r="C132" s="5"/>
      <c r="D132" s="107"/>
      <c r="E132" s="107"/>
      <c r="F132" s="107"/>
      <c r="G132" s="107"/>
      <c r="H132" s="107"/>
      <c r="I132" s="107"/>
      <c r="J132" s="107"/>
      <c r="K132" s="107"/>
      <c r="L132" s="107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5">
      <c r="A133" s="5"/>
      <c r="B133" s="107"/>
      <c r="C133" s="5"/>
      <c r="D133" s="107"/>
      <c r="E133" s="107"/>
      <c r="F133" s="107"/>
      <c r="G133" s="107"/>
      <c r="H133" s="107"/>
      <c r="I133" s="107"/>
      <c r="J133" s="107"/>
      <c r="K133" s="107"/>
      <c r="L133" s="107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5">
      <c r="A134" s="5"/>
      <c r="B134" s="107"/>
      <c r="C134" s="5"/>
      <c r="D134" s="107"/>
      <c r="E134" s="107"/>
      <c r="F134" s="107"/>
      <c r="G134" s="107"/>
      <c r="H134" s="107"/>
      <c r="I134" s="107"/>
      <c r="J134" s="107"/>
      <c r="K134" s="107"/>
      <c r="L134" s="107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5">
      <c r="A135" s="5"/>
      <c r="B135" s="107"/>
      <c r="C135" s="5"/>
      <c r="D135" s="107"/>
      <c r="E135" s="107"/>
      <c r="F135" s="107"/>
      <c r="G135" s="107"/>
      <c r="H135" s="107"/>
      <c r="I135" s="107"/>
      <c r="J135" s="107"/>
      <c r="K135" s="107"/>
      <c r="L135" s="107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5">
      <c r="A136" s="5"/>
      <c r="B136" s="107"/>
      <c r="C136" s="5"/>
      <c r="D136" s="107"/>
      <c r="E136" s="107"/>
      <c r="F136" s="107"/>
      <c r="G136" s="107"/>
      <c r="H136" s="107"/>
      <c r="I136" s="107"/>
      <c r="J136" s="107"/>
      <c r="K136" s="107"/>
      <c r="L136" s="107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5">
      <c r="A137" s="5"/>
      <c r="B137" s="107"/>
      <c r="C137" s="5"/>
      <c r="D137" s="107"/>
      <c r="E137" s="107"/>
      <c r="F137" s="107"/>
      <c r="G137" s="107"/>
      <c r="H137" s="107"/>
      <c r="I137" s="107"/>
      <c r="J137" s="107"/>
      <c r="K137" s="107"/>
      <c r="L137" s="107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5">
      <c r="A138" s="5"/>
      <c r="B138" s="107"/>
      <c r="C138" s="5"/>
      <c r="D138" s="107"/>
      <c r="E138" s="107"/>
      <c r="F138" s="107"/>
      <c r="G138" s="107"/>
      <c r="H138" s="107"/>
      <c r="I138" s="107"/>
      <c r="J138" s="107"/>
      <c r="K138" s="107"/>
      <c r="L138" s="107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5">
      <c r="A139" s="5"/>
      <c r="B139" s="107"/>
      <c r="C139" s="5"/>
      <c r="D139" s="107"/>
      <c r="E139" s="107"/>
      <c r="F139" s="107"/>
      <c r="G139" s="107"/>
      <c r="H139" s="107"/>
      <c r="I139" s="107"/>
      <c r="J139" s="107"/>
      <c r="K139" s="107"/>
      <c r="L139" s="107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5">
      <c r="A140" s="5"/>
      <c r="B140" s="107"/>
      <c r="C140" s="5"/>
      <c r="D140" s="107"/>
      <c r="E140" s="107"/>
      <c r="F140" s="107"/>
      <c r="G140" s="107"/>
      <c r="H140" s="107"/>
      <c r="I140" s="107"/>
      <c r="J140" s="107"/>
      <c r="K140" s="107"/>
      <c r="L140" s="107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5">
      <c r="A141" s="5"/>
      <c r="B141" s="107"/>
      <c r="C141" s="5"/>
      <c r="D141" s="107"/>
      <c r="E141" s="107"/>
      <c r="F141" s="107"/>
      <c r="G141" s="107"/>
      <c r="H141" s="107"/>
      <c r="I141" s="107"/>
      <c r="J141" s="107"/>
      <c r="K141" s="107"/>
      <c r="L141" s="107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5">
      <c r="A142" s="5"/>
      <c r="B142" s="107"/>
      <c r="C142" s="5"/>
      <c r="D142" s="107"/>
      <c r="E142" s="107"/>
      <c r="F142" s="107"/>
      <c r="G142" s="107"/>
      <c r="H142" s="107"/>
      <c r="I142" s="107"/>
      <c r="J142" s="107"/>
      <c r="K142" s="107"/>
      <c r="L142" s="107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5">
      <c r="A143" s="5"/>
      <c r="B143" s="107"/>
      <c r="C143" s="5"/>
      <c r="D143" s="107"/>
      <c r="E143" s="107"/>
      <c r="F143" s="107"/>
      <c r="G143" s="107"/>
      <c r="H143" s="107"/>
      <c r="I143" s="107"/>
      <c r="J143" s="107"/>
      <c r="K143" s="107"/>
      <c r="L143" s="107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5">
      <c r="A144" s="5"/>
      <c r="B144" s="107"/>
      <c r="C144" s="5"/>
      <c r="D144" s="107"/>
      <c r="E144" s="107"/>
      <c r="F144" s="107"/>
      <c r="G144" s="107"/>
      <c r="H144" s="107"/>
      <c r="I144" s="107"/>
      <c r="J144" s="107"/>
      <c r="K144" s="107"/>
      <c r="L144" s="107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5">
      <c r="A145" s="5"/>
      <c r="B145" s="107"/>
      <c r="C145" s="5"/>
      <c r="D145" s="107"/>
      <c r="E145" s="107"/>
      <c r="F145" s="107"/>
      <c r="G145" s="107"/>
      <c r="H145" s="107"/>
      <c r="I145" s="107"/>
      <c r="J145" s="107"/>
      <c r="K145" s="107"/>
      <c r="L145" s="107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5">
      <c r="A146" s="5"/>
      <c r="B146" s="107"/>
      <c r="C146" s="5"/>
      <c r="D146" s="107"/>
      <c r="E146" s="107"/>
      <c r="F146" s="107"/>
      <c r="G146" s="107"/>
      <c r="H146" s="107"/>
      <c r="I146" s="107"/>
      <c r="J146" s="107"/>
      <c r="K146" s="107"/>
      <c r="L146" s="107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5">
      <c r="A147" s="5"/>
      <c r="B147" s="107"/>
      <c r="C147" s="5"/>
      <c r="D147" s="107"/>
      <c r="E147" s="107"/>
      <c r="F147" s="107"/>
      <c r="G147" s="107"/>
      <c r="H147" s="107"/>
      <c r="I147" s="107"/>
      <c r="J147" s="107"/>
      <c r="K147" s="107"/>
      <c r="L147" s="107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5">
      <c r="A148" s="5"/>
      <c r="B148" s="107"/>
      <c r="C148" s="5"/>
      <c r="D148" s="107"/>
      <c r="E148" s="107"/>
      <c r="F148" s="107"/>
      <c r="G148" s="107"/>
      <c r="H148" s="107"/>
      <c r="I148" s="107"/>
      <c r="J148" s="107"/>
      <c r="K148" s="107"/>
      <c r="L148" s="107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5">
      <c r="A149" s="5"/>
      <c r="B149" s="107"/>
      <c r="C149" s="5"/>
      <c r="D149" s="107"/>
      <c r="E149" s="107"/>
      <c r="F149" s="107"/>
      <c r="G149" s="107"/>
      <c r="H149" s="107"/>
      <c r="I149" s="107"/>
      <c r="J149" s="107"/>
      <c r="K149" s="107"/>
      <c r="L149" s="107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5">
      <c r="A150" s="5"/>
      <c r="B150" s="107"/>
      <c r="C150" s="5"/>
      <c r="D150" s="107"/>
      <c r="E150" s="107"/>
      <c r="F150" s="107"/>
      <c r="G150" s="107"/>
      <c r="H150" s="107"/>
      <c r="I150" s="107"/>
      <c r="J150" s="107"/>
      <c r="K150" s="107"/>
      <c r="L150" s="107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5">
      <c r="A151" s="5"/>
      <c r="B151" s="107"/>
      <c r="C151" s="5"/>
      <c r="D151" s="107"/>
      <c r="E151" s="107"/>
      <c r="F151" s="107"/>
      <c r="G151" s="107"/>
      <c r="H151" s="107"/>
      <c r="I151" s="107"/>
      <c r="J151" s="107"/>
      <c r="K151" s="107"/>
      <c r="L151" s="107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5">
      <c r="A152" s="5"/>
      <c r="B152" s="107"/>
      <c r="C152" s="5"/>
      <c r="D152" s="107"/>
      <c r="E152" s="107"/>
      <c r="F152" s="107"/>
      <c r="G152" s="107"/>
      <c r="H152" s="107"/>
      <c r="I152" s="107"/>
      <c r="J152" s="107"/>
      <c r="K152" s="107"/>
      <c r="L152" s="107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5">
      <c r="A153" s="5"/>
      <c r="B153" s="107"/>
      <c r="C153" s="5"/>
      <c r="D153" s="107"/>
      <c r="E153" s="107"/>
      <c r="F153" s="107"/>
      <c r="G153" s="107"/>
      <c r="H153" s="107"/>
      <c r="I153" s="107"/>
      <c r="J153" s="107"/>
      <c r="K153" s="107"/>
      <c r="L153" s="107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5">
      <c r="A154" s="5"/>
      <c r="B154" s="107"/>
      <c r="C154" s="5"/>
      <c r="D154" s="107"/>
      <c r="E154" s="107"/>
      <c r="F154" s="107"/>
      <c r="G154" s="107"/>
      <c r="H154" s="107"/>
      <c r="I154" s="107"/>
      <c r="J154" s="107"/>
      <c r="K154" s="107"/>
      <c r="L154" s="107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5">
      <c r="A155" s="5"/>
      <c r="B155" s="107"/>
      <c r="C155" s="5"/>
      <c r="D155" s="107"/>
      <c r="E155" s="107"/>
      <c r="F155" s="107"/>
      <c r="G155" s="107"/>
      <c r="H155" s="107"/>
      <c r="I155" s="107"/>
      <c r="J155" s="107"/>
      <c r="K155" s="107"/>
      <c r="L155" s="107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5">
      <c r="A156" s="5"/>
      <c r="B156" s="107"/>
      <c r="C156" s="5"/>
      <c r="D156" s="107"/>
      <c r="E156" s="107"/>
      <c r="F156" s="107"/>
      <c r="G156" s="107"/>
      <c r="H156" s="107"/>
      <c r="I156" s="107"/>
      <c r="J156" s="107"/>
      <c r="K156" s="107"/>
      <c r="L156" s="107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5">
      <c r="A157" s="5"/>
      <c r="B157" s="107"/>
      <c r="C157" s="5"/>
      <c r="D157" s="107"/>
      <c r="E157" s="107"/>
      <c r="F157" s="107"/>
      <c r="G157" s="107"/>
      <c r="H157" s="107"/>
      <c r="I157" s="107"/>
      <c r="J157" s="107"/>
      <c r="K157" s="107"/>
      <c r="L157" s="107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5">
      <c r="A158" s="5"/>
      <c r="B158" s="107"/>
      <c r="C158" s="5"/>
      <c r="D158" s="107"/>
      <c r="E158" s="107"/>
      <c r="F158" s="107"/>
      <c r="G158" s="107"/>
      <c r="H158" s="107"/>
      <c r="I158" s="107"/>
      <c r="J158" s="107"/>
      <c r="K158" s="107"/>
      <c r="L158" s="107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5">
      <c r="A159" s="5"/>
      <c r="B159" s="107"/>
      <c r="C159" s="5"/>
      <c r="D159" s="107"/>
      <c r="E159" s="107"/>
      <c r="F159" s="107"/>
      <c r="G159" s="107"/>
      <c r="H159" s="107"/>
      <c r="I159" s="107"/>
      <c r="J159" s="107"/>
      <c r="K159" s="107"/>
      <c r="L159" s="107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5">
      <c r="A160" s="5"/>
      <c r="B160" s="107"/>
      <c r="C160" s="5"/>
      <c r="D160" s="107"/>
      <c r="E160" s="107"/>
      <c r="F160" s="107"/>
      <c r="G160" s="107"/>
      <c r="H160" s="107"/>
      <c r="I160" s="107"/>
      <c r="J160" s="107"/>
      <c r="K160" s="107"/>
      <c r="L160" s="107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5">
      <c r="A161" s="5"/>
      <c r="B161" s="107"/>
      <c r="C161" s="5"/>
      <c r="D161" s="107"/>
      <c r="E161" s="107"/>
      <c r="F161" s="107"/>
      <c r="G161" s="107"/>
      <c r="H161" s="107"/>
      <c r="I161" s="107"/>
      <c r="J161" s="107"/>
      <c r="K161" s="107"/>
      <c r="L161" s="107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5">
      <c r="A162" s="5"/>
      <c r="B162" s="107"/>
      <c r="C162" s="5"/>
      <c r="D162" s="107"/>
      <c r="E162" s="107"/>
      <c r="F162" s="107"/>
      <c r="G162" s="107"/>
      <c r="H162" s="107"/>
      <c r="I162" s="107"/>
      <c r="J162" s="107"/>
      <c r="K162" s="107"/>
      <c r="L162" s="107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5">
      <c r="A163" s="5"/>
      <c r="B163" s="107"/>
      <c r="C163" s="5"/>
      <c r="D163" s="107"/>
      <c r="E163" s="107"/>
      <c r="F163" s="107"/>
      <c r="G163" s="107"/>
      <c r="H163" s="107"/>
      <c r="I163" s="107"/>
      <c r="J163" s="107"/>
      <c r="K163" s="107"/>
      <c r="L163" s="107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5">
      <c r="A164" s="5"/>
      <c r="B164" s="107"/>
      <c r="C164" s="5"/>
      <c r="D164" s="107"/>
      <c r="E164" s="107"/>
      <c r="F164" s="107"/>
      <c r="G164" s="107"/>
      <c r="H164" s="107"/>
      <c r="I164" s="107"/>
      <c r="J164" s="107"/>
      <c r="K164" s="107"/>
      <c r="L164" s="107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5">
      <c r="A165" s="5"/>
      <c r="B165" s="107"/>
      <c r="C165" s="5"/>
      <c r="D165" s="107"/>
      <c r="E165" s="107"/>
      <c r="F165" s="107"/>
      <c r="G165" s="107"/>
      <c r="H165" s="107"/>
      <c r="I165" s="107"/>
      <c r="J165" s="107"/>
      <c r="K165" s="107"/>
      <c r="L165" s="107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5">
      <c r="A166" s="5"/>
      <c r="B166" s="107"/>
      <c r="C166" s="5"/>
      <c r="D166" s="107"/>
      <c r="E166" s="107"/>
      <c r="F166" s="107"/>
      <c r="G166" s="107"/>
      <c r="H166" s="107"/>
      <c r="I166" s="107"/>
      <c r="J166" s="107"/>
      <c r="K166" s="107"/>
      <c r="L166" s="107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5">
      <c r="A167" s="5"/>
      <c r="B167" s="107"/>
      <c r="C167" s="5"/>
      <c r="D167" s="107"/>
      <c r="E167" s="107"/>
      <c r="F167" s="107"/>
      <c r="G167" s="107"/>
      <c r="H167" s="107"/>
      <c r="I167" s="107"/>
      <c r="J167" s="107"/>
      <c r="K167" s="107"/>
      <c r="L167" s="107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5">
      <c r="A168" s="5"/>
      <c r="B168" s="107"/>
      <c r="C168" s="5"/>
      <c r="D168" s="107"/>
      <c r="E168" s="107"/>
      <c r="F168" s="107"/>
      <c r="G168" s="107"/>
      <c r="H168" s="107"/>
      <c r="I168" s="107"/>
      <c r="J168" s="107"/>
      <c r="K168" s="107"/>
      <c r="L168" s="107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5">
      <c r="A169" s="5"/>
      <c r="B169" s="107"/>
      <c r="C169" s="5"/>
      <c r="D169" s="107"/>
      <c r="E169" s="107"/>
      <c r="F169" s="107"/>
      <c r="G169" s="107"/>
      <c r="H169" s="107"/>
      <c r="I169" s="107"/>
      <c r="J169" s="107"/>
      <c r="K169" s="107"/>
      <c r="L169" s="107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5">
      <c r="A170" s="5"/>
      <c r="B170" s="107"/>
      <c r="C170" s="5"/>
      <c r="D170" s="107"/>
      <c r="E170" s="107"/>
      <c r="F170" s="107"/>
      <c r="G170" s="107"/>
      <c r="H170" s="107"/>
      <c r="I170" s="107"/>
      <c r="J170" s="107"/>
      <c r="K170" s="107"/>
      <c r="L170" s="107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5">
      <c r="A171" s="5"/>
      <c r="B171" s="107"/>
      <c r="C171" s="5"/>
      <c r="D171" s="107"/>
      <c r="E171" s="107"/>
      <c r="F171" s="107"/>
      <c r="G171" s="107"/>
      <c r="H171" s="107"/>
      <c r="I171" s="107"/>
      <c r="J171" s="107"/>
      <c r="K171" s="107"/>
      <c r="L171" s="107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5">
      <c r="A172" s="5"/>
      <c r="B172" s="107"/>
      <c r="C172" s="5"/>
      <c r="D172" s="107"/>
      <c r="E172" s="107"/>
      <c r="F172" s="107"/>
      <c r="G172" s="107"/>
      <c r="H172" s="107"/>
      <c r="I172" s="107"/>
      <c r="J172" s="107"/>
      <c r="K172" s="107"/>
      <c r="L172" s="107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5">
      <c r="A173" s="5"/>
      <c r="B173" s="107"/>
      <c r="C173" s="5"/>
      <c r="D173" s="107"/>
      <c r="E173" s="107"/>
      <c r="F173" s="107"/>
      <c r="G173" s="107"/>
      <c r="H173" s="107"/>
      <c r="I173" s="107"/>
      <c r="J173" s="107"/>
      <c r="K173" s="107"/>
      <c r="L173" s="107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5">
      <c r="A174" s="5"/>
      <c r="B174" s="107"/>
      <c r="C174" s="5"/>
      <c r="D174" s="107"/>
      <c r="E174" s="107"/>
      <c r="F174" s="107"/>
      <c r="G174" s="107"/>
      <c r="H174" s="107"/>
      <c r="I174" s="107"/>
      <c r="J174" s="107"/>
      <c r="K174" s="107"/>
      <c r="L174" s="107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5">
      <c r="A175" s="5"/>
      <c r="B175" s="107"/>
      <c r="C175" s="5"/>
      <c r="D175" s="107"/>
      <c r="E175" s="107"/>
      <c r="F175" s="107"/>
      <c r="G175" s="107"/>
      <c r="H175" s="107"/>
      <c r="I175" s="107"/>
      <c r="J175" s="107"/>
      <c r="K175" s="107"/>
      <c r="L175" s="107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5">
      <c r="A176" s="5"/>
      <c r="B176" s="107"/>
      <c r="C176" s="5"/>
      <c r="D176" s="107"/>
      <c r="E176" s="107"/>
      <c r="F176" s="107"/>
      <c r="G176" s="107"/>
      <c r="H176" s="107"/>
      <c r="I176" s="107"/>
      <c r="J176" s="107"/>
      <c r="K176" s="107"/>
      <c r="L176" s="107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5">
      <c r="A177" s="5"/>
      <c r="B177" s="107"/>
      <c r="C177" s="5"/>
      <c r="D177" s="107"/>
      <c r="E177" s="107"/>
      <c r="F177" s="107"/>
      <c r="G177" s="107"/>
      <c r="H177" s="107"/>
      <c r="I177" s="107"/>
      <c r="J177" s="107"/>
      <c r="K177" s="107"/>
      <c r="L177" s="107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5">
      <c r="A178" s="5"/>
      <c r="B178" s="107"/>
      <c r="C178" s="5"/>
      <c r="D178" s="107"/>
      <c r="E178" s="107"/>
      <c r="F178" s="107"/>
      <c r="G178" s="107"/>
      <c r="H178" s="107"/>
      <c r="I178" s="107"/>
      <c r="J178" s="107"/>
      <c r="K178" s="107"/>
      <c r="L178" s="107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5">
      <c r="A179" s="5"/>
      <c r="B179" s="107"/>
      <c r="C179" s="5"/>
      <c r="D179" s="107"/>
      <c r="E179" s="107"/>
      <c r="F179" s="107"/>
      <c r="G179" s="107"/>
      <c r="H179" s="107"/>
      <c r="I179" s="107"/>
      <c r="J179" s="107"/>
      <c r="K179" s="107"/>
      <c r="L179" s="107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5">
      <c r="A180" s="5"/>
      <c r="B180" s="107"/>
      <c r="C180" s="5"/>
      <c r="D180" s="107"/>
      <c r="E180" s="107"/>
      <c r="F180" s="107"/>
      <c r="G180" s="107"/>
      <c r="H180" s="107"/>
      <c r="I180" s="107"/>
      <c r="J180" s="107"/>
      <c r="K180" s="107"/>
      <c r="L180" s="107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5">
      <c r="A181" s="5"/>
      <c r="B181" s="107"/>
      <c r="C181" s="5"/>
      <c r="D181" s="107"/>
      <c r="E181" s="107"/>
      <c r="F181" s="107"/>
      <c r="G181" s="107"/>
      <c r="H181" s="107"/>
      <c r="I181" s="107"/>
      <c r="J181" s="107"/>
      <c r="K181" s="107"/>
      <c r="L181" s="107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5">
      <c r="A182" s="5"/>
      <c r="B182" s="107"/>
      <c r="C182" s="5"/>
      <c r="D182" s="107"/>
      <c r="E182" s="107"/>
      <c r="F182" s="107"/>
      <c r="G182" s="107"/>
      <c r="H182" s="107"/>
      <c r="I182" s="107"/>
      <c r="J182" s="107"/>
      <c r="K182" s="107"/>
      <c r="L182" s="107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5">
      <c r="A183" s="5"/>
      <c r="B183" s="107"/>
      <c r="C183" s="5"/>
      <c r="D183" s="107"/>
      <c r="E183" s="107"/>
      <c r="F183" s="107"/>
      <c r="G183" s="107"/>
      <c r="H183" s="107"/>
      <c r="I183" s="107"/>
      <c r="J183" s="107"/>
      <c r="K183" s="107"/>
      <c r="L183" s="107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5">
      <c r="A184" s="5"/>
      <c r="B184" s="107"/>
      <c r="C184" s="5"/>
      <c r="D184" s="107"/>
      <c r="E184" s="107"/>
      <c r="F184" s="107"/>
      <c r="G184" s="107"/>
      <c r="H184" s="107"/>
      <c r="I184" s="107"/>
      <c r="J184" s="107"/>
      <c r="K184" s="107"/>
      <c r="L184" s="107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5">
      <c r="A185" s="5"/>
      <c r="B185" s="107"/>
      <c r="C185" s="5"/>
      <c r="D185" s="107"/>
      <c r="E185" s="107"/>
      <c r="F185" s="107"/>
      <c r="G185" s="107"/>
      <c r="H185" s="107"/>
      <c r="I185" s="107"/>
      <c r="J185" s="107"/>
      <c r="K185" s="107"/>
      <c r="L185" s="107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5">
      <c r="A186" s="5"/>
      <c r="B186" s="107"/>
      <c r="C186" s="5"/>
      <c r="D186" s="107"/>
      <c r="E186" s="107"/>
      <c r="F186" s="107"/>
      <c r="G186" s="107"/>
      <c r="H186" s="107"/>
      <c r="I186" s="107"/>
      <c r="J186" s="107"/>
      <c r="K186" s="107"/>
      <c r="L186" s="107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5">
      <c r="A187" s="5"/>
      <c r="B187" s="107"/>
      <c r="C187" s="5"/>
      <c r="D187" s="107"/>
      <c r="E187" s="107"/>
      <c r="F187" s="107"/>
      <c r="G187" s="107"/>
      <c r="H187" s="107"/>
      <c r="I187" s="107"/>
      <c r="J187" s="107"/>
      <c r="K187" s="107"/>
      <c r="L187" s="107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5">
      <c r="A188" s="5"/>
      <c r="B188" s="107"/>
      <c r="C188" s="5"/>
      <c r="D188" s="107"/>
      <c r="E188" s="107"/>
      <c r="F188" s="107"/>
      <c r="G188" s="107"/>
      <c r="H188" s="107"/>
      <c r="I188" s="107"/>
      <c r="J188" s="107"/>
      <c r="K188" s="107"/>
      <c r="L188" s="107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5">
      <c r="A189" s="5"/>
      <c r="B189" s="107"/>
      <c r="C189" s="5"/>
      <c r="D189" s="107"/>
      <c r="E189" s="107"/>
      <c r="F189" s="107"/>
      <c r="G189" s="107"/>
      <c r="H189" s="107"/>
      <c r="I189" s="107"/>
      <c r="J189" s="107"/>
      <c r="K189" s="107"/>
      <c r="L189" s="107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5">
      <c r="A190" s="5"/>
      <c r="B190" s="107"/>
      <c r="C190" s="5"/>
      <c r="D190" s="107"/>
      <c r="E190" s="107"/>
      <c r="F190" s="107"/>
      <c r="G190" s="107"/>
      <c r="H190" s="107"/>
      <c r="I190" s="107"/>
      <c r="J190" s="107"/>
      <c r="K190" s="107"/>
      <c r="L190" s="107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5">
      <c r="A191" s="5"/>
      <c r="B191" s="107"/>
      <c r="C191" s="5"/>
      <c r="D191" s="107"/>
      <c r="E191" s="107"/>
      <c r="F191" s="107"/>
      <c r="G191" s="107"/>
      <c r="H191" s="107"/>
      <c r="I191" s="107"/>
      <c r="J191" s="107"/>
      <c r="K191" s="107"/>
      <c r="L191" s="107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5">
      <c r="A192" s="5"/>
      <c r="B192" s="107"/>
      <c r="C192" s="5"/>
      <c r="D192" s="107"/>
      <c r="E192" s="107"/>
      <c r="F192" s="107"/>
      <c r="G192" s="107"/>
      <c r="H192" s="107"/>
      <c r="I192" s="107"/>
      <c r="J192" s="107"/>
      <c r="K192" s="107"/>
      <c r="L192" s="107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5">
      <c r="A193" s="5"/>
      <c r="B193" s="107"/>
      <c r="C193" s="5"/>
      <c r="D193" s="107"/>
      <c r="E193" s="107"/>
      <c r="F193" s="107"/>
      <c r="G193" s="107"/>
      <c r="H193" s="107"/>
      <c r="I193" s="107"/>
      <c r="J193" s="107"/>
      <c r="K193" s="107"/>
      <c r="L193" s="107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5">
      <c r="A194" s="5"/>
      <c r="B194" s="107"/>
      <c r="C194" s="5"/>
      <c r="D194" s="107"/>
      <c r="E194" s="107"/>
      <c r="F194" s="107"/>
      <c r="G194" s="107"/>
      <c r="H194" s="107"/>
      <c r="I194" s="107"/>
      <c r="J194" s="107"/>
      <c r="K194" s="107"/>
      <c r="L194" s="107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5">
      <c r="A195" s="5"/>
      <c r="B195" s="107"/>
      <c r="C195" s="5"/>
      <c r="D195" s="107"/>
      <c r="E195" s="107"/>
      <c r="F195" s="107"/>
      <c r="G195" s="107"/>
      <c r="H195" s="107"/>
      <c r="I195" s="107"/>
      <c r="J195" s="107"/>
      <c r="K195" s="107"/>
      <c r="L195" s="107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5">
      <c r="A196" s="5"/>
      <c r="B196" s="107"/>
      <c r="C196" s="5"/>
      <c r="D196" s="107"/>
      <c r="E196" s="107"/>
      <c r="F196" s="107"/>
      <c r="G196" s="107"/>
      <c r="H196" s="107"/>
      <c r="I196" s="107"/>
      <c r="J196" s="107"/>
      <c r="K196" s="107"/>
      <c r="L196" s="107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5">
      <c r="A197" s="5"/>
      <c r="B197" s="107"/>
      <c r="C197" s="5"/>
      <c r="D197" s="107"/>
      <c r="E197" s="107"/>
      <c r="F197" s="107"/>
      <c r="G197" s="107"/>
      <c r="H197" s="107"/>
      <c r="I197" s="107"/>
      <c r="J197" s="107"/>
      <c r="K197" s="107"/>
      <c r="L197" s="107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5">
      <c r="A198" s="5"/>
      <c r="B198" s="107"/>
      <c r="C198" s="5"/>
      <c r="D198" s="107"/>
      <c r="E198" s="107"/>
      <c r="F198" s="107"/>
      <c r="G198" s="107"/>
      <c r="H198" s="107"/>
      <c r="I198" s="107"/>
      <c r="J198" s="107"/>
      <c r="K198" s="107"/>
      <c r="L198" s="107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5">
      <c r="A199" s="5"/>
      <c r="B199" s="107"/>
      <c r="C199" s="5"/>
      <c r="D199" s="107"/>
      <c r="E199" s="107"/>
      <c r="F199" s="107"/>
      <c r="G199" s="107"/>
      <c r="H199" s="107"/>
      <c r="I199" s="107"/>
      <c r="J199" s="107"/>
      <c r="K199" s="107"/>
      <c r="L199" s="107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5">
      <c r="A200" s="5"/>
      <c r="B200" s="107"/>
      <c r="C200" s="5"/>
      <c r="D200" s="107"/>
      <c r="E200" s="107"/>
      <c r="F200" s="107"/>
      <c r="G200" s="107"/>
      <c r="H200" s="107"/>
      <c r="I200" s="107"/>
      <c r="J200" s="107"/>
      <c r="K200" s="107"/>
      <c r="L200" s="107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5">
      <c r="A201" s="5"/>
      <c r="B201" s="107"/>
      <c r="C201" s="5"/>
      <c r="D201" s="107"/>
      <c r="E201" s="107"/>
      <c r="F201" s="107"/>
      <c r="G201" s="107"/>
      <c r="H201" s="107"/>
      <c r="I201" s="107"/>
      <c r="J201" s="107"/>
      <c r="K201" s="107"/>
      <c r="L201" s="107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5">
      <c r="A202" s="5"/>
      <c r="B202" s="107"/>
      <c r="C202" s="5"/>
      <c r="D202" s="107"/>
      <c r="E202" s="107"/>
      <c r="F202" s="107"/>
      <c r="G202" s="107"/>
      <c r="H202" s="107"/>
      <c r="I202" s="107"/>
      <c r="J202" s="107"/>
      <c r="K202" s="107"/>
      <c r="L202" s="107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5">
      <c r="A203" s="5"/>
      <c r="B203" s="107"/>
      <c r="C203" s="5"/>
      <c r="D203" s="107"/>
      <c r="E203" s="107"/>
      <c r="F203" s="107"/>
      <c r="G203" s="107"/>
      <c r="H203" s="107"/>
      <c r="I203" s="107"/>
      <c r="J203" s="107"/>
      <c r="K203" s="107"/>
      <c r="L203" s="107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5">
      <c r="A204" s="5"/>
      <c r="B204" s="107"/>
      <c r="C204" s="5"/>
      <c r="D204" s="107"/>
      <c r="E204" s="107"/>
      <c r="F204" s="107"/>
      <c r="G204" s="107"/>
      <c r="H204" s="107"/>
      <c r="I204" s="107"/>
      <c r="J204" s="107"/>
      <c r="K204" s="107"/>
      <c r="L204" s="107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5">
      <c r="A205" s="5"/>
      <c r="B205" s="107"/>
      <c r="C205" s="5"/>
      <c r="D205" s="107"/>
      <c r="E205" s="107"/>
      <c r="F205" s="107"/>
      <c r="G205" s="107"/>
      <c r="H205" s="107"/>
      <c r="I205" s="107"/>
      <c r="J205" s="107"/>
      <c r="K205" s="107"/>
      <c r="L205" s="107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5">
      <c r="A206" s="5"/>
      <c r="B206" s="107"/>
      <c r="C206" s="5"/>
      <c r="D206" s="107"/>
      <c r="E206" s="107"/>
      <c r="F206" s="107"/>
      <c r="G206" s="107"/>
      <c r="H206" s="107"/>
      <c r="I206" s="107"/>
      <c r="J206" s="107"/>
      <c r="K206" s="107"/>
      <c r="L206" s="107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5">
      <c r="A207" s="5"/>
      <c r="B207" s="107"/>
      <c r="C207" s="5"/>
      <c r="D207" s="107"/>
      <c r="E207" s="107"/>
      <c r="F207" s="107"/>
      <c r="G207" s="107"/>
      <c r="H207" s="107"/>
      <c r="I207" s="107"/>
      <c r="J207" s="107"/>
      <c r="K207" s="107"/>
      <c r="L207" s="107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5">
      <c r="A208" s="5"/>
      <c r="B208" s="107"/>
      <c r="C208" s="5"/>
      <c r="D208" s="107"/>
      <c r="E208" s="107"/>
      <c r="F208" s="107"/>
      <c r="G208" s="107"/>
      <c r="H208" s="107"/>
      <c r="I208" s="107"/>
      <c r="J208" s="107"/>
      <c r="K208" s="107"/>
      <c r="L208" s="107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5">
      <c r="A209" s="5"/>
      <c r="B209" s="107"/>
      <c r="C209" s="5"/>
      <c r="D209" s="107"/>
      <c r="E209" s="107"/>
      <c r="F209" s="107"/>
      <c r="G209" s="107"/>
      <c r="H209" s="107"/>
      <c r="I209" s="107"/>
      <c r="J209" s="107"/>
      <c r="K209" s="107"/>
      <c r="L209" s="107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5">
      <c r="A210" s="5"/>
      <c r="B210" s="107"/>
      <c r="C210" s="5"/>
      <c r="D210" s="107"/>
      <c r="E210" s="107"/>
      <c r="F210" s="107"/>
      <c r="G210" s="107"/>
      <c r="H210" s="107"/>
      <c r="I210" s="107"/>
      <c r="J210" s="107"/>
      <c r="K210" s="107"/>
      <c r="L210" s="107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5">
      <c r="A211" s="5"/>
      <c r="B211" s="107"/>
      <c r="C211" s="5"/>
      <c r="D211" s="107"/>
      <c r="E211" s="107"/>
      <c r="F211" s="107"/>
      <c r="G211" s="107"/>
      <c r="H211" s="107"/>
      <c r="I211" s="107"/>
      <c r="J211" s="107"/>
      <c r="K211" s="107"/>
      <c r="L211" s="107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5">
      <c r="A212" s="5"/>
      <c r="B212" s="107"/>
      <c r="C212" s="5"/>
      <c r="D212" s="107"/>
      <c r="E212" s="107"/>
      <c r="F212" s="107"/>
      <c r="G212" s="107"/>
      <c r="H212" s="107"/>
      <c r="I212" s="107"/>
      <c r="J212" s="107"/>
      <c r="K212" s="107"/>
      <c r="L212" s="107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5">
      <c r="A213" s="5"/>
      <c r="B213" s="107"/>
      <c r="C213" s="5"/>
      <c r="D213" s="107"/>
      <c r="E213" s="107"/>
      <c r="F213" s="107"/>
      <c r="G213" s="107"/>
      <c r="H213" s="107"/>
      <c r="I213" s="107"/>
      <c r="J213" s="107"/>
      <c r="K213" s="107"/>
      <c r="L213" s="107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5">
      <c r="A214" s="5"/>
      <c r="B214" s="107"/>
      <c r="C214" s="5"/>
      <c r="D214" s="107"/>
      <c r="E214" s="107"/>
      <c r="F214" s="107"/>
      <c r="G214" s="107"/>
      <c r="H214" s="107"/>
      <c r="I214" s="107"/>
      <c r="J214" s="107"/>
      <c r="K214" s="107"/>
      <c r="L214" s="107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5">
      <c r="A215" s="5"/>
      <c r="B215" s="107"/>
      <c r="C215" s="5"/>
      <c r="D215" s="107"/>
      <c r="E215" s="107"/>
      <c r="F215" s="107"/>
      <c r="G215" s="107"/>
      <c r="H215" s="107"/>
      <c r="I215" s="107"/>
      <c r="J215" s="107"/>
      <c r="K215" s="107"/>
      <c r="L215" s="107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5">
      <c r="A216" s="5"/>
      <c r="B216" s="107"/>
      <c r="C216" s="5"/>
      <c r="D216" s="107"/>
      <c r="E216" s="107"/>
      <c r="F216" s="107"/>
      <c r="G216" s="107"/>
      <c r="H216" s="107"/>
      <c r="I216" s="107"/>
      <c r="J216" s="107"/>
      <c r="K216" s="107"/>
      <c r="L216" s="107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5">
      <c r="A217" s="5"/>
      <c r="B217" s="107"/>
      <c r="C217" s="5"/>
      <c r="D217" s="107"/>
      <c r="E217" s="107"/>
      <c r="F217" s="107"/>
      <c r="G217" s="107"/>
      <c r="H217" s="107"/>
      <c r="I217" s="107"/>
      <c r="J217" s="107"/>
      <c r="K217" s="107"/>
      <c r="L217" s="107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5">
      <c r="A218" s="5"/>
      <c r="B218" s="107"/>
      <c r="C218" s="5"/>
      <c r="D218" s="107"/>
      <c r="E218" s="107"/>
      <c r="F218" s="107"/>
      <c r="G218" s="107"/>
      <c r="H218" s="107"/>
      <c r="I218" s="107"/>
      <c r="J218" s="107"/>
      <c r="K218" s="107"/>
      <c r="L218" s="107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5">
      <c r="A219" s="5"/>
      <c r="B219" s="107"/>
      <c r="C219" s="5"/>
      <c r="D219" s="107"/>
      <c r="E219" s="107"/>
      <c r="F219" s="107"/>
      <c r="G219" s="107"/>
      <c r="H219" s="107"/>
      <c r="I219" s="107"/>
      <c r="J219" s="107"/>
      <c r="K219" s="107"/>
      <c r="L219" s="107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5">
      <c r="A220" s="5"/>
      <c r="B220" s="5"/>
      <c r="C220" s="5"/>
      <c r="D220" s="107"/>
      <c r="E220" s="107"/>
      <c r="F220" s="107"/>
      <c r="G220" s="107"/>
      <c r="H220" s="107"/>
      <c r="I220" s="107"/>
      <c r="J220" s="107"/>
      <c r="K220" s="107"/>
      <c r="L220" s="107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5"/>
    <row r="270" spans="1:26" ht="15.75" customHeight="1" x14ac:dyDescent="0.25"/>
    <row r="271" spans="1:26" ht="15.75" customHeight="1" x14ac:dyDescent="0.25"/>
    <row r="272" spans="1:26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D1:L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</sheetPr>
  <dimension ref="A1:Z1000"/>
  <sheetViews>
    <sheetView workbookViewId="0">
      <pane xSplit="3" ySplit="4" topLeftCell="E30" activePane="bottomRight" state="frozen"/>
      <selection pane="topRight" activeCell="D1" sqref="D1"/>
      <selection pane="bottomLeft" activeCell="A5" sqref="A5"/>
      <selection pane="bottomRight" activeCell="N47" sqref="N47"/>
    </sheetView>
  </sheetViews>
  <sheetFormatPr defaultColWidth="11.125" defaultRowHeight="15" customHeight="1" x14ac:dyDescent="0.25"/>
  <cols>
    <col min="1" max="1" width="8.625" customWidth="1"/>
    <col min="2" max="2" width="63.625" customWidth="1"/>
    <col min="3" max="3" width="12.625" customWidth="1"/>
    <col min="4" max="4" width="7.5" hidden="1" customWidth="1"/>
    <col min="5" max="6" width="8.625" customWidth="1"/>
    <col min="7" max="10" width="12.625" customWidth="1"/>
    <col min="11" max="12" width="11.625" customWidth="1"/>
    <col min="13" max="19" width="8.375" customWidth="1"/>
    <col min="20" max="26" width="11.125" customWidth="1"/>
  </cols>
  <sheetData>
    <row r="1" spans="1:26" ht="18" customHeight="1" x14ac:dyDescent="0.25">
      <c r="A1" s="1"/>
      <c r="B1" s="3"/>
      <c r="C1" s="1"/>
      <c r="D1" s="165">
        <v>2026</v>
      </c>
      <c r="E1" s="164"/>
      <c r="F1" s="164"/>
      <c r="G1" s="164"/>
      <c r="H1" s="164"/>
      <c r="I1" s="164"/>
      <c r="J1" s="164"/>
      <c r="K1" s="164"/>
      <c r="L1" s="164"/>
      <c r="M1" s="151">
        <v>2027</v>
      </c>
      <c r="N1" s="8"/>
      <c r="O1" s="8"/>
      <c r="P1" s="8"/>
      <c r="Q1" s="8"/>
      <c r="R1" s="8"/>
      <c r="S1" s="8"/>
      <c r="T1" s="5"/>
      <c r="U1" s="5"/>
      <c r="V1" s="5"/>
      <c r="W1" s="5"/>
      <c r="X1" s="5"/>
      <c r="Y1" s="5"/>
      <c r="Z1" s="5"/>
    </row>
    <row r="2" spans="1:26" ht="15.75" customHeight="1" x14ac:dyDescent="0.25">
      <c r="A2" s="10" t="s">
        <v>63</v>
      </c>
      <c r="B2" s="3"/>
      <c r="C2" s="1"/>
      <c r="D2" s="111" t="s">
        <v>1</v>
      </c>
      <c r="E2" s="111" t="s">
        <v>2</v>
      </c>
      <c r="F2" s="111" t="s">
        <v>3</v>
      </c>
      <c r="G2" s="111" t="s">
        <v>4</v>
      </c>
      <c r="H2" s="111" t="s">
        <v>5</v>
      </c>
      <c r="I2" s="111" t="s">
        <v>6</v>
      </c>
      <c r="J2" s="111" t="s">
        <v>7</v>
      </c>
      <c r="K2" s="111" t="s">
        <v>8</v>
      </c>
      <c r="L2" s="111" t="s">
        <v>9</v>
      </c>
      <c r="M2" s="111" t="s">
        <v>10</v>
      </c>
      <c r="N2" s="111" t="s">
        <v>11</v>
      </c>
      <c r="O2" s="111" t="s">
        <v>12</v>
      </c>
      <c r="P2" s="111" t="s">
        <v>1</v>
      </c>
      <c r="Q2" s="111" t="s">
        <v>2</v>
      </c>
      <c r="R2" s="111" t="s">
        <v>3</v>
      </c>
      <c r="S2" s="8"/>
      <c r="T2" s="5"/>
      <c r="U2" s="5"/>
      <c r="V2" s="5"/>
      <c r="W2" s="5"/>
      <c r="X2" s="5"/>
      <c r="Y2" s="5"/>
      <c r="Z2" s="5"/>
    </row>
    <row r="3" spans="1:26" ht="15.75" customHeight="1" x14ac:dyDescent="0.25">
      <c r="A3" s="112"/>
      <c r="B3" s="113" t="s">
        <v>71</v>
      </c>
      <c r="C3" s="114">
        <f t="shared" ref="C3:C44" si="0">SUM(D3:L3)</f>
        <v>675000</v>
      </c>
      <c r="D3" s="115"/>
      <c r="E3" s="115"/>
      <c r="F3" s="115"/>
      <c r="G3" s="115">
        <v>120000</v>
      </c>
      <c r="H3" s="115">
        <v>145000</v>
      </c>
      <c r="I3" s="115">
        <v>140000</v>
      </c>
      <c r="J3" s="115">
        <v>135000</v>
      </c>
      <c r="K3" s="115">
        <v>75000</v>
      </c>
      <c r="L3" s="115">
        <v>60000</v>
      </c>
      <c r="M3" s="115"/>
      <c r="N3" s="115"/>
      <c r="O3" s="115"/>
      <c r="P3" s="115"/>
      <c r="Q3" s="115"/>
      <c r="R3" s="115"/>
      <c r="S3" s="8"/>
      <c r="T3" s="5"/>
      <c r="U3" s="5"/>
      <c r="V3" s="5"/>
      <c r="W3" s="5"/>
      <c r="X3" s="5"/>
      <c r="Y3" s="5"/>
      <c r="Z3" s="5"/>
    </row>
    <row r="4" spans="1:26" ht="16.5" customHeight="1" thickBot="1" x14ac:dyDescent="0.3">
      <c r="A4" s="17"/>
      <c r="B4" s="19" t="s">
        <v>72</v>
      </c>
      <c r="C4" s="19">
        <f t="shared" si="0"/>
        <v>206026.19999999998</v>
      </c>
      <c r="D4" s="29">
        <f t="shared" ref="D4:R4" si="1">SUM(D5:D184)</f>
        <v>0</v>
      </c>
      <c r="E4" s="29">
        <f t="shared" si="1"/>
        <v>0</v>
      </c>
      <c r="F4" s="29">
        <f t="shared" si="1"/>
        <v>0</v>
      </c>
      <c r="G4" s="29">
        <f t="shared" si="1"/>
        <v>71238.459999999992</v>
      </c>
      <c r="H4" s="29">
        <f t="shared" si="1"/>
        <v>76677.59</v>
      </c>
      <c r="I4" s="29">
        <f t="shared" si="1"/>
        <v>38647.560000000005</v>
      </c>
      <c r="J4" s="29">
        <f t="shared" si="1"/>
        <v>19426.940000000002</v>
      </c>
      <c r="K4" s="29">
        <f t="shared" si="1"/>
        <v>35.65</v>
      </c>
      <c r="L4" s="29">
        <f t="shared" si="1"/>
        <v>0</v>
      </c>
      <c r="M4" s="29">
        <f t="shared" si="1"/>
        <v>0</v>
      </c>
      <c r="N4" s="29">
        <f t="shared" si="1"/>
        <v>0</v>
      </c>
      <c r="O4" s="29">
        <f t="shared" si="1"/>
        <v>0</v>
      </c>
      <c r="P4" s="29">
        <f t="shared" si="1"/>
        <v>0</v>
      </c>
      <c r="Q4" s="29">
        <f t="shared" si="1"/>
        <v>0</v>
      </c>
      <c r="R4" s="29">
        <f t="shared" si="1"/>
        <v>0</v>
      </c>
      <c r="S4" s="27"/>
      <c r="T4" s="5"/>
      <c r="U4" s="5"/>
      <c r="V4" s="5"/>
      <c r="W4" s="5"/>
      <c r="X4" s="5"/>
      <c r="Y4" s="5"/>
      <c r="Z4" s="5"/>
    </row>
    <row r="5" spans="1:26" ht="16.5" customHeight="1" thickTop="1" x14ac:dyDescent="0.25">
      <c r="A5" s="32">
        <v>801</v>
      </c>
      <c r="B5" s="110" t="s">
        <v>73</v>
      </c>
      <c r="C5" s="34">
        <f t="shared" si="0"/>
        <v>0</v>
      </c>
      <c r="D5" s="116"/>
      <c r="E5" s="116"/>
      <c r="F5" s="116"/>
      <c r="G5" s="116"/>
      <c r="H5" s="116"/>
      <c r="I5" s="116"/>
      <c r="J5" s="116"/>
      <c r="K5" s="35"/>
      <c r="L5" s="35"/>
      <c r="M5" s="35"/>
      <c r="N5" s="35"/>
      <c r="O5" s="35"/>
      <c r="P5" s="35"/>
      <c r="Q5" s="35"/>
      <c r="R5" s="3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5">
      <c r="A6" s="32">
        <v>281</v>
      </c>
      <c r="B6" s="110" t="s">
        <v>74</v>
      </c>
      <c r="C6" s="45">
        <f t="shared" si="0"/>
        <v>0</v>
      </c>
      <c r="D6" s="116"/>
      <c r="E6" s="116"/>
      <c r="F6" s="116"/>
      <c r="G6" s="116"/>
      <c r="H6" s="116"/>
      <c r="I6" s="116"/>
      <c r="J6" s="116"/>
      <c r="K6" s="47"/>
      <c r="L6" s="47"/>
      <c r="M6" s="47"/>
      <c r="N6" s="47"/>
      <c r="O6" s="47"/>
      <c r="P6" s="47"/>
      <c r="Q6" s="47"/>
      <c r="R6" s="47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5">
      <c r="A7" s="32">
        <v>1183</v>
      </c>
      <c r="B7" s="110" t="s">
        <v>75</v>
      </c>
      <c r="C7" s="45">
        <f t="shared" si="0"/>
        <v>1830.18</v>
      </c>
      <c r="D7" s="116"/>
      <c r="E7" s="116"/>
      <c r="F7" s="116"/>
      <c r="G7" s="116"/>
      <c r="H7" s="116">
        <v>839.47</v>
      </c>
      <c r="I7" s="116">
        <v>990.71</v>
      </c>
      <c r="J7" s="116"/>
      <c r="K7" s="47"/>
      <c r="L7" s="47"/>
      <c r="M7" s="47"/>
      <c r="N7" s="47"/>
      <c r="O7" s="47"/>
      <c r="P7" s="47"/>
      <c r="Q7" s="47"/>
      <c r="R7" s="47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5">
      <c r="A8" s="32">
        <v>412</v>
      </c>
      <c r="B8" s="110" t="s">
        <v>76</v>
      </c>
      <c r="C8" s="45">
        <f t="shared" si="0"/>
        <v>761.92</v>
      </c>
      <c r="D8" s="116"/>
      <c r="E8" s="116"/>
      <c r="F8" s="116"/>
      <c r="G8" s="116">
        <v>761.92</v>
      </c>
      <c r="H8" s="116"/>
      <c r="I8" s="116"/>
      <c r="J8" s="116"/>
      <c r="K8" s="47"/>
      <c r="L8" s="47"/>
      <c r="M8" s="47"/>
      <c r="N8" s="47"/>
      <c r="O8" s="47"/>
      <c r="P8" s="47"/>
      <c r="Q8" s="47"/>
      <c r="R8" s="47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5">
      <c r="A9" s="32">
        <v>1589</v>
      </c>
      <c r="B9" s="110" t="s">
        <v>77</v>
      </c>
      <c r="C9" s="45">
        <f t="shared" si="0"/>
        <v>3816.25</v>
      </c>
      <c r="D9" s="116"/>
      <c r="E9" s="116"/>
      <c r="F9" s="116"/>
      <c r="G9" s="116">
        <v>1920.41</v>
      </c>
      <c r="H9" s="116">
        <v>1895.84</v>
      </c>
      <c r="I9" s="116"/>
      <c r="J9" s="116"/>
      <c r="K9" s="47"/>
      <c r="L9" s="47"/>
      <c r="M9" s="47"/>
      <c r="N9" s="47"/>
      <c r="O9" s="47"/>
      <c r="P9" s="47"/>
      <c r="Q9" s="47"/>
      <c r="R9" s="47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5">
      <c r="A10" s="32">
        <v>92</v>
      </c>
      <c r="B10" s="110" t="s">
        <v>78</v>
      </c>
      <c r="C10" s="45">
        <f t="shared" si="0"/>
        <v>34429.33</v>
      </c>
      <c r="D10" s="116"/>
      <c r="E10" s="116"/>
      <c r="F10" s="116"/>
      <c r="G10" s="116">
        <v>6384.75</v>
      </c>
      <c r="H10" s="116">
        <v>6825.63</v>
      </c>
      <c r="I10" s="116">
        <v>9528.6299999999992</v>
      </c>
      <c r="J10" s="116">
        <v>11654.67</v>
      </c>
      <c r="K10" s="47">
        <v>35.65</v>
      </c>
      <c r="L10" s="47"/>
      <c r="M10" s="47"/>
      <c r="N10" s="47"/>
      <c r="O10" s="47"/>
      <c r="P10" s="47"/>
      <c r="Q10" s="47"/>
      <c r="R10" s="47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5">
      <c r="A11" s="32">
        <v>1720</v>
      </c>
      <c r="B11" s="110" t="s">
        <v>79</v>
      </c>
      <c r="C11" s="45">
        <f t="shared" si="0"/>
        <v>0</v>
      </c>
      <c r="D11" s="116"/>
      <c r="E11" s="116"/>
      <c r="F11" s="116"/>
      <c r="G11" s="116"/>
      <c r="H11" s="116"/>
      <c r="I11" s="116"/>
      <c r="J11" s="116"/>
      <c r="K11" s="47"/>
      <c r="L11" s="47"/>
      <c r="M11" s="47"/>
      <c r="N11" s="47"/>
      <c r="O11" s="47"/>
      <c r="P11" s="47"/>
      <c r="Q11" s="47"/>
      <c r="R11" s="47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5">
      <c r="A12" s="32">
        <v>131</v>
      </c>
      <c r="B12" s="110" t="s">
        <v>80</v>
      </c>
      <c r="C12" s="45">
        <f t="shared" si="0"/>
        <v>0</v>
      </c>
      <c r="D12" s="116"/>
      <c r="E12" s="116"/>
      <c r="F12" s="116"/>
      <c r="G12" s="116"/>
      <c r="H12" s="116"/>
      <c r="I12" s="116"/>
      <c r="J12" s="116"/>
      <c r="K12" s="47"/>
      <c r="L12" s="47"/>
      <c r="M12" s="47"/>
      <c r="N12" s="47"/>
      <c r="O12" s="47"/>
      <c r="P12" s="47"/>
      <c r="Q12" s="47"/>
      <c r="R12" s="47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5">
      <c r="A13" s="32">
        <v>147</v>
      </c>
      <c r="B13" s="110" t="s">
        <v>81</v>
      </c>
      <c r="C13" s="45">
        <f t="shared" si="0"/>
        <v>0</v>
      </c>
      <c r="D13" s="116"/>
      <c r="E13" s="116"/>
      <c r="F13" s="116"/>
      <c r="G13" s="116"/>
      <c r="H13" s="116"/>
      <c r="I13" s="116"/>
      <c r="J13" s="116"/>
      <c r="K13" s="47"/>
      <c r="L13" s="47"/>
      <c r="M13" s="47"/>
      <c r="N13" s="47"/>
      <c r="O13" s="47"/>
      <c r="P13" s="47"/>
      <c r="Q13" s="47"/>
      <c r="R13" s="47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5">
      <c r="A14" s="32">
        <v>325</v>
      </c>
      <c r="B14" s="110" t="s">
        <v>82</v>
      </c>
      <c r="C14" s="45">
        <f t="shared" si="0"/>
        <v>5236.01</v>
      </c>
      <c r="D14" s="116"/>
      <c r="E14" s="116"/>
      <c r="F14" s="116"/>
      <c r="G14" s="116"/>
      <c r="H14" s="116">
        <v>2260</v>
      </c>
      <c r="I14" s="116">
        <v>2976.01</v>
      </c>
      <c r="J14" s="116"/>
      <c r="K14" s="47"/>
      <c r="L14" s="47"/>
      <c r="M14" s="47"/>
      <c r="N14" s="47"/>
      <c r="O14" s="47"/>
      <c r="P14" s="47"/>
      <c r="Q14" s="47"/>
      <c r="R14" s="47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5">
      <c r="A15" s="32">
        <v>916</v>
      </c>
      <c r="B15" s="110" t="s">
        <v>83</v>
      </c>
      <c r="C15" s="45">
        <f t="shared" si="0"/>
        <v>0</v>
      </c>
      <c r="D15" s="116"/>
      <c r="E15" s="116"/>
      <c r="F15" s="116"/>
      <c r="G15" s="116"/>
      <c r="H15" s="116"/>
      <c r="I15" s="116"/>
      <c r="J15" s="116"/>
      <c r="K15" s="47"/>
      <c r="L15" s="47"/>
      <c r="M15" s="47"/>
      <c r="N15" s="47"/>
      <c r="O15" s="47"/>
      <c r="P15" s="47"/>
      <c r="Q15" s="47"/>
      <c r="R15" s="47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5">
      <c r="A16" s="32">
        <v>790</v>
      </c>
      <c r="B16" s="110" t="s">
        <v>84</v>
      </c>
      <c r="C16" s="45">
        <f t="shared" si="0"/>
        <v>474.24</v>
      </c>
      <c r="D16" s="47"/>
      <c r="E16" s="47"/>
      <c r="F16" s="47"/>
      <c r="G16" s="47">
        <v>474.24</v>
      </c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5">
      <c r="A17" s="32">
        <v>1260</v>
      </c>
      <c r="B17" s="110" t="s">
        <v>85</v>
      </c>
      <c r="C17" s="45">
        <f t="shared" si="0"/>
        <v>0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5">
      <c r="A18" s="32">
        <v>667</v>
      </c>
      <c r="B18" s="110" t="s">
        <v>86</v>
      </c>
      <c r="C18" s="45">
        <f t="shared" si="0"/>
        <v>0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5">
      <c r="A19" s="32">
        <v>1298</v>
      </c>
      <c r="B19" s="110" t="s">
        <v>87</v>
      </c>
      <c r="C19" s="45">
        <f t="shared" si="0"/>
        <v>0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5">
      <c r="A20" s="32">
        <v>758</v>
      </c>
      <c r="B20" s="110" t="s">
        <v>88</v>
      </c>
      <c r="C20" s="45">
        <f t="shared" si="0"/>
        <v>0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5">
      <c r="A21" s="32">
        <v>74</v>
      </c>
      <c r="B21" s="110" t="s">
        <v>89</v>
      </c>
      <c r="C21" s="45">
        <f t="shared" si="0"/>
        <v>14310.64</v>
      </c>
      <c r="D21" s="47"/>
      <c r="E21" s="47"/>
      <c r="F21" s="47"/>
      <c r="G21" s="47">
        <v>8248.92</v>
      </c>
      <c r="H21" s="47">
        <v>6061.72</v>
      </c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5">
      <c r="A22" s="32">
        <v>399</v>
      </c>
      <c r="B22" s="110" t="s">
        <v>90</v>
      </c>
      <c r="C22" s="45">
        <f t="shared" si="0"/>
        <v>0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5">
      <c r="A23" s="32">
        <v>864</v>
      </c>
      <c r="B23" s="110" t="s">
        <v>91</v>
      </c>
      <c r="C23" s="45">
        <f t="shared" si="0"/>
        <v>0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5">
      <c r="A24" s="32">
        <v>208</v>
      </c>
      <c r="B24" s="110" t="s">
        <v>92</v>
      </c>
      <c r="C24" s="45">
        <f t="shared" si="0"/>
        <v>2745.35</v>
      </c>
      <c r="D24" s="47"/>
      <c r="E24" s="47"/>
      <c r="F24" s="47"/>
      <c r="G24" s="47">
        <v>666.12</v>
      </c>
      <c r="H24" s="47">
        <v>1141.92</v>
      </c>
      <c r="I24" s="47">
        <v>937.31</v>
      </c>
      <c r="J24" s="47"/>
      <c r="K24" s="47"/>
      <c r="L24" s="47"/>
      <c r="M24" s="47"/>
      <c r="N24" s="47"/>
      <c r="O24" s="47"/>
      <c r="P24" s="47"/>
      <c r="Q24" s="47"/>
      <c r="R24" s="47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5">
      <c r="A25" s="32">
        <v>1137</v>
      </c>
      <c r="B25" s="110" t="s">
        <v>93</v>
      </c>
      <c r="C25" s="45">
        <f t="shared" si="0"/>
        <v>0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5">
      <c r="A26" s="32">
        <v>125</v>
      </c>
      <c r="B26" s="110" t="s">
        <v>94</v>
      </c>
      <c r="C26" s="45">
        <f t="shared" si="0"/>
        <v>3093.2</v>
      </c>
      <c r="D26" s="47"/>
      <c r="E26" s="47"/>
      <c r="F26" s="47"/>
      <c r="G26" s="47">
        <v>1588.4</v>
      </c>
      <c r="H26" s="47">
        <v>1504.8</v>
      </c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5">
      <c r="A27" s="32">
        <v>315</v>
      </c>
      <c r="B27" s="110" t="s">
        <v>95</v>
      </c>
      <c r="C27" s="45">
        <f t="shared" si="0"/>
        <v>513.62</v>
      </c>
      <c r="D27" s="47"/>
      <c r="E27" s="47"/>
      <c r="F27" s="47"/>
      <c r="G27" s="47"/>
      <c r="H27" s="47">
        <v>513.62</v>
      </c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5">
      <c r="A28" s="32">
        <v>423</v>
      </c>
      <c r="B28" s="110" t="s">
        <v>96</v>
      </c>
      <c r="C28" s="45">
        <f t="shared" si="0"/>
        <v>5117.6899999999996</v>
      </c>
      <c r="D28" s="47"/>
      <c r="E28" s="47"/>
      <c r="F28" s="47"/>
      <c r="G28" s="47">
        <v>2062.02</v>
      </c>
      <c r="H28" s="47">
        <v>2834.35</v>
      </c>
      <c r="I28" s="47">
        <v>221.32</v>
      </c>
      <c r="J28" s="47"/>
      <c r="K28" s="47"/>
      <c r="L28" s="47"/>
      <c r="M28" s="47"/>
      <c r="N28" s="47"/>
      <c r="O28" s="47"/>
      <c r="P28" s="47"/>
      <c r="Q28" s="47"/>
      <c r="R28" s="47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5">
      <c r="A29" s="32">
        <v>417</v>
      </c>
      <c r="B29" s="110" t="s">
        <v>97</v>
      </c>
      <c r="C29" s="45">
        <f t="shared" si="0"/>
        <v>0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5">
      <c r="A30" s="32">
        <v>369</v>
      </c>
      <c r="B30" s="110" t="s">
        <v>98</v>
      </c>
      <c r="C30" s="45">
        <f t="shared" si="0"/>
        <v>0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5">
      <c r="A31" s="32">
        <v>1003</v>
      </c>
      <c r="B31" s="110" t="s">
        <v>99</v>
      </c>
      <c r="C31" s="45">
        <f t="shared" si="0"/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5">
      <c r="A32" s="32">
        <v>226</v>
      </c>
      <c r="B32" s="110" t="s">
        <v>100</v>
      </c>
      <c r="C32" s="45">
        <f t="shared" si="0"/>
        <v>0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5">
      <c r="A33" s="32">
        <v>7</v>
      </c>
      <c r="B33" s="110" t="s">
        <v>101</v>
      </c>
      <c r="C33" s="45">
        <f t="shared" si="0"/>
        <v>0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5">
      <c r="A34" s="32">
        <v>161</v>
      </c>
      <c r="B34" s="110" t="s">
        <v>102</v>
      </c>
      <c r="C34" s="45">
        <f t="shared" si="0"/>
        <v>14555.98</v>
      </c>
      <c r="D34" s="47"/>
      <c r="E34" s="47"/>
      <c r="F34" s="47"/>
      <c r="G34" s="47">
        <v>8248.0400000000009</v>
      </c>
      <c r="H34" s="47">
        <v>6307.94</v>
      </c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5">
      <c r="A35" s="32">
        <v>32</v>
      </c>
      <c r="B35" s="110" t="s">
        <v>103</v>
      </c>
      <c r="C35" s="45">
        <f t="shared" si="0"/>
        <v>0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5">
      <c r="A36" s="32">
        <v>1003</v>
      </c>
      <c r="B36" s="110" t="s">
        <v>99</v>
      </c>
      <c r="C36" s="45">
        <f t="shared" si="0"/>
        <v>0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5">
      <c r="A37" s="32">
        <v>133</v>
      </c>
      <c r="B37" s="110" t="s">
        <v>104</v>
      </c>
      <c r="C37" s="45">
        <f t="shared" si="0"/>
        <v>24378.92</v>
      </c>
      <c r="D37" s="47"/>
      <c r="E37" s="47"/>
      <c r="F37" s="47"/>
      <c r="G37" s="47">
        <v>3183.82</v>
      </c>
      <c r="H37" s="47">
        <v>9238</v>
      </c>
      <c r="I37" s="47">
        <v>10345.23</v>
      </c>
      <c r="J37" s="47">
        <v>1611.87</v>
      </c>
      <c r="K37" s="47"/>
      <c r="L37" s="47"/>
      <c r="M37" s="47"/>
      <c r="N37" s="47"/>
      <c r="O37" s="47"/>
      <c r="P37" s="47"/>
      <c r="Q37" s="47"/>
      <c r="R37" s="47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5">
      <c r="A38" s="32">
        <v>672</v>
      </c>
      <c r="B38" s="110" t="s">
        <v>105</v>
      </c>
      <c r="C38" s="45">
        <f t="shared" si="0"/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5">
      <c r="A39" s="32">
        <v>127</v>
      </c>
      <c r="B39" s="110" t="s">
        <v>106</v>
      </c>
      <c r="C39" s="45">
        <f t="shared" si="0"/>
        <v>0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5">
      <c r="A40" s="32">
        <v>179</v>
      </c>
      <c r="B40" s="110" t="s">
        <v>107</v>
      </c>
      <c r="C40" s="45">
        <f t="shared" si="0"/>
        <v>0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5">
      <c r="A41" s="32">
        <v>158</v>
      </c>
      <c r="B41" s="110" t="s">
        <v>108</v>
      </c>
      <c r="C41" s="45">
        <f t="shared" si="0"/>
        <v>203.91</v>
      </c>
      <c r="D41" s="47"/>
      <c r="E41" s="47"/>
      <c r="F41" s="47"/>
      <c r="G41" s="47">
        <v>85</v>
      </c>
      <c r="H41" s="47">
        <v>118.91</v>
      </c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5">
      <c r="A42" s="32">
        <v>4</v>
      </c>
      <c r="B42" s="110" t="s">
        <v>109</v>
      </c>
      <c r="C42" s="45">
        <f t="shared" si="0"/>
        <v>285.33</v>
      </c>
      <c r="D42" s="47"/>
      <c r="E42" s="47"/>
      <c r="F42" s="47"/>
      <c r="G42" s="47">
        <v>285.33</v>
      </c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5">
      <c r="A43" s="32">
        <v>353</v>
      </c>
      <c r="B43" s="110" t="s">
        <v>110</v>
      </c>
      <c r="C43" s="45">
        <f t="shared" si="0"/>
        <v>0</v>
      </c>
      <c r="D43" s="59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5">
      <c r="A44" s="32">
        <v>732</v>
      </c>
      <c r="B44" s="110" t="s">
        <v>111</v>
      </c>
      <c r="C44" s="45">
        <f t="shared" si="0"/>
        <v>0</v>
      </c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5">
      <c r="A45" s="32">
        <v>1091</v>
      </c>
      <c r="B45" s="110" t="s">
        <v>112</v>
      </c>
      <c r="C45" s="45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5">
      <c r="A46" s="32">
        <v>145</v>
      </c>
      <c r="B46" s="110" t="s">
        <v>113</v>
      </c>
      <c r="C46" s="45">
        <f t="shared" ref="C46:C65" si="2">SUM(D46:L46)</f>
        <v>31412.5</v>
      </c>
      <c r="D46" s="47"/>
      <c r="E46" s="47"/>
      <c r="F46" s="47"/>
      <c r="G46" s="47">
        <v>13798.47</v>
      </c>
      <c r="H46" s="47">
        <v>17614.03</v>
      </c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5">
      <c r="A47" s="32">
        <v>1104</v>
      </c>
      <c r="B47" s="110" t="s">
        <v>114</v>
      </c>
      <c r="C47" s="45">
        <f t="shared" si="2"/>
        <v>5450.3799999999992</v>
      </c>
      <c r="D47" s="47"/>
      <c r="E47" s="47"/>
      <c r="F47" s="47"/>
      <c r="G47" s="47">
        <v>1570.21</v>
      </c>
      <c r="H47" s="47">
        <v>1685.49</v>
      </c>
      <c r="I47" s="47">
        <v>2194.6799999999998</v>
      </c>
      <c r="J47" s="47"/>
      <c r="K47" s="47"/>
      <c r="L47" s="47"/>
      <c r="M47" s="47"/>
      <c r="N47" s="47"/>
      <c r="O47" s="47"/>
      <c r="P47" s="47"/>
      <c r="Q47" s="47"/>
      <c r="R47" s="47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5">
      <c r="A48" s="32">
        <v>921</v>
      </c>
      <c r="B48" s="110" t="s">
        <v>115</v>
      </c>
      <c r="C48" s="45">
        <f t="shared" si="2"/>
        <v>0</v>
      </c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5">
      <c r="A49" s="32">
        <v>815</v>
      </c>
      <c r="B49" s="110" t="s">
        <v>116</v>
      </c>
      <c r="C49" s="45">
        <f t="shared" si="2"/>
        <v>0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5">
      <c r="A50" s="32">
        <v>1706</v>
      </c>
      <c r="B50" s="110" t="s">
        <v>117</v>
      </c>
      <c r="C50" s="45">
        <f t="shared" si="2"/>
        <v>3528.2</v>
      </c>
      <c r="D50" s="47"/>
      <c r="E50" s="47"/>
      <c r="F50" s="47"/>
      <c r="G50" s="47">
        <v>1952</v>
      </c>
      <c r="H50" s="47">
        <v>1576.2</v>
      </c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5">
      <c r="A51" s="32">
        <v>929</v>
      </c>
      <c r="B51" s="110" t="s">
        <v>118</v>
      </c>
      <c r="C51" s="45">
        <f t="shared" si="2"/>
        <v>0</v>
      </c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5">
      <c r="A52" s="32">
        <v>1153</v>
      </c>
      <c r="B52" s="110" t="s">
        <v>119</v>
      </c>
      <c r="C52" s="45">
        <f t="shared" si="2"/>
        <v>0</v>
      </c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5">
      <c r="A53" s="32">
        <v>718</v>
      </c>
      <c r="B53" s="110" t="s">
        <v>120</v>
      </c>
      <c r="C53" s="45">
        <f t="shared" si="2"/>
        <v>0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5">
      <c r="A54" s="32">
        <v>1303</v>
      </c>
      <c r="B54" s="110" t="s">
        <v>121</v>
      </c>
      <c r="C54" s="45">
        <f t="shared" si="2"/>
        <v>0</v>
      </c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5">
      <c r="A55" s="32">
        <v>1</v>
      </c>
      <c r="B55" s="110" t="s">
        <v>122</v>
      </c>
      <c r="C55" s="45">
        <f t="shared" si="2"/>
        <v>23208.29</v>
      </c>
      <c r="D55" s="47"/>
      <c r="E55" s="47"/>
      <c r="F55" s="47"/>
      <c r="G55" s="47">
        <v>10010.25</v>
      </c>
      <c r="H55" s="47">
        <v>6549.5</v>
      </c>
      <c r="I55" s="47">
        <v>6648.54</v>
      </c>
      <c r="J55" s="47"/>
      <c r="K55" s="47"/>
      <c r="L55" s="47"/>
      <c r="M55" s="47"/>
      <c r="N55" s="47"/>
      <c r="O55" s="47"/>
      <c r="P55" s="47"/>
      <c r="Q55" s="47"/>
      <c r="R55" s="47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5">
      <c r="A56" s="32">
        <v>497</v>
      </c>
      <c r="B56" s="110" t="s">
        <v>123</v>
      </c>
      <c r="C56" s="45">
        <f t="shared" si="2"/>
        <v>0</v>
      </c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5">
      <c r="A57" s="32">
        <v>186</v>
      </c>
      <c r="B57" s="110" t="s">
        <v>124</v>
      </c>
      <c r="C57" s="45">
        <f t="shared" si="2"/>
        <v>610</v>
      </c>
      <c r="D57" s="47"/>
      <c r="E57" s="47"/>
      <c r="F57" s="47"/>
      <c r="G57" s="47">
        <v>610</v>
      </c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5">
      <c r="A58" s="32">
        <v>791</v>
      </c>
      <c r="B58" s="110" t="s">
        <v>125</v>
      </c>
      <c r="C58" s="45">
        <f t="shared" si="2"/>
        <v>0</v>
      </c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5">
      <c r="A59" s="32">
        <v>146</v>
      </c>
      <c r="B59" s="110" t="s">
        <v>126</v>
      </c>
      <c r="C59" s="45">
        <f t="shared" si="2"/>
        <v>1189.5</v>
      </c>
      <c r="D59" s="47"/>
      <c r="E59" s="47"/>
      <c r="F59" s="47"/>
      <c r="G59" s="47">
        <v>1189.5</v>
      </c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5">
      <c r="A60" s="32">
        <v>554</v>
      </c>
      <c r="B60" s="110" t="s">
        <v>127</v>
      </c>
      <c r="C60" s="45">
        <f t="shared" si="2"/>
        <v>0</v>
      </c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5">
      <c r="A61" s="32">
        <v>104</v>
      </c>
      <c r="B61" s="110" t="s">
        <v>128</v>
      </c>
      <c r="C61" s="45">
        <f t="shared" si="2"/>
        <v>0</v>
      </c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5">
      <c r="A62" s="32">
        <v>64</v>
      </c>
      <c r="B62" s="110" t="s">
        <v>129</v>
      </c>
      <c r="C62" s="45">
        <f t="shared" si="2"/>
        <v>689.32</v>
      </c>
      <c r="D62" s="47"/>
      <c r="E62" s="47"/>
      <c r="F62" s="47"/>
      <c r="G62" s="47"/>
      <c r="H62" s="47">
        <v>689.32</v>
      </c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5">
      <c r="A63" s="32">
        <v>137</v>
      </c>
      <c r="B63" s="110" t="s">
        <v>130</v>
      </c>
      <c r="C63" s="45">
        <f t="shared" si="2"/>
        <v>0</v>
      </c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5">
      <c r="A64" s="32">
        <v>80</v>
      </c>
      <c r="B64" s="110" t="s">
        <v>131</v>
      </c>
      <c r="C64" s="45">
        <f t="shared" si="2"/>
        <v>0</v>
      </c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5">
      <c r="A65" s="32">
        <v>123</v>
      </c>
      <c r="B65" s="110" t="s">
        <v>132</v>
      </c>
      <c r="C65" s="45">
        <f t="shared" si="2"/>
        <v>0</v>
      </c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5">
      <c r="A66" s="32">
        <v>1714</v>
      </c>
      <c r="B66" s="110" t="s">
        <v>133</v>
      </c>
      <c r="C66" s="45"/>
      <c r="D66" s="59"/>
      <c r="E66" s="47"/>
      <c r="F66" s="47"/>
      <c r="G66" s="47">
        <v>198.6</v>
      </c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5">
      <c r="A67" s="32">
        <v>1565</v>
      </c>
      <c r="B67" s="110" t="s">
        <v>134</v>
      </c>
      <c r="C67" s="45">
        <f t="shared" ref="C67:C98" si="3">SUM(D67:L67)</f>
        <v>0</v>
      </c>
      <c r="D67" s="59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5">
      <c r="A68" s="32">
        <v>1156</v>
      </c>
      <c r="B68" s="110" t="s">
        <v>135</v>
      </c>
      <c r="C68" s="45">
        <f t="shared" si="3"/>
        <v>0</v>
      </c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5">
      <c r="A69" s="32">
        <v>1543</v>
      </c>
      <c r="B69" s="110" t="s">
        <v>136</v>
      </c>
      <c r="C69" s="45">
        <f t="shared" si="3"/>
        <v>0</v>
      </c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5">
      <c r="A70" s="32">
        <v>1230</v>
      </c>
      <c r="B70" s="110" t="s">
        <v>137</v>
      </c>
      <c r="C70" s="45">
        <f t="shared" si="3"/>
        <v>0</v>
      </c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5">
      <c r="A71" s="32">
        <v>83</v>
      </c>
      <c r="B71" s="110" t="s">
        <v>138</v>
      </c>
      <c r="C71" s="45">
        <f t="shared" si="3"/>
        <v>0</v>
      </c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5">
      <c r="A72" s="32">
        <v>275</v>
      </c>
      <c r="B72" s="110" t="s">
        <v>139</v>
      </c>
      <c r="C72" s="45">
        <f t="shared" si="3"/>
        <v>0</v>
      </c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5">
      <c r="A73" s="32">
        <v>132</v>
      </c>
      <c r="B73" s="110" t="s">
        <v>140</v>
      </c>
      <c r="C73" s="45">
        <f t="shared" si="3"/>
        <v>0</v>
      </c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5">
      <c r="A74" s="32">
        <v>126</v>
      </c>
      <c r="B74" s="120" t="s">
        <v>141</v>
      </c>
      <c r="C74" s="45">
        <f t="shared" si="3"/>
        <v>1182.05</v>
      </c>
      <c r="D74" s="47"/>
      <c r="E74" s="47"/>
      <c r="F74" s="47"/>
      <c r="G74" s="47">
        <v>633.86</v>
      </c>
      <c r="H74" s="47">
        <v>408.36</v>
      </c>
      <c r="I74" s="47">
        <v>139.83000000000001</v>
      </c>
      <c r="J74" s="47"/>
      <c r="K74" s="47"/>
      <c r="L74" s="47"/>
      <c r="M74" s="47"/>
      <c r="N74" s="47"/>
      <c r="O74" s="47"/>
      <c r="P74" s="47"/>
      <c r="Q74" s="47"/>
      <c r="R74" s="47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5">
      <c r="A75" s="32">
        <v>1145</v>
      </c>
      <c r="B75" s="60" t="s">
        <v>142</v>
      </c>
      <c r="C75" s="45">
        <f t="shared" si="3"/>
        <v>0</v>
      </c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5">
      <c r="A76" s="32">
        <v>71</v>
      </c>
      <c r="B76" s="60" t="s">
        <v>143</v>
      </c>
      <c r="C76" s="45">
        <f t="shared" si="3"/>
        <v>14702.88</v>
      </c>
      <c r="D76" s="47"/>
      <c r="E76" s="47"/>
      <c r="F76" s="47"/>
      <c r="G76" s="47">
        <v>1686.68</v>
      </c>
      <c r="H76" s="47">
        <v>3173.94</v>
      </c>
      <c r="I76" s="47">
        <v>3681.86</v>
      </c>
      <c r="J76" s="47">
        <v>6160.4</v>
      </c>
      <c r="K76" s="47"/>
      <c r="L76" s="47"/>
      <c r="M76" s="47"/>
      <c r="N76" s="47"/>
      <c r="O76" s="47"/>
      <c r="P76" s="47"/>
      <c r="Q76" s="47"/>
      <c r="R76" s="47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5">
      <c r="A77" s="32">
        <v>1306</v>
      </c>
      <c r="B77" s="60" t="s">
        <v>144</v>
      </c>
      <c r="C77" s="45">
        <f t="shared" si="3"/>
        <v>2676.7</v>
      </c>
      <c r="D77" s="47"/>
      <c r="E77" s="47"/>
      <c r="F77" s="47"/>
      <c r="G77" s="47">
        <v>1218.0999999999999</v>
      </c>
      <c r="H77" s="47">
        <v>1458.6</v>
      </c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5">
      <c r="A78" s="32">
        <v>1222</v>
      </c>
      <c r="B78" s="60" t="s">
        <v>145</v>
      </c>
      <c r="C78" s="45">
        <f t="shared" si="3"/>
        <v>0</v>
      </c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5">
      <c r="A79" s="32">
        <v>6</v>
      </c>
      <c r="B79" s="60" t="s">
        <v>146</v>
      </c>
      <c r="C79" s="45">
        <f t="shared" si="3"/>
        <v>0</v>
      </c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5">
      <c r="A80" s="32">
        <v>612</v>
      </c>
      <c r="B80" s="60" t="s">
        <v>147</v>
      </c>
      <c r="C80" s="45">
        <f t="shared" si="3"/>
        <v>0</v>
      </c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5">
      <c r="A81" s="32">
        <v>1190</v>
      </c>
      <c r="B81" s="60" t="s">
        <v>148</v>
      </c>
      <c r="C81" s="45">
        <f t="shared" si="3"/>
        <v>0</v>
      </c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5">
      <c r="A82" s="32">
        <v>68</v>
      </c>
      <c r="B82" s="60" t="s">
        <v>149</v>
      </c>
      <c r="C82" s="45">
        <f t="shared" si="3"/>
        <v>0</v>
      </c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5">
      <c r="A83" s="32">
        <v>1144</v>
      </c>
      <c r="B83" s="60" t="s">
        <v>150</v>
      </c>
      <c r="C83" s="45">
        <f t="shared" si="3"/>
        <v>0</v>
      </c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5">
      <c r="A84" s="32">
        <v>1515</v>
      </c>
      <c r="B84" s="60" t="s">
        <v>151</v>
      </c>
      <c r="C84" s="45">
        <f t="shared" si="3"/>
        <v>0</v>
      </c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5">
      <c r="A85" s="32">
        <v>121</v>
      </c>
      <c r="B85" s="60" t="s">
        <v>152</v>
      </c>
      <c r="C85" s="45">
        <f t="shared" si="3"/>
        <v>0</v>
      </c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5">
      <c r="A86" s="32">
        <v>1269</v>
      </c>
      <c r="B86" s="60" t="s">
        <v>153</v>
      </c>
      <c r="C86" s="45">
        <f t="shared" si="3"/>
        <v>0</v>
      </c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5">
      <c r="A87" s="32">
        <v>1279</v>
      </c>
      <c r="B87" s="60" t="s">
        <v>154</v>
      </c>
      <c r="C87" s="45">
        <f t="shared" si="3"/>
        <v>0</v>
      </c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5">
      <c r="A88" s="32">
        <v>1058</v>
      </c>
      <c r="B88" s="60" t="s">
        <v>155</v>
      </c>
      <c r="C88" s="45">
        <f t="shared" si="3"/>
        <v>0</v>
      </c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5">
      <c r="A89" s="32">
        <v>1438</v>
      </c>
      <c r="B89" s="60" t="s">
        <v>156</v>
      </c>
      <c r="C89" s="45">
        <f t="shared" si="3"/>
        <v>122</v>
      </c>
      <c r="D89" s="47"/>
      <c r="E89" s="47"/>
      <c r="F89" s="47"/>
      <c r="G89" s="47">
        <v>122</v>
      </c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5">
      <c r="A90" s="32">
        <v>138</v>
      </c>
      <c r="B90" s="60" t="s">
        <v>157</v>
      </c>
      <c r="C90" s="45">
        <f t="shared" si="3"/>
        <v>0</v>
      </c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5">
      <c r="A91" s="32">
        <v>82</v>
      </c>
      <c r="B91" s="60" t="s">
        <v>158</v>
      </c>
      <c r="C91" s="45">
        <f t="shared" si="3"/>
        <v>0</v>
      </c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5">
      <c r="A92" s="32">
        <v>10</v>
      </c>
      <c r="B92" s="60" t="s">
        <v>159</v>
      </c>
      <c r="C92" s="45">
        <f t="shared" si="3"/>
        <v>0</v>
      </c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5">
      <c r="A93" s="32">
        <v>1050</v>
      </c>
      <c r="B93" s="60" t="s">
        <v>160</v>
      </c>
      <c r="C93" s="45">
        <f t="shared" si="3"/>
        <v>0</v>
      </c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5">
      <c r="A94" s="32">
        <v>745</v>
      </c>
      <c r="B94" s="60" t="s">
        <v>161</v>
      </c>
      <c r="C94" s="45">
        <f t="shared" si="3"/>
        <v>0</v>
      </c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5">
      <c r="A95" s="32">
        <v>985</v>
      </c>
      <c r="B95" s="60" t="s">
        <v>162</v>
      </c>
      <c r="C95" s="45">
        <f t="shared" si="3"/>
        <v>0</v>
      </c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5">
      <c r="A96" s="32">
        <v>19</v>
      </c>
      <c r="B96" s="60" t="s">
        <v>163</v>
      </c>
      <c r="C96" s="45">
        <f t="shared" si="3"/>
        <v>0</v>
      </c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5">
      <c r="A97" s="32">
        <v>498</v>
      </c>
      <c r="B97" s="110" t="s">
        <v>164</v>
      </c>
      <c r="C97" s="45">
        <f t="shared" si="3"/>
        <v>0</v>
      </c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5">
      <c r="A98" s="32">
        <v>14</v>
      </c>
      <c r="B98" s="110" t="s">
        <v>165</v>
      </c>
      <c r="C98" s="45">
        <f t="shared" si="3"/>
        <v>0</v>
      </c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5">
      <c r="A99" s="32">
        <v>1595</v>
      </c>
      <c r="B99" s="110" t="s">
        <v>166</v>
      </c>
      <c r="C99" s="45">
        <f t="shared" ref="C99:C123" si="4">SUM(D99:L99)</f>
        <v>0</v>
      </c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5">
      <c r="A100" s="32">
        <v>1597</v>
      </c>
      <c r="B100" s="110" t="s">
        <v>167</v>
      </c>
      <c r="C100" s="45">
        <f t="shared" si="4"/>
        <v>148</v>
      </c>
      <c r="D100" s="47"/>
      <c r="E100" s="47"/>
      <c r="F100" s="47"/>
      <c r="G100" s="47">
        <v>148</v>
      </c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5">
      <c r="A101" s="32">
        <v>1168</v>
      </c>
      <c r="B101" s="110" t="s">
        <v>168</v>
      </c>
      <c r="C101" s="45">
        <f t="shared" si="4"/>
        <v>0</v>
      </c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5">
      <c r="A102" s="32">
        <v>1557</v>
      </c>
      <c r="B102" s="110" t="s">
        <v>169</v>
      </c>
      <c r="C102" s="45">
        <f t="shared" si="4"/>
        <v>0</v>
      </c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5">
      <c r="A103" s="32">
        <v>1035</v>
      </c>
      <c r="B103" s="110" t="s">
        <v>170</v>
      </c>
      <c r="C103" s="45">
        <f t="shared" si="4"/>
        <v>0</v>
      </c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5">
      <c r="A104" s="32">
        <v>1598</v>
      </c>
      <c r="B104" s="110" t="s">
        <v>171</v>
      </c>
      <c r="C104" s="45">
        <f t="shared" si="4"/>
        <v>0</v>
      </c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5">
      <c r="A105" s="32">
        <v>1233</v>
      </c>
      <c r="B105" s="110" t="s">
        <v>172</v>
      </c>
      <c r="C105" s="45">
        <f t="shared" si="4"/>
        <v>0</v>
      </c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5"/>
      <c r="T105" s="5"/>
      <c r="U105" s="5"/>
      <c r="V105" s="5"/>
      <c r="W105" s="5"/>
      <c r="X105" s="5"/>
      <c r="Y105" s="5"/>
      <c r="Z105" s="5"/>
    </row>
    <row r="106" spans="1:26" ht="15" customHeight="1" x14ac:dyDescent="0.25">
      <c r="A106" s="32">
        <v>1008</v>
      </c>
      <c r="B106" s="110" t="s">
        <v>173</v>
      </c>
      <c r="C106" s="45">
        <f t="shared" si="4"/>
        <v>0</v>
      </c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5">
      <c r="A107" s="32">
        <v>1627</v>
      </c>
      <c r="B107" s="110" t="s">
        <v>174</v>
      </c>
      <c r="C107" s="45">
        <f t="shared" si="4"/>
        <v>0</v>
      </c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5">
      <c r="A108" s="32">
        <v>1603</v>
      </c>
      <c r="B108" s="110" t="s">
        <v>175</v>
      </c>
      <c r="C108" s="45">
        <f t="shared" si="4"/>
        <v>0</v>
      </c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5">
      <c r="A109" s="32">
        <v>1602</v>
      </c>
      <c r="B109" s="110" t="s">
        <v>176</v>
      </c>
      <c r="C109" s="45">
        <f t="shared" si="4"/>
        <v>0</v>
      </c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5">
      <c r="A110" s="32">
        <v>1699</v>
      </c>
      <c r="B110" s="110" t="s">
        <v>177</v>
      </c>
      <c r="C110" s="45">
        <f t="shared" si="4"/>
        <v>0</v>
      </c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5">
      <c r="A111" s="32">
        <v>142</v>
      </c>
      <c r="B111" s="110" t="s">
        <v>178</v>
      </c>
      <c r="C111" s="45">
        <f t="shared" si="4"/>
        <v>326.37</v>
      </c>
      <c r="D111" s="47"/>
      <c r="E111" s="47"/>
      <c r="F111" s="47"/>
      <c r="G111" s="47"/>
      <c r="H111" s="47">
        <v>165</v>
      </c>
      <c r="I111" s="47">
        <v>161.37</v>
      </c>
      <c r="J111" s="47"/>
      <c r="K111" s="47"/>
      <c r="L111" s="47"/>
      <c r="M111" s="47"/>
      <c r="N111" s="47"/>
      <c r="O111" s="47"/>
      <c r="P111" s="47"/>
      <c r="Q111" s="47"/>
      <c r="R111" s="47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5">
      <c r="A112" s="32">
        <v>1697</v>
      </c>
      <c r="B112" s="110" t="s">
        <v>179</v>
      </c>
      <c r="C112" s="45">
        <f t="shared" si="4"/>
        <v>7831.07</v>
      </c>
      <c r="D112" s="47"/>
      <c r="E112" s="47"/>
      <c r="F112" s="47"/>
      <c r="G112" s="47">
        <v>3194.05</v>
      </c>
      <c r="H112" s="47">
        <v>3814.95</v>
      </c>
      <c r="I112" s="47">
        <v>822.07</v>
      </c>
      <c r="J112" s="47"/>
      <c r="K112" s="47"/>
      <c r="L112" s="47"/>
      <c r="M112" s="47"/>
      <c r="N112" s="47"/>
      <c r="O112" s="47"/>
      <c r="P112" s="47"/>
      <c r="Q112" s="47"/>
      <c r="R112" s="47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5">
      <c r="A113" s="32">
        <v>212</v>
      </c>
      <c r="B113" s="110" t="s">
        <v>180</v>
      </c>
      <c r="C113" s="45">
        <f t="shared" si="4"/>
        <v>0</v>
      </c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5">
      <c r="A114" s="32">
        <v>499</v>
      </c>
      <c r="B114" s="110" t="s">
        <v>181</v>
      </c>
      <c r="C114" s="45">
        <f t="shared" si="4"/>
        <v>0</v>
      </c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5">
      <c r="A115" s="32">
        <v>1147</v>
      </c>
      <c r="B115" s="110" t="s">
        <v>182</v>
      </c>
      <c r="C115" s="45">
        <f t="shared" si="4"/>
        <v>90.16</v>
      </c>
      <c r="D115" s="47"/>
      <c r="E115" s="47"/>
      <c r="F115" s="47"/>
      <c r="G115" s="47">
        <v>90.16</v>
      </c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5">
      <c r="A116" s="32">
        <v>1764</v>
      </c>
      <c r="B116" s="110" t="s">
        <v>183</v>
      </c>
      <c r="C116" s="45">
        <f t="shared" si="4"/>
        <v>0</v>
      </c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5">
      <c r="A117" s="32">
        <v>1759</v>
      </c>
      <c r="B117" s="110" t="s">
        <v>184</v>
      </c>
      <c r="C117" s="45">
        <f t="shared" si="4"/>
        <v>0</v>
      </c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5">
      <c r="A118" s="32">
        <v>1762</v>
      </c>
      <c r="B118" s="110" t="s">
        <v>185</v>
      </c>
      <c r="C118" s="45">
        <f t="shared" si="4"/>
        <v>40.9</v>
      </c>
      <c r="D118" s="47"/>
      <c r="E118" s="47"/>
      <c r="F118" s="47"/>
      <c r="G118" s="47">
        <v>40.9</v>
      </c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5">
      <c r="A119" s="32">
        <v>715</v>
      </c>
      <c r="B119" s="107" t="s">
        <v>186</v>
      </c>
      <c r="C119" s="45">
        <f t="shared" si="4"/>
        <v>196.93</v>
      </c>
      <c r="D119" s="107"/>
      <c r="E119" s="107"/>
      <c r="F119" s="107"/>
      <c r="G119" s="107">
        <v>196.93</v>
      </c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5">
      <c r="A120" s="32">
        <v>1222</v>
      </c>
      <c r="B120" s="107" t="s">
        <v>187</v>
      </c>
      <c r="C120" s="45">
        <f t="shared" si="4"/>
        <v>0</v>
      </c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5">
      <c r="A121" s="5">
        <v>128</v>
      </c>
      <c r="B121" s="107" t="s">
        <v>188</v>
      </c>
      <c r="C121" s="45">
        <f t="shared" si="4"/>
        <v>669.78</v>
      </c>
      <c r="D121" s="107"/>
      <c r="E121" s="107"/>
      <c r="F121" s="107"/>
      <c r="G121" s="107">
        <v>669.78</v>
      </c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5">
      <c r="A122" s="5"/>
      <c r="B122" s="107"/>
      <c r="C122" s="45">
        <f t="shared" si="4"/>
        <v>0</v>
      </c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5">
      <c r="A123" s="5"/>
      <c r="B123" s="107"/>
      <c r="C123" s="45">
        <f t="shared" si="4"/>
        <v>0</v>
      </c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5">
      <c r="A124" s="5"/>
      <c r="B124" s="107"/>
      <c r="C124" s="5"/>
      <c r="D124" s="107"/>
      <c r="E124" s="107"/>
      <c r="F124" s="107"/>
      <c r="G124" s="107"/>
      <c r="H124" s="107"/>
      <c r="I124" s="107"/>
      <c r="J124" s="107"/>
      <c r="K124" s="107"/>
      <c r="L124" s="107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5">
      <c r="A125" s="5"/>
      <c r="B125" s="107"/>
      <c r="C125" s="5"/>
      <c r="D125" s="107"/>
      <c r="E125" s="107"/>
      <c r="F125" s="107"/>
      <c r="G125" s="107"/>
      <c r="H125" s="107"/>
      <c r="I125" s="107"/>
      <c r="J125" s="107"/>
      <c r="K125" s="107"/>
      <c r="L125" s="107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5">
      <c r="A126" s="5"/>
      <c r="B126" s="107"/>
      <c r="C126" s="5"/>
      <c r="D126" s="107"/>
      <c r="E126" s="107"/>
      <c r="F126" s="107"/>
      <c r="G126" s="107"/>
      <c r="H126" s="107"/>
      <c r="I126" s="107"/>
      <c r="J126" s="107"/>
      <c r="K126" s="107"/>
      <c r="L126" s="107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5">
      <c r="A127" s="5"/>
      <c r="B127" s="107"/>
      <c r="C127" s="5"/>
      <c r="D127" s="107"/>
      <c r="E127" s="107"/>
      <c r="F127" s="107"/>
      <c r="G127" s="107"/>
      <c r="H127" s="107"/>
      <c r="I127" s="107"/>
      <c r="J127" s="107"/>
      <c r="K127" s="107"/>
      <c r="L127" s="107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5">
      <c r="A128" s="5"/>
      <c r="B128" s="107"/>
      <c r="C128" s="5"/>
      <c r="D128" s="107"/>
      <c r="E128" s="107"/>
      <c r="F128" s="107"/>
      <c r="G128" s="107"/>
      <c r="H128" s="107"/>
      <c r="I128" s="107"/>
      <c r="J128" s="107"/>
      <c r="K128" s="107"/>
      <c r="L128" s="107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5">
      <c r="A129" s="5"/>
      <c r="B129" s="107"/>
      <c r="C129" s="5"/>
      <c r="D129" s="107"/>
      <c r="E129" s="107"/>
      <c r="F129" s="107"/>
      <c r="G129" s="107"/>
      <c r="H129" s="107"/>
      <c r="I129" s="107"/>
      <c r="J129" s="107"/>
      <c r="K129" s="107"/>
      <c r="L129" s="107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5">
      <c r="A130" s="5"/>
      <c r="B130" s="107"/>
      <c r="C130" s="5"/>
      <c r="D130" s="107"/>
      <c r="E130" s="107"/>
      <c r="F130" s="107"/>
      <c r="G130" s="107"/>
      <c r="H130" s="107"/>
      <c r="I130" s="107"/>
      <c r="J130" s="107"/>
      <c r="K130" s="107"/>
      <c r="L130" s="107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5">
      <c r="A131" s="5"/>
      <c r="B131" s="107"/>
      <c r="C131" s="5"/>
      <c r="D131" s="107"/>
      <c r="E131" s="107"/>
      <c r="F131" s="107"/>
      <c r="G131" s="107"/>
      <c r="H131" s="107"/>
      <c r="I131" s="107"/>
      <c r="J131" s="107"/>
      <c r="K131" s="107"/>
      <c r="L131" s="107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5">
      <c r="A132" s="5"/>
      <c r="B132" s="107"/>
      <c r="C132" s="5"/>
      <c r="D132" s="107"/>
      <c r="E132" s="107"/>
      <c r="F132" s="107"/>
      <c r="G132" s="107"/>
      <c r="H132" s="107"/>
      <c r="I132" s="107"/>
      <c r="J132" s="107"/>
      <c r="K132" s="107"/>
      <c r="L132" s="107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5">
      <c r="A133" s="5"/>
      <c r="B133" s="107"/>
      <c r="C133" s="5"/>
      <c r="D133" s="107"/>
      <c r="E133" s="107"/>
      <c r="F133" s="107"/>
      <c r="G133" s="107"/>
      <c r="H133" s="107"/>
      <c r="I133" s="107"/>
      <c r="J133" s="107"/>
      <c r="K133" s="107"/>
      <c r="L133" s="107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5">
      <c r="A134" s="5"/>
      <c r="B134" s="107"/>
      <c r="C134" s="5"/>
      <c r="D134" s="107"/>
      <c r="E134" s="107"/>
      <c r="F134" s="107"/>
      <c r="G134" s="107"/>
      <c r="H134" s="107"/>
      <c r="I134" s="107"/>
      <c r="J134" s="107"/>
      <c r="K134" s="107"/>
      <c r="L134" s="107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5">
      <c r="A135" s="5"/>
      <c r="B135" s="107"/>
      <c r="C135" s="5"/>
      <c r="D135" s="107"/>
      <c r="E135" s="107"/>
      <c r="F135" s="107"/>
      <c r="G135" s="107"/>
      <c r="H135" s="107"/>
      <c r="I135" s="107"/>
      <c r="J135" s="107"/>
      <c r="K135" s="107"/>
      <c r="L135" s="107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5">
      <c r="A136" s="5"/>
      <c r="B136" s="107"/>
      <c r="C136" s="5"/>
      <c r="D136" s="107"/>
      <c r="E136" s="107"/>
      <c r="F136" s="107"/>
      <c r="G136" s="107"/>
      <c r="H136" s="107"/>
      <c r="I136" s="107"/>
      <c r="J136" s="107"/>
      <c r="K136" s="107"/>
      <c r="L136" s="107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5">
      <c r="A137" s="5"/>
      <c r="B137" s="107"/>
      <c r="C137" s="5"/>
      <c r="D137" s="107"/>
      <c r="E137" s="107"/>
      <c r="F137" s="107"/>
      <c r="G137" s="107"/>
      <c r="H137" s="107"/>
      <c r="I137" s="107"/>
      <c r="J137" s="107"/>
      <c r="K137" s="107"/>
      <c r="L137" s="107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5">
      <c r="A138" s="5"/>
      <c r="B138" s="107"/>
      <c r="C138" s="5"/>
      <c r="D138" s="107"/>
      <c r="E138" s="107"/>
      <c r="F138" s="107"/>
      <c r="G138" s="107"/>
      <c r="H138" s="107"/>
      <c r="I138" s="107"/>
      <c r="J138" s="107"/>
      <c r="K138" s="107"/>
      <c r="L138" s="107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5">
      <c r="A139" s="5"/>
      <c r="B139" s="107"/>
      <c r="C139" s="5"/>
      <c r="D139" s="107"/>
      <c r="E139" s="107"/>
      <c r="F139" s="107"/>
      <c r="G139" s="107"/>
      <c r="H139" s="107"/>
      <c r="I139" s="107"/>
      <c r="J139" s="107"/>
      <c r="K139" s="107"/>
      <c r="L139" s="107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5">
      <c r="A140" s="5"/>
      <c r="B140" s="107"/>
      <c r="C140" s="5"/>
      <c r="D140" s="107"/>
      <c r="E140" s="107"/>
      <c r="F140" s="107"/>
      <c r="G140" s="107"/>
      <c r="H140" s="107"/>
      <c r="I140" s="107"/>
      <c r="J140" s="107"/>
      <c r="K140" s="107"/>
      <c r="L140" s="107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5">
      <c r="A141" s="5"/>
      <c r="B141" s="107"/>
      <c r="C141" s="5"/>
      <c r="D141" s="107"/>
      <c r="E141" s="107"/>
      <c r="F141" s="107"/>
      <c r="G141" s="107"/>
      <c r="H141" s="107"/>
      <c r="I141" s="107"/>
      <c r="J141" s="107"/>
      <c r="K141" s="107"/>
      <c r="L141" s="107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5">
      <c r="A142" s="5"/>
      <c r="B142" s="107"/>
      <c r="C142" s="5"/>
      <c r="D142" s="107"/>
      <c r="E142" s="107"/>
      <c r="F142" s="107"/>
      <c r="G142" s="107"/>
      <c r="H142" s="107"/>
      <c r="I142" s="107"/>
      <c r="J142" s="107"/>
      <c r="K142" s="107"/>
      <c r="L142" s="107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5">
      <c r="A143" s="5"/>
      <c r="B143" s="107"/>
      <c r="C143" s="5"/>
      <c r="D143" s="107"/>
      <c r="E143" s="107"/>
      <c r="F143" s="107"/>
      <c r="G143" s="107"/>
      <c r="H143" s="107"/>
      <c r="I143" s="107"/>
      <c r="J143" s="107"/>
      <c r="K143" s="107"/>
      <c r="L143" s="107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5">
      <c r="A144" s="5"/>
      <c r="B144" s="107"/>
      <c r="C144" s="5"/>
      <c r="D144" s="107"/>
      <c r="E144" s="107"/>
      <c r="F144" s="107"/>
      <c r="G144" s="107"/>
      <c r="H144" s="107"/>
      <c r="I144" s="107"/>
      <c r="J144" s="107"/>
      <c r="K144" s="107"/>
      <c r="L144" s="107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5">
      <c r="A145" s="5"/>
      <c r="B145" s="107"/>
      <c r="C145" s="5"/>
      <c r="D145" s="107"/>
      <c r="E145" s="107"/>
      <c r="F145" s="107"/>
      <c r="G145" s="107"/>
      <c r="H145" s="107"/>
      <c r="I145" s="107"/>
      <c r="J145" s="107"/>
      <c r="K145" s="107"/>
      <c r="L145" s="107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5">
      <c r="A146" s="5"/>
      <c r="B146" s="107"/>
      <c r="C146" s="5"/>
      <c r="D146" s="107"/>
      <c r="E146" s="107"/>
      <c r="F146" s="107"/>
      <c r="G146" s="107"/>
      <c r="H146" s="107"/>
      <c r="I146" s="107"/>
      <c r="J146" s="107"/>
      <c r="K146" s="107"/>
      <c r="L146" s="107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5">
      <c r="A147" s="5"/>
      <c r="B147" s="107"/>
      <c r="C147" s="5"/>
      <c r="D147" s="107"/>
      <c r="E147" s="107"/>
      <c r="F147" s="107"/>
      <c r="G147" s="107"/>
      <c r="H147" s="107"/>
      <c r="I147" s="107"/>
      <c r="J147" s="107"/>
      <c r="K147" s="107"/>
      <c r="L147" s="107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5">
      <c r="A148" s="5"/>
      <c r="B148" s="107"/>
      <c r="C148" s="5"/>
      <c r="D148" s="107"/>
      <c r="E148" s="107"/>
      <c r="F148" s="107"/>
      <c r="G148" s="107"/>
      <c r="H148" s="107"/>
      <c r="I148" s="107"/>
      <c r="J148" s="107"/>
      <c r="K148" s="107"/>
      <c r="L148" s="107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5">
      <c r="A149" s="5"/>
      <c r="B149" s="107"/>
      <c r="C149" s="5"/>
      <c r="D149" s="107"/>
      <c r="E149" s="107"/>
      <c r="F149" s="107"/>
      <c r="G149" s="107"/>
      <c r="H149" s="107"/>
      <c r="I149" s="107"/>
      <c r="J149" s="107"/>
      <c r="K149" s="107"/>
      <c r="L149" s="107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5">
      <c r="A150" s="5"/>
      <c r="B150" s="107"/>
      <c r="C150" s="5"/>
      <c r="D150" s="107"/>
      <c r="E150" s="107"/>
      <c r="F150" s="107"/>
      <c r="G150" s="107"/>
      <c r="H150" s="107"/>
      <c r="I150" s="107"/>
      <c r="J150" s="107"/>
      <c r="K150" s="107"/>
      <c r="L150" s="107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5">
      <c r="A151" s="5"/>
      <c r="B151" s="107"/>
      <c r="C151" s="5"/>
      <c r="D151" s="107"/>
      <c r="E151" s="107"/>
      <c r="F151" s="107"/>
      <c r="G151" s="107"/>
      <c r="H151" s="107"/>
      <c r="I151" s="107"/>
      <c r="J151" s="107"/>
      <c r="K151" s="107"/>
      <c r="L151" s="107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5">
      <c r="A152" s="5"/>
      <c r="B152" s="107"/>
      <c r="C152" s="5"/>
      <c r="D152" s="107"/>
      <c r="E152" s="107"/>
      <c r="F152" s="107"/>
      <c r="G152" s="107"/>
      <c r="H152" s="107"/>
      <c r="I152" s="107"/>
      <c r="J152" s="107"/>
      <c r="K152" s="107"/>
      <c r="L152" s="107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5">
      <c r="A153" s="5"/>
      <c r="B153" s="107"/>
      <c r="C153" s="5"/>
      <c r="D153" s="107"/>
      <c r="E153" s="107"/>
      <c r="F153" s="107"/>
      <c r="G153" s="107"/>
      <c r="H153" s="107"/>
      <c r="I153" s="107"/>
      <c r="J153" s="107"/>
      <c r="K153" s="107"/>
      <c r="L153" s="107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5">
      <c r="A154" s="5"/>
      <c r="B154" s="107"/>
      <c r="C154" s="5"/>
      <c r="D154" s="107"/>
      <c r="E154" s="107"/>
      <c r="F154" s="107"/>
      <c r="G154" s="107"/>
      <c r="H154" s="107"/>
      <c r="I154" s="107"/>
      <c r="J154" s="107"/>
      <c r="K154" s="107"/>
      <c r="L154" s="107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5">
      <c r="A155" s="5"/>
      <c r="B155" s="107"/>
      <c r="C155" s="5"/>
      <c r="D155" s="107"/>
      <c r="E155" s="107"/>
      <c r="F155" s="107"/>
      <c r="G155" s="107"/>
      <c r="H155" s="107"/>
      <c r="I155" s="107"/>
      <c r="J155" s="107"/>
      <c r="K155" s="107"/>
      <c r="L155" s="107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5">
      <c r="A156" s="5"/>
      <c r="B156" s="107"/>
      <c r="C156" s="5"/>
      <c r="D156" s="107"/>
      <c r="E156" s="107"/>
      <c r="F156" s="107"/>
      <c r="G156" s="107"/>
      <c r="H156" s="107"/>
      <c r="I156" s="107"/>
      <c r="J156" s="107"/>
      <c r="K156" s="107"/>
      <c r="L156" s="107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5">
      <c r="A157" s="5"/>
      <c r="B157" s="107"/>
      <c r="C157" s="5"/>
      <c r="D157" s="107"/>
      <c r="E157" s="107"/>
      <c r="F157" s="107"/>
      <c r="G157" s="107"/>
      <c r="H157" s="107"/>
      <c r="I157" s="107"/>
      <c r="J157" s="107"/>
      <c r="K157" s="107"/>
      <c r="L157" s="107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5">
      <c r="A158" s="5"/>
      <c r="B158" s="107"/>
      <c r="C158" s="5"/>
      <c r="D158" s="107"/>
      <c r="E158" s="107"/>
      <c r="F158" s="107"/>
      <c r="G158" s="107"/>
      <c r="H158" s="107"/>
      <c r="I158" s="107"/>
      <c r="J158" s="107"/>
      <c r="K158" s="107"/>
      <c r="L158" s="107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5">
      <c r="A159" s="5"/>
      <c r="B159" s="107"/>
      <c r="C159" s="5"/>
      <c r="D159" s="107"/>
      <c r="E159" s="107"/>
      <c r="F159" s="107"/>
      <c r="G159" s="107"/>
      <c r="H159" s="107"/>
      <c r="I159" s="107"/>
      <c r="J159" s="107"/>
      <c r="K159" s="107"/>
      <c r="L159" s="107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5">
      <c r="A160" s="5"/>
      <c r="B160" s="107"/>
      <c r="C160" s="5"/>
      <c r="D160" s="107"/>
      <c r="E160" s="107"/>
      <c r="F160" s="107"/>
      <c r="G160" s="107"/>
      <c r="H160" s="107"/>
      <c r="I160" s="107"/>
      <c r="J160" s="107"/>
      <c r="K160" s="107"/>
      <c r="L160" s="107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5">
      <c r="A161" s="5"/>
      <c r="B161" s="107"/>
      <c r="C161" s="5"/>
      <c r="D161" s="107"/>
      <c r="E161" s="107"/>
      <c r="F161" s="107"/>
      <c r="G161" s="107"/>
      <c r="H161" s="107"/>
      <c r="I161" s="107"/>
      <c r="J161" s="107"/>
      <c r="K161" s="107"/>
      <c r="L161" s="107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5">
      <c r="A162" s="5"/>
      <c r="B162" s="107"/>
      <c r="C162" s="5"/>
      <c r="D162" s="107"/>
      <c r="E162" s="107"/>
      <c r="F162" s="107"/>
      <c r="G162" s="107"/>
      <c r="H162" s="107"/>
      <c r="I162" s="107"/>
      <c r="J162" s="107"/>
      <c r="K162" s="107"/>
      <c r="L162" s="107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5">
      <c r="A163" s="5"/>
      <c r="B163" s="107"/>
      <c r="C163" s="5"/>
      <c r="D163" s="107"/>
      <c r="E163" s="107"/>
      <c r="F163" s="107"/>
      <c r="G163" s="107"/>
      <c r="H163" s="107"/>
      <c r="I163" s="107"/>
      <c r="J163" s="107"/>
      <c r="K163" s="107"/>
      <c r="L163" s="107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5">
      <c r="A164" s="5"/>
      <c r="B164" s="107"/>
      <c r="C164" s="5"/>
      <c r="D164" s="107"/>
      <c r="E164" s="107"/>
      <c r="F164" s="107"/>
      <c r="G164" s="107"/>
      <c r="H164" s="107"/>
      <c r="I164" s="107"/>
      <c r="J164" s="107"/>
      <c r="K164" s="107"/>
      <c r="L164" s="107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5">
      <c r="A165" s="5"/>
      <c r="B165" s="107"/>
      <c r="C165" s="5"/>
      <c r="D165" s="107"/>
      <c r="E165" s="107"/>
      <c r="F165" s="107"/>
      <c r="G165" s="107"/>
      <c r="H165" s="107"/>
      <c r="I165" s="107"/>
      <c r="J165" s="107"/>
      <c r="K165" s="107"/>
      <c r="L165" s="107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5">
      <c r="A166" s="5"/>
      <c r="B166" s="107"/>
      <c r="C166" s="5"/>
      <c r="D166" s="107"/>
      <c r="E166" s="107"/>
      <c r="F166" s="107"/>
      <c r="G166" s="107"/>
      <c r="H166" s="107"/>
      <c r="I166" s="107"/>
      <c r="J166" s="107"/>
      <c r="K166" s="107"/>
      <c r="L166" s="107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5">
      <c r="A167" s="5"/>
      <c r="B167" s="107"/>
      <c r="C167" s="5"/>
      <c r="D167" s="107"/>
      <c r="E167" s="107"/>
      <c r="F167" s="107"/>
      <c r="G167" s="107"/>
      <c r="H167" s="107"/>
      <c r="I167" s="107"/>
      <c r="J167" s="107"/>
      <c r="K167" s="107"/>
      <c r="L167" s="107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5">
      <c r="A168" s="5"/>
      <c r="B168" s="107"/>
      <c r="C168" s="5"/>
      <c r="D168" s="107"/>
      <c r="E168" s="107"/>
      <c r="F168" s="107"/>
      <c r="G168" s="107"/>
      <c r="H168" s="107"/>
      <c r="I168" s="107"/>
      <c r="J168" s="107"/>
      <c r="K168" s="107"/>
      <c r="L168" s="107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5">
      <c r="A169" s="5"/>
      <c r="B169" s="107"/>
      <c r="C169" s="5"/>
      <c r="D169" s="107"/>
      <c r="E169" s="107"/>
      <c r="F169" s="107"/>
      <c r="G169" s="107"/>
      <c r="H169" s="107"/>
      <c r="I169" s="107"/>
      <c r="J169" s="107"/>
      <c r="K169" s="107"/>
      <c r="L169" s="107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5">
      <c r="A170" s="5"/>
      <c r="B170" s="107"/>
      <c r="C170" s="5"/>
      <c r="D170" s="107"/>
      <c r="E170" s="107"/>
      <c r="F170" s="107"/>
      <c r="G170" s="107"/>
      <c r="H170" s="107"/>
      <c r="I170" s="107"/>
      <c r="J170" s="107"/>
      <c r="K170" s="107"/>
      <c r="L170" s="107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5">
      <c r="A171" s="5"/>
      <c r="B171" s="107"/>
      <c r="C171" s="5"/>
      <c r="D171" s="107"/>
      <c r="E171" s="107"/>
      <c r="F171" s="107"/>
      <c r="G171" s="107"/>
      <c r="H171" s="107"/>
      <c r="I171" s="107"/>
      <c r="J171" s="107"/>
      <c r="K171" s="107"/>
      <c r="L171" s="107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5">
      <c r="A172" s="5"/>
      <c r="B172" s="107"/>
      <c r="C172" s="5"/>
      <c r="D172" s="107"/>
      <c r="E172" s="107"/>
      <c r="F172" s="107"/>
      <c r="G172" s="107"/>
      <c r="H172" s="107"/>
      <c r="I172" s="107"/>
      <c r="J172" s="107"/>
      <c r="K172" s="107"/>
      <c r="L172" s="107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5">
      <c r="A173" s="5"/>
      <c r="B173" s="107"/>
      <c r="C173" s="5"/>
      <c r="D173" s="107"/>
      <c r="E173" s="107"/>
      <c r="F173" s="107"/>
      <c r="G173" s="107"/>
      <c r="H173" s="107"/>
      <c r="I173" s="107"/>
      <c r="J173" s="107"/>
      <c r="K173" s="107"/>
      <c r="L173" s="107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5">
      <c r="A174" s="5"/>
      <c r="B174" s="107"/>
      <c r="C174" s="5"/>
      <c r="D174" s="107"/>
      <c r="E174" s="107"/>
      <c r="F174" s="107"/>
      <c r="G174" s="107"/>
      <c r="H174" s="107"/>
      <c r="I174" s="107"/>
      <c r="J174" s="107"/>
      <c r="K174" s="107"/>
      <c r="L174" s="107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5">
      <c r="A175" s="5"/>
      <c r="B175" s="107"/>
      <c r="C175" s="5"/>
      <c r="D175" s="107"/>
      <c r="E175" s="107"/>
      <c r="F175" s="107"/>
      <c r="G175" s="107"/>
      <c r="H175" s="107"/>
      <c r="I175" s="107"/>
      <c r="J175" s="107"/>
      <c r="K175" s="107"/>
      <c r="L175" s="107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5">
      <c r="A176" s="5"/>
      <c r="B176" s="107"/>
      <c r="C176" s="5"/>
      <c r="D176" s="107"/>
      <c r="E176" s="107"/>
      <c r="F176" s="107"/>
      <c r="G176" s="107"/>
      <c r="H176" s="107"/>
      <c r="I176" s="107"/>
      <c r="J176" s="107"/>
      <c r="K176" s="107"/>
      <c r="L176" s="107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5">
      <c r="A177" s="5"/>
      <c r="B177" s="107"/>
      <c r="C177" s="5"/>
      <c r="D177" s="107"/>
      <c r="E177" s="107"/>
      <c r="F177" s="107"/>
      <c r="G177" s="107"/>
      <c r="H177" s="107"/>
      <c r="I177" s="107"/>
      <c r="J177" s="107"/>
      <c r="K177" s="107"/>
      <c r="L177" s="107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5">
      <c r="A178" s="5"/>
      <c r="B178" s="107"/>
      <c r="C178" s="5"/>
      <c r="D178" s="107"/>
      <c r="E178" s="107"/>
      <c r="F178" s="107"/>
      <c r="G178" s="107"/>
      <c r="H178" s="107"/>
      <c r="I178" s="107"/>
      <c r="J178" s="107"/>
      <c r="K178" s="107"/>
      <c r="L178" s="107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5">
      <c r="A179" s="5"/>
      <c r="B179" s="107"/>
      <c r="C179" s="5"/>
      <c r="D179" s="107"/>
      <c r="E179" s="107"/>
      <c r="F179" s="107"/>
      <c r="G179" s="107"/>
      <c r="H179" s="107"/>
      <c r="I179" s="107"/>
      <c r="J179" s="107"/>
      <c r="K179" s="107"/>
      <c r="L179" s="107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5">
      <c r="A180" s="5"/>
      <c r="B180" s="107"/>
      <c r="C180" s="5"/>
      <c r="D180" s="107"/>
      <c r="E180" s="107"/>
      <c r="F180" s="107"/>
      <c r="G180" s="107"/>
      <c r="H180" s="107"/>
      <c r="I180" s="107"/>
      <c r="J180" s="107"/>
      <c r="K180" s="107"/>
      <c r="L180" s="107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5">
      <c r="A181" s="5"/>
      <c r="B181" s="107"/>
      <c r="C181" s="5"/>
      <c r="D181" s="107"/>
      <c r="E181" s="107"/>
      <c r="F181" s="107"/>
      <c r="G181" s="107"/>
      <c r="H181" s="107"/>
      <c r="I181" s="107"/>
      <c r="J181" s="107"/>
      <c r="K181" s="107"/>
      <c r="L181" s="107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5">
      <c r="A182" s="5"/>
      <c r="B182" s="107"/>
      <c r="C182" s="5"/>
      <c r="D182" s="107"/>
      <c r="E182" s="107"/>
      <c r="F182" s="107"/>
      <c r="G182" s="107"/>
      <c r="H182" s="107"/>
      <c r="I182" s="107"/>
      <c r="J182" s="107"/>
      <c r="K182" s="107"/>
      <c r="L182" s="107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5">
      <c r="A183" s="5"/>
      <c r="B183" s="107"/>
      <c r="C183" s="5"/>
      <c r="D183" s="107"/>
      <c r="E183" s="107"/>
      <c r="F183" s="107"/>
      <c r="G183" s="107"/>
      <c r="H183" s="107"/>
      <c r="I183" s="107"/>
      <c r="J183" s="107"/>
      <c r="K183" s="107"/>
      <c r="L183" s="107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5">
      <c r="A184" s="5"/>
      <c r="B184" s="107"/>
      <c r="C184" s="5"/>
      <c r="D184" s="107"/>
      <c r="E184" s="107"/>
      <c r="F184" s="107"/>
      <c r="G184" s="107"/>
      <c r="H184" s="107"/>
      <c r="I184" s="107"/>
      <c r="J184" s="107"/>
      <c r="K184" s="107"/>
      <c r="L184" s="107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5">
      <c r="A185" s="5"/>
      <c r="B185" s="107"/>
      <c r="C185" s="5"/>
      <c r="D185" s="107"/>
      <c r="E185" s="107"/>
      <c r="F185" s="107"/>
      <c r="G185" s="107"/>
      <c r="H185" s="107"/>
      <c r="I185" s="107"/>
      <c r="J185" s="107"/>
      <c r="K185" s="107"/>
      <c r="L185" s="107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5">
      <c r="A186" s="5"/>
      <c r="B186" s="107"/>
      <c r="C186" s="5"/>
      <c r="D186" s="107"/>
      <c r="E186" s="107"/>
      <c r="F186" s="107"/>
      <c r="G186" s="107"/>
      <c r="H186" s="107"/>
      <c r="I186" s="107"/>
      <c r="J186" s="107"/>
      <c r="K186" s="107"/>
      <c r="L186" s="107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5">
      <c r="A187" s="5"/>
      <c r="B187" s="107"/>
      <c r="C187" s="5"/>
      <c r="D187" s="107"/>
      <c r="E187" s="107"/>
      <c r="F187" s="107"/>
      <c r="G187" s="107"/>
      <c r="H187" s="107"/>
      <c r="I187" s="107"/>
      <c r="J187" s="107"/>
      <c r="K187" s="107"/>
      <c r="L187" s="107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5">
      <c r="A188" s="5"/>
      <c r="B188" s="107"/>
      <c r="C188" s="5"/>
      <c r="D188" s="107"/>
      <c r="E188" s="107"/>
      <c r="F188" s="107"/>
      <c r="G188" s="107"/>
      <c r="H188" s="107"/>
      <c r="I188" s="107"/>
      <c r="J188" s="107"/>
      <c r="K188" s="107"/>
      <c r="L188" s="107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5">
      <c r="A189" s="5"/>
      <c r="B189" s="107"/>
      <c r="C189" s="5"/>
      <c r="D189" s="107"/>
      <c r="E189" s="107"/>
      <c r="F189" s="107"/>
      <c r="G189" s="107"/>
      <c r="H189" s="107"/>
      <c r="I189" s="107"/>
      <c r="J189" s="107"/>
      <c r="K189" s="107"/>
      <c r="L189" s="107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5">
      <c r="A190" s="5"/>
      <c r="B190" s="107"/>
      <c r="C190" s="5"/>
      <c r="D190" s="107"/>
      <c r="E190" s="107"/>
      <c r="F190" s="107"/>
      <c r="G190" s="107"/>
      <c r="H190" s="107"/>
      <c r="I190" s="107"/>
      <c r="J190" s="107"/>
      <c r="K190" s="107"/>
      <c r="L190" s="107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5">
      <c r="A191" s="5"/>
      <c r="B191" s="107"/>
      <c r="C191" s="5"/>
      <c r="D191" s="107"/>
      <c r="E191" s="107"/>
      <c r="F191" s="107"/>
      <c r="G191" s="107"/>
      <c r="H191" s="107"/>
      <c r="I191" s="107"/>
      <c r="J191" s="107"/>
      <c r="K191" s="107"/>
      <c r="L191" s="107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5">
      <c r="A192" s="5"/>
      <c r="B192" s="107"/>
      <c r="C192" s="5"/>
      <c r="D192" s="107"/>
      <c r="E192" s="107"/>
      <c r="F192" s="107"/>
      <c r="G192" s="107"/>
      <c r="H192" s="107"/>
      <c r="I192" s="107"/>
      <c r="J192" s="107"/>
      <c r="K192" s="107"/>
      <c r="L192" s="107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5">
      <c r="A193" s="5"/>
      <c r="B193" s="107"/>
      <c r="C193" s="5"/>
      <c r="D193" s="107"/>
      <c r="E193" s="107"/>
      <c r="F193" s="107"/>
      <c r="G193" s="107"/>
      <c r="H193" s="107"/>
      <c r="I193" s="107"/>
      <c r="J193" s="107"/>
      <c r="K193" s="107"/>
      <c r="L193" s="107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5">
      <c r="A194" s="5"/>
      <c r="B194" s="107"/>
      <c r="C194" s="5"/>
      <c r="D194" s="107"/>
      <c r="E194" s="107"/>
      <c r="F194" s="107"/>
      <c r="G194" s="107"/>
      <c r="H194" s="107"/>
      <c r="I194" s="107"/>
      <c r="J194" s="107"/>
      <c r="K194" s="107"/>
      <c r="L194" s="107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5">
      <c r="A195" s="5"/>
      <c r="B195" s="107"/>
      <c r="C195" s="5"/>
      <c r="D195" s="107"/>
      <c r="E195" s="107"/>
      <c r="F195" s="107"/>
      <c r="G195" s="107"/>
      <c r="H195" s="107"/>
      <c r="I195" s="107"/>
      <c r="J195" s="107"/>
      <c r="K195" s="107"/>
      <c r="L195" s="107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5">
      <c r="A196" s="5"/>
      <c r="B196" s="107"/>
      <c r="C196" s="5"/>
      <c r="D196" s="107"/>
      <c r="E196" s="107"/>
      <c r="F196" s="107"/>
      <c r="G196" s="107"/>
      <c r="H196" s="107"/>
      <c r="I196" s="107"/>
      <c r="J196" s="107"/>
      <c r="K196" s="107"/>
      <c r="L196" s="107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5">
      <c r="A197" s="5"/>
      <c r="B197" s="107"/>
      <c r="C197" s="5"/>
      <c r="D197" s="107"/>
      <c r="E197" s="107"/>
      <c r="F197" s="107"/>
      <c r="G197" s="107"/>
      <c r="H197" s="107"/>
      <c r="I197" s="107"/>
      <c r="J197" s="107"/>
      <c r="K197" s="107"/>
      <c r="L197" s="107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5">
      <c r="A198" s="5"/>
      <c r="B198" s="107"/>
      <c r="C198" s="5"/>
      <c r="D198" s="107"/>
      <c r="E198" s="107"/>
      <c r="F198" s="107"/>
      <c r="G198" s="107"/>
      <c r="H198" s="107"/>
      <c r="I198" s="107"/>
      <c r="J198" s="107"/>
      <c r="K198" s="107"/>
      <c r="L198" s="107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5">
      <c r="A199" s="5"/>
      <c r="B199" s="107"/>
      <c r="C199" s="5"/>
      <c r="D199" s="107"/>
      <c r="E199" s="107"/>
      <c r="F199" s="107"/>
      <c r="G199" s="107"/>
      <c r="H199" s="107"/>
      <c r="I199" s="107"/>
      <c r="J199" s="107"/>
      <c r="K199" s="107"/>
      <c r="L199" s="107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5">
      <c r="A200" s="5"/>
      <c r="B200" s="107"/>
      <c r="C200" s="5"/>
      <c r="D200" s="107"/>
      <c r="E200" s="107"/>
      <c r="F200" s="107"/>
      <c r="G200" s="107"/>
      <c r="H200" s="107"/>
      <c r="I200" s="107"/>
      <c r="J200" s="107"/>
      <c r="K200" s="107"/>
      <c r="L200" s="107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5">
      <c r="A201" s="5"/>
      <c r="B201" s="107"/>
      <c r="C201" s="5"/>
      <c r="D201" s="107"/>
      <c r="E201" s="107"/>
      <c r="F201" s="107"/>
      <c r="G201" s="107"/>
      <c r="H201" s="107"/>
      <c r="I201" s="107"/>
      <c r="J201" s="107"/>
      <c r="K201" s="107"/>
      <c r="L201" s="107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5">
      <c r="A202" s="5"/>
      <c r="B202" s="107"/>
      <c r="C202" s="5"/>
      <c r="D202" s="107"/>
      <c r="E202" s="107"/>
      <c r="F202" s="107"/>
      <c r="G202" s="107"/>
      <c r="H202" s="107"/>
      <c r="I202" s="107"/>
      <c r="J202" s="107"/>
      <c r="K202" s="107"/>
      <c r="L202" s="107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5">
      <c r="A203" s="5"/>
      <c r="B203" s="107"/>
      <c r="C203" s="5"/>
      <c r="D203" s="107"/>
      <c r="E203" s="107"/>
      <c r="F203" s="107"/>
      <c r="G203" s="107"/>
      <c r="H203" s="107"/>
      <c r="I203" s="107"/>
      <c r="J203" s="107"/>
      <c r="K203" s="107"/>
      <c r="L203" s="107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5">
      <c r="A204" s="5"/>
      <c r="B204" s="107"/>
      <c r="C204" s="5"/>
      <c r="D204" s="107"/>
      <c r="E204" s="107"/>
      <c r="F204" s="107"/>
      <c r="G204" s="107"/>
      <c r="H204" s="107"/>
      <c r="I204" s="107"/>
      <c r="J204" s="107"/>
      <c r="K204" s="107"/>
      <c r="L204" s="107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5">
      <c r="A205" s="5"/>
      <c r="B205" s="107"/>
      <c r="C205" s="5"/>
      <c r="D205" s="107"/>
      <c r="E205" s="107"/>
      <c r="F205" s="107"/>
      <c r="G205" s="107"/>
      <c r="H205" s="107"/>
      <c r="I205" s="107"/>
      <c r="J205" s="107"/>
      <c r="K205" s="107"/>
      <c r="L205" s="107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5">
      <c r="A206" s="5"/>
      <c r="B206" s="107"/>
      <c r="C206" s="5"/>
      <c r="D206" s="107"/>
      <c r="E206" s="107"/>
      <c r="F206" s="107"/>
      <c r="G206" s="107"/>
      <c r="H206" s="107"/>
      <c r="I206" s="107"/>
      <c r="J206" s="107"/>
      <c r="K206" s="107"/>
      <c r="L206" s="107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5">
      <c r="A207" s="5"/>
      <c r="B207" s="107"/>
      <c r="C207" s="5"/>
      <c r="D207" s="107"/>
      <c r="E207" s="107"/>
      <c r="F207" s="107"/>
      <c r="G207" s="107"/>
      <c r="H207" s="107"/>
      <c r="I207" s="107"/>
      <c r="J207" s="107"/>
      <c r="K207" s="107"/>
      <c r="L207" s="107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5">
      <c r="A208" s="5"/>
      <c r="B208" s="107"/>
      <c r="C208" s="5"/>
      <c r="D208" s="107"/>
      <c r="E208" s="107"/>
      <c r="F208" s="107"/>
      <c r="G208" s="107"/>
      <c r="H208" s="107"/>
      <c r="I208" s="107"/>
      <c r="J208" s="107"/>
      <c r="K208" s="107"/>
      <c r="L208" s="107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5">
      <c r="A209" s="5"/>
      <c r="B209" s="107"/>
      <c r="C209" s="5"/>
      <c r="D209" s="107"/>
      <c r="E209" s="107"/>
      <c r="F209" s="107"/>
      <c r="G209" s="107"/>
      <c r="H209" s="107"/>
      <c r="I209" s="107"/>
      <c r="J209" s="107"/>
      <c r="K209" s="107"/>
      <c r="L209" s="107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5">
      <c r="A210" s="5"/>
      <c r="B210" s="107"/>
      <c r="C210" s="5"/>
      <c r="D210" s="107"/>
      <c r="E210" s="107"/>
      <c r="F210" s="107"/>
      <c r="G210" s="107"/>
      <c r="H210" s="107"/>
      <c r="I210" s="107"/>
      <c r="J210" s="107"/>
      <c r="K210" s="107"/>
      <c r="L210" s="107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5">
      <c r="A211" s="5"/>
      <c r="B211" s="107"/>
      <c r="C211" s="5"/>
      <c r="D211" s="107"/>
      <c r="E211" s="107"/>
      <c r="F211" s="107"/>
      <c r="G211" s="107"/>
      <c r="H211" s="107"/>
      <c r="I211" s="107"/>
      <c r="J211" s="107"/>
      <c r="K211" s="107"/>
      <c r="L211" s="107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5">
      <c r="A212" s="5"/>
      <c r="B212" s="107"/>
      <c r="C212" s="5"/>
      <c r="D212" s="107"/>
      <c r="E212" s="107"/>
      <c r="F212" s="107"/>
      <c r="G212" s="107"/>
      <c r="H212" s="107"/>
      <c r="I212" s="107"/>
      <c r="J212" s="107"/>
      <c r="K212" s="107"/>
      <c r="L212" s="107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5">
      <c r="A213" s="5"/>
      <c r="B213" s="107"/>
      <c r="C213" s="5"/>
      <c r="D213" s="107"/>
      <c r="E213" s="107"/>
      <c r="F213" s="107"/>
      <c r="G213" s="107"/>
      <c r="H213" s="107"/>
      <c r="I213" s="107"/>
      <c r="J213" s="107"/>
      <c r="K213" s="107"/>
      <c r="L213" s="107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5">
      <c r="A214" s="5"/>
      <c r="B214" s="107"/>
      <c r="C214" s="5"/>
      <c r="D214" s="107"/>
      <c r="E214" s="107"/>
      <c r="F214" s="107"/>
      <c r="G214" s="107"/>
      <c r="H214" s="107"/>
      <c r="I214" s="107"/>
      <c r="J214" s="107"/>
      <c r="K214" s="107"/>
      <c r="L214" s="107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5">
      <c r="A215" s="5"/>
      <c r="B215" s="107"/>
      <c r="C215" s="5"/>
      <c r="D215" s="107"/>
      <c r="E215" s="107"/>
      <c r="F215" s="107"/>
      <c r="G215" s="107"/>
      <c r="H215" s="107"/>
      <c r="I215" s="107"/>
      <c r="J215" s="107"/>
      <c r="K215" s="107"/>
      <c r="L215" s="107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5">
      <c r="A216" s="5"/>
      <c r="B216" s="107"/>
      <c r="C216" s="5"/>
      <c r="D216" s="107"/>
      <c r="E216" s="107"/>
      <c r="F216" s="107"/>
      <c r="G216" s="107"/>
      <c r="H216" s="107"/>
      <c r="I216" s="107"/>
      <c r="J216" s="107"/>
      <c r="K216" s="107"/>
      <c r="L216" s="107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5">
      <c r="A217" s="5"/>
      <c r="B217" s="107"/>
      <c r="C217" s="5"/>
      <c r="D217" s="107"/>
      <c r="E217" s="107"/>
      <c r="F217" s="107"/>
      <c r="G217" s="107"/>
      <c r="H217" s="107"/>
      <c r="I217" s="107"/>
      <c r="J217" s="107"/>
      <c r="K217" s="107"/>
      <c r="L217" s="107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5">
      <c r="A218" s="5"/>
      <c r="B218" s="107"/>
      <c r="C218" s="5"/>
      <c r="D218" s="107"/>
      <c r="E218" s="107"/>
      <c r="F218" s="107"/>
      <c r="G218" s="107"/>
      <c r="H218" s="107"/>
      <c r="I218" s="107"/>
      <c r="J218" s="107"/>
      <c r="K218" s="107"/>
      <c r="L218" s="107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5">
      <c r="A219" s="5"/>
      <c r="B219" s="107"/>
      <c r="C219" s="5"/>
      <c r="D219" s="107"/>
      <c r="E219" s="107"/>
      <c r="F219" s="107"/>
      <c r="G219" s="107"/>
      <c r="H219" s="107"/>
      <c r="I219" s="107"/>
      <c r="J219" s="107"/>
      <c r="K219" s="107"/>
      <c r="L219" s="107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5">
      <c r="A220" s="5"/>
      <c r="B220" s="107"/>
      <c r="C220" s="5"/>
      <c r="D220" s="107"/>
      <c r="E220" s="107"/>
      <c r="F220" s="107"/>
      <c r="G220" s="107"/>
      <c r="H220" s="107"/>
      <c r="I220" s="107"/>
      <c r="J220" s="107"/>
      <c r="K220" s="107"/>
      <c r="L220" s="107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5">
      <c r="A221" s="5"/>
      <c r="B221" s="107"/>
      <c r="C221" s="5"/>
      <c r="D221" s="107"/>
      <c r="E221" s="107"/>
      <c r="F221" s="107"/>
      <c r="G221" s="107"/>
      <c r="H221" s="107"/>
      <c r="I221" s="107"/>
      <c r="J221" s="107"/>
      <c r="K221" s="107"/>
      <c r="L221" s="107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5">
      <c r="A222" s="5"/>
      <c r="B222" s="107"/>
      <c r="C222" s="5"/>
      <c r="D222" s="107"/>
      <c r="E222" s="107"/>
      <c r="F222" s="107"/>
      <c r="G222" s="107"/>
      <c r="H222" s="107"/>
      <c r="I222" s="107"/>
      <c r="J222" s="107"/>
      <c r="K222" s="107"/>
      <c r="L222" s="107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5">
      <c r="A223" s="5"/>
      <c r="B223" s="107"/>
      <c r="C223" s="5"/>
      <c r="D223" s="107"/>
      <c r="E223" s="107"/>
      <c r="F223" s="107"/>
      <c r="G223" s="107"/>
      <c r="H223" s="107"/>
      <c r="I223" s="107"/>
      <c r="J223" s="107"/>
      <c r="K223" s="107"/>
      <c r="L223" s="107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5">
      <c r="A224" s="5"/>
      <c r="B224" s="107"/>
      <c r="C224" s="5"/>
      <c r="D224" s="107"/>
      <c r="E224" s="107"/>
      <c r="F224" s="107"/>
      <c r="G224" s="107"/>
      <c r="H224" s="107"/>
      <c r="I224" s="107"/>
      <c r="J224" s="107"/>
      <c r="K224" s="107"/>
      <c r="L224" s="107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5">
      <c r="A225" s="5"/>
      <c r="B225" s="107"/>
      <c r="C225" s="5"/>
      <c r="D225" s="107"/>
      <c r="E225" s="107"/>
      <c r="F225" s="107"/>
      <c r="G225" s="107"/>
      <c r="H225" s="107"/>
      <c r="I225" s="107"/>
      <c r="J225" s="107"/>
      <c r="K225" s="107"/>
      <c r="L225" s="107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5">
      <c r="A226" s="5"/>
      <c r="B226" s="107"/>
      <c r="C226" s="5"/>
      <c r="D226" s="107"/>
      <c r="E226" s="107"/>
      <c r="F226" s="107"/>
      <c r="G226" s="107"/>
      <c r="H226" s="107"/>
      <c r="I226" s="107"/>
      <c r="J226" s="107"/>
      <c r="K226" s="107"/>
      <c r="L226" s="107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5">
      <c r="A227" s="5"/>
      <c r="B227" s="107"/>
      <c r="C227" s="5"/>
      <c r="D227" s="107"/>
      <c r="E227" s="107"/>
      <c r="F227" s="107"/>
      <c r="G227" s="107"/>
      <c r="H227" s="107"/>
      <c r="I227" s="107"/>
      <c r="J227" s="107"/>
      <c r="K227" s="107"/>
      <c r="L227" s="107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5">
      <c r="A228" s="5"/>
      <c r="B228" s="107"/>
      <c r="C228" s="5"/>
      <c r="D228" s="107"/>
      <c r="E228" s="107"/>
      <c r="F228" s="107"/>
      <c r="G228" s="107"/>
      <c r="H228" s="107"/>
      <c r="I228" s="107"/>
      <c r="J228" s="107"/>
      <c r="K228" s="107"/>
      <c r="L228" s="107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5">
      <c r="A229" s="5"/>
      <c r="B229" s="5"/>
      <c r="C229" s="5"/>
      <c r="D229" s="107"/>
      <c r="E229" s="107"/>
      <c r="F229" s="107"/>
      <c r="G229" s="107"/>
      <c r="H229" s="107"/>
      <c r="I229" s="107"/>
      <c r="J229" s="107"/>
      <c r="K229" s="107"/>
      <c r="L229" s="107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5">
      <c r="A230" s="5"/>
      <c r="B230" s="5"/>
      <c r="C230" s="5"/>
      <c r="D230" s="107"/>
      <c r="E230" s="107"/>
      <c r="F230" s="107"/>
      <c r="G230" s="107"/>
      <c r="H230" s="107"/>
      <c r="I230" s="107"/>
      <c r="J230" s="107"/>
      <c r="K230" s="107"/>
      <c r="L230" s="107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5">
      <c r="A231" s="5"/>
      <c r="B231" s="5"/>
      <c r="C231" s="5"/>
      <c r="D231" s="107"/>
      <c r="E231" s="107"/>
      <c r="F231" s="107"/>
      <c r="G231" s="107"/>
      <c r="H231" s="107"/>
      <c r="I231" s="107"/>
      <c r="J231" s="107"/>
      <c r="K231" s="107"/>
      <c r="L231" s="107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5">
      <c r="A232" s="5"/>
      <c r="B232" s="5"/>
      <c r="C232" s="5"/>
      <c r="D232" s="107"/>
      <c r="E232" s="107"/>
      <c r="F232" s="107"/>
      <c r="G232" s="107"/>
      <c r="H232" s="107"/>
      <c r="I232" s="107"/>
      <c r="J232" s="107"/>
      <c r="K232" s="107"/>
      <c r="L232" s="107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5">
      <c r="A233" s="5"/>
      <c r="B233" s="5"/>
      <c r="C233" s="5"/>
      <c r="D233" s="107"/>
      <c r="E233" s="107"/>
      <c r="F233" s="107"/>
      <c r="G233" s="107"/>
      <c r="H233" s="107"/>
      <c r="I233" s="107"/>
      <c r="J233" s="107"/>
      <c r="K233" s="107"/>
      <c r="L233" s="107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5">
      <c r="A234" s="5"/>
      <c r="B234" s="5"/>
      <c r="C234" s="5"/>
      <c r="D234" s="107"/>
      <c r="E234" s="107"/>
      <c r="F234" s="107"/>
      <c r="G234" s="107"/>
      <c r="H234" s="107"/>
      <c r="I234" s="107"/>
      <c r="J234" s="107"/>
      <c r="K234" s="107"/>
      <c r="L234" s="107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5">
      <c r="A235" s="5"/>
      <c r="B235" s="5"/>
      <c r="C235" s="5"/>
      <c r="D235" s="107"/>
      <c r="E235" s="107"/>
      <c r="F235" s="107"/>
      <c r="G235" s="107"/>
      <c r="H235" s="107"/>
      <c r="I235" s="107"/>
      <c r="J235" s="107"/>
      <c r="K235" s="107"/>
      <c r="L235" s="107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5">
      <c r="A236" s="5"/>
      <c r="B236" s="5"/>
      <c r="C236" s="5"/>
      <c r="D236" s="107"/>
      <c r="E236" s="107"/>
      <c r="F236" s="107"/>
      <c r="G236" s="107"/>
      <c r="H236" s="107"/>
      <c r="I236" s="107"/>
      <c r="J236" s="107"/>
      <c r="K236" s="107"/>
      <c r="L236" s="107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5">
      <c r="A237" s="5"/>
      <c r="B237" s="5"/>
      <c r="C237" s="5"/>
      <c r="D237" s="107"/>
      <c r="E237" s="107"/>
      <c r="F237" s="107"/>
      <c r="G237" s="107"/>
      <c r="H237" s="107"/>
      <c r="I237" s="107"/>
      <c r="J237" s="107"/>
      <c r="K237" s="107"/>
      <c r="L237" s="107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5">
      <c r="A238" s="5"/>
      <c r="B238" s="5"/>
      <c r="C238" s="5"/>
      <c r="D238" s="107"/>
      <c r="E238" s="107"/>
      <c r="F238" s="107"/>
      <c r="G238" s="107"/>
      <c r="H238" s="107"/>
      <c r="I238" s="107"/>
      <c r="J238" s="107"/>
      <c r="K238" s="107"/>
      <c r="L238" s="107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5">
      <c r="A239" s="5"/>
      <c r="B239" s="5"/>
      <c r="C239" s="5"/>
      <c r="D239" s="107"/>
      <c r="E239" s="107"/>
      <c r="F239" s="107"/>
      <c r="G239" s="107"/>
      <c r="H239" s="107"/>
      <c r="I239" s="107"/>
      <c r="J239" s="107"/>
      <c r="K239" s="107"/>
      <c r="L239" s="107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5">
      <c r="A240" s="5"/>
      <c r="B240" s="5"/>
      <c r="C240" s="5"/>
      <c r="D240" s="107"/>
      <c r="E240" s="107"/>
      <c r="F240" s="107"/>
      <c r="G240" s="107"/>
      <c r="H240" s="107"/>
      <c r="I240" s="107"/>
      <c r="J240" s="107"/>
      <c r="K240" s="107"/>
      <c r="L240" s="107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5">
      <c r="A241" s="5"/>
      <c r="B241" s="5"/>
      <c r="C241" s="5"/>
      <c r="D241" s="107"/>
      <c r="E241" s="107"/>
      <c r="F241" s="107"/>
      <c r="G241" s="107"/>
      <c r="H241" s="107"/>
      <c r="I241" s="107"/>
      <c r="J241" s="107"/>
      <c r="K241" s="107"/>
      <c r="L241" s="107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5">
      <c r="A242" s="5"/>
      <c r="B242" s="5"/>
      <c r="C242" s="5"/>
      <c r="D242" s="107"/>
      <c r="E242" s="107"/>
      <c r="F242" s="107"/>
      <c r="G242" s="107"/>
      <c r="H242" s="107"/>
      <c r="I242" s="107"/>
      <c r="J242" s="107"/>
      <c r="K242" s="107"/>
      <c r="L242" s="107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5">
      <c r="A243" s="5"/>
      <c r="B243" s="5"/>
      <c r="C243" s="5"/>
      <c r="D243" s="107"/>
      <c r="E243" s="107"/>
      <c r="F243" s="107"/>
      <c r="G243" s="107"/>
      <c r="H243" s="107"/>
      <c r="I243" s="107"/>
      <c r="J243" s="107"/>
      <c r="K243" s="107"/>
      <c r="L243" s="107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5">
      <c r="A244" s="5"/>
      <c r="B244" s="5"/>
      <c r="C244" s="5"/>
      <c r="D244" s="107"/>
      <c r="E244" s="107"/>
      <c r="F244" s="107"/>
      <c r="G244" s="107"/>
      <c r="H244" s="107"/>
      <c r="I244" s="107"/>
      <c r="J244" s="107"/>
      <c r="K244" s="107"/>
      <c r="L244" s="107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5">
      <c r="A245" s="5"/>
      <c r="B245" s="5"/>
      <c r="C245" s="5"/>
      <c r="D245" s="107"/>
      <c r="E245" s="107"/>
      <c r="F245" s="107"/>
      <c r="G245" s="107"/>
      <c r="H245" s="107"/>
      <c r="I245" s="107"/>
      <c r="J245" s="107"/>
      <c r="K245" s="107"/>
      <c r="L245" s="107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5">
      <c r="A246" s="5"/>
      <c r="B246" s="5"/>
      <c r="C246" s="5"/>
      <c r="D246" s="107"/>
      <c r="E246" s="107"/>
      <c r="F246" s="107"/>
      <c r="G246" s="107"/>
      <c r="H246" s="107"/>
      <c r="I246" s="107"/>
      <c r="J246" s="107"/>
      <c r="K246" s="107"/>
      <c r="L246" s="107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5">
      <c r="A247" s="5"/>
      <c r="B247" s="5"/>
      <c r="C247" s="5"/>
      <c r="D247" s="107"/>
      <c r="E247" s="107"/>
      <c r="F247" s="107"/>
      <c r="G247" s="107"/>
      <c r="H247" s="107"/>
      <c r="I247" s="107"/>
      <c r="J247" s="107"/>
      <c r="K247" s="107"/>
      <c r="L247" s="107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5">
      <c r="A248" s="5"/>
      <c r="B248" s="5"/>
      <c r="C248" s="5"/>
      <c r="D248" s="107"/>
      <c r="E248" s="107"/>
      <c r="F248" s="107"/>
      <c r="G248" s="107"/>
      <c r="H248" s="107"/>
      <c r="I248" s="107"/>
      <c r="J248" s="107"/>
      <c r="K248" s="107"/>
      <c r="L248" s="107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5">
      <c r="A249" s="5"/>
      <c r="B249" s="5"/>
      <c r="C249" s="5"/>
      <c r="D249" s="107"/>
      <c r="E249" s="107"/>
      <c r="F249" s="107"/>
      <c r="G249" s="107"/>
      <c r="H249" s="107"/>
      <c r="I249" s="107"/>
      <c r="J249" s="107"/>
      <c r="K249" s="107"/>
      <c r="L249" s="107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5">
      <c r="A250" s="5"/>
      <c r="B250" s="5"/>
      <c r="C250" s="5"/>
      <c r="D250" s="107"/>
      <c r="E250" s="107"/>
      <c r="F250" s="107"/>
      <c r="G250" s="107"/>
      <c r="H250" s="107"/>
      <c r="I250" s="107"/>
      <c r="J250" s="107"/>
      <c r="K250" s="107"/>
      <c r="L250" s="107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5">
      <c r="A251" s="5"/>
      <c r="B251" s="5"/>
      <c r="C251" s="5"/>
      <c r="D251" s="107"/>
      <c r="E251" s="107"/>
      <c r="F251" s="107"/>
      <c r="G251" s="107"/>
      <c r="H251" s="107"/>
      <c r="I251" s="107"/>
      <c r="J251" s="107"/>
      <c r="K251" s="107"/>
      <c r="L251" s="107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5">
      <c r="A252" s="5"/>
      <c r="B252" s="5"/>
      <c r="C252" s="5"/>
      <c r="D252" s="107"/>
      <c r="E252" s="107"/>
      <c r="F252" s="107"/>
      <c r="G252" s="107"/>
      <c r="H252" s="107"/>
      <c r="I252" s="107"/>
      <c r="J252" s="107"/>
      <c r="K252" s="107"/>
      <c r="L252" s="107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5">
      <c r="A253" s="5"/>
      <c r="B253" s="5"/>
      <c r="C253" s="5"/>
      <c r="D253" s="107"/>
      <c r="E253" s="107"/>
      <c r="F253" s="107"/>
      <c r="G253" s="107"/>
      <c r="H253" s="107"/>
      <c r="I253" s="107"/>
      <c r="J253" s="107"/>
      <c r="K253" s="107"/>
      <c r="L253" s="107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5">
      <c r="A254" s="5"/>
      <c r="B254" s="5"/>
      <c r="C254" s="5"/>
      <c r="D254" s="107"/>
      <c r="E254" s="107"/>
      <c r="F254" s="107"/>
      <c r="G254" s="107"/>
      <c r="H254" s="107"/>
      <c r="I254" s="107"/>
      <c r="J254" s="107"/>
      <c r="K254" s="107"/>
      <c r="L254" s="107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5">
      <c r="A255" s="5"/>
      <c r="B255" s="5"/>
      <c r="C255" s="5"/>
      <c r="D255" s="107"/>
      <c r="E255" s="107"/>
      <c r="F255" s="107"/>
      <c r="G255" s="107"/>
      <c r="H255" s="107"/>
      <c r="I255" s="107"/>
      <c r="J255" s="107"/>
      <c r="K255" s="107"/>
      <c r="L255" s="107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5">
      <c r="A256" s="5"/>
      <c r="B256" s="5"/>
      <c r="C256" s="5"/>
      <c r="D256" s="107"/>
      <c r="E256" s="107"/>
      <c r="F256" s="107"/>
      <c r="G256" s="107"/>
      <c r="H256" s="107"/>
      <c r="I256" s="107"/>
      <c r="J256" s="107"/>
      <c r="K256" s="107"/>
      <c r="L256" s="107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5">
      <c r="A257" s="5"/>
      <c r="B257" s="5"/>
      <c r="C257" s="5"/>
      <c r="D257" s="107"/>
      <c r="E257" s="107"/>
      <c r="F257" s="107"/>
      <c r="G257" s="107"/>
      <c r="H257" s="107"/>
      <c r="I257" s="107"/>
      <c r="J257" s="107"/>
      <c r="K257" s="107"/>
      <c r="L257" s="107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5">
      <c r="A258" s="5"/>
      <c r="B258" s="5"/>
      <c r="C258" s="5"/>
      <c r="D258" s="107"/>
      <c r="E258" s="107"/>
      <c r="F258" s="107"/>
      <c r="G258" s="107"/>
      <c r="H258" s="107"/>
      <c r="I258" s="107"/>
      <c r="J258" s="107"/>
      <c r="K258" s="107"/>
      <c r="L258" s="107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5">
      <c r="A259" s="5"/>
      <c r="B259" s="5"/>
      <c r="C259" s="5"/>
      <c r="D259" s="107"/>
      <c r="E259" s="107"/>
      <c r="F259" s="107"/>
      <c r="G259" s="107"/>
      <c r="H259" s="107"/>
      <c r="I259" s="107"/>
      <c r="J259" s="107"/>
      <c r="K259" s="107"/>
      <c r="L259" s="107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5">
      <c r="A260" s="5"/>
      <c r="B260" s="5"/>
      <c r="C260" s="5"/>
      <c r="D260" s="107"/>
      <c r="E260" s="107"/>
      <c r="F260" s="107"/>
      <c r="G260" s="107"/>
      <c r="H260" s="107"/>
      <c r="I260" s="107"/>
      <c r="J260" s="107"/>
      <c r="K260" s="107"/>
      <c r="L260" s="107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5">
      <c r="A261" s="5"/>
      <c r="B261" s="5"/>
      <c r="C261" s="5"/>
      <c r="D261" s="107"/>
      <c r="E261" s="107"/>
      <c r="F261" s="107"/>
      <c r="G261" s="107"/>
      <c r="H261" s="107"/>
      <c r="I261" s="107"/>
      <c r="J261" s="107"/>
      <c r="K261" s="107"/>
      <c r="L261" s="107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5">
      <c r="A262" s="5"/>
      <c r="B262" s="5"/>
      <c r="C262" s="5"/>
      <c r="D262" s="107"/>
      <c r="E262" s="107"/>
      <c r="F262" s="107"/>
      <c r="G262" s="107"/>
      <c r="H262" s="107"/>
      <c r="I262" s="107"/>
      <c r="J262" s="107"/>
      <c r="K262" s="107"/>
      <c r="L262" s="107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5">
      <c r="A263" s="5"/>
      <c r="B263" s="5"/>
      <c r="C263" s="5"/>
      <c r="D263" s="107"/>
      <c r="E263" s="107"/>
      <c r="F263" s="107"/>
      <c r="G263" s="107"/>
      <c r="H263" s="107"/>
      <c r="I263" s="107"/>
      <c r="J263" s="107"/>
      <c r="K263" s="107"/>
      <c r="L263" s="107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5">
      <c r="A264" s="5"/>
      <c r="B264" s="5"/>
      <c r="C264" s="5"/>
      <c r="D264" s="107"/>
      <c r="E264" s="107"/>
      <c r="F264" s="107"/>
      <c r="G264" s="107"/>
      <c r="H264" s="107"/>
      <c r="I264" s="107"/>
      <c r="J264" s="107"/>
      <c r="K264" s="107"/>
      <c r="L264" s="107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5">
      <c r="A265" s="5"/>
      <c r="B265" s="5"/>
      <c r="C265" s="5"/>
      <c r="D265" s="107"/>
      <c r="E265" s="107"/>
      <c r="F265" s="107"/>
      <c r="G265" s="107"/>
      <c r="H265" s="107"/>
      <c r="I265" s="107"/>
      <c r="J265" s="107"/>
      <c r="K265" s="107"/>
      <c r="L265" s="107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5">
      <c r="A266" s="5"/>
      <c r="B266" s="5"/>
      <c r="C266" s="5"/>
      <c r="D266" s="107"/>
      <c r="E266" s="107"/>
      <c r="F266" s="107"/>
      <c r="G266" s="107"/>
      <c r="H266" s="107"/>
      <c r="I266" s="107"/>
      <c r="J266" s="107"/>
      <c r="K266" s="107"/>
      <c r="L266" s="107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5">
      <c r="A267" s="5"/>
      <c r="B267" s="5"/>
      <c r="C267" s="5"/>
      <c r="D267" s="107"/>
      <c r="E267" s="107"/>
      <c r="F267" s="107"/>
      <c r="G267" s="107"/>
      <c r="H267" s="107"/>
      <c r="I267" s="107"/>
      <c r="J267" s="107"/>
      <c r="K267" s="107"/>
      <c r="L267" s="107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5">
      <c r="A268" s="5"/>
      <c r="B268" s="5"/>
      <c r="C268" s="5"/>
      <c r="D268" s="107"/>
      <c r="E268" s="107"/>
      <c r="F268" s="107"/>
      <c r="G268" s="107"/>
      <c r="H268" s="107"/>
      <c r="I268" s="107"/>
      <c r="J268" s="107"/>
      <c r="K268" s="107"/>
      <c r="L268" s="107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5">
      <c r="A269" s="5"/>
      <c r="B269" s="5"/>
      <c r="C269" s="5"/>
      <c r="D269" s="107"/>
      <c r="E269" s="107"/>
      <c r="F269" s="107"/>
      <c r="G269" s="107"/>
      <c r="H269" s="107"/>
      <c r="I269" s="107"/>
      <c r="J269" s="107"/>
      <c r="K269" s="107"/>
      <c r="L269" s="107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5">
      <c r="A270" s="5"/>
      <c r="B270" s="5"/>
      <c r="C270" s="5"/>
      <c r="D270" s="107"/>
      <c r="E270" s="107"/>
      <c r="F270" s="107"/>
      <c r="G270" s="107"/>
      <c r="H270" s="107"/>
      <c r="I270" s="107"/>
      <c r="J270" s="107"/>
      <c r="K270" s="107"/>
      <c r="L270" s="107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25">
      <c r="A271" s="5"/>
      <c r="B271" s="5"/>
      <c r="C271" s="5"/>
      <c r="D271" s="107"/>
      <c r="E271" s="107"/>
      <c r="F271" s="107"/>
      <c r="G271" s="107"/>
      <c r="H271" s="107"/>
      <c r="I271" s="107"/>
      <c r="J271" s="107"/>
      <c r="K271" s="107"/>
      <c r="L271" s="107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25"/>
    <row r="325" spans="1:26" ht="15.75" customHeight="1" x14ac:dyDescent="0.25"/>
    <row r="326" spans="1:26" ht="15.75" customHeight="1" x14ac:dyDescent="0.25"/>
    <row r="327" spans="1:26" ht="15.75" customHeight="1" x14ac:dyDescent="0.25"/>
    <row r="328" spans="1:26" ht="15.75" customHeight="1" x14ac:dyDescent="0.25"/>
    <row r="329" spans="1:26" ht="15.75" customHeight="1" x14ac:dyDescent="0.25"/>
    <row r="330" spans="1:26" ht="15.75" customHeight="1" x14ac:dyDescent="0.25"/>
    <row r="331" spans="1:26" ht="15.75" customHeight="1" x14ac:dyDescent="0.25"/>
    <row r="332" spans="1:26" ht="15.75" customHeight="1" x14ac:dyDescent="0.25"/>
    <row r="333" spans="1:26" ht="15.75" customHeight="1" x14ac:dyDescent="0.25"/>
    <row r="334" spans="1:26" ht="15.75" customHeight="1" x14ac:dyDescent="0.25"/>
    <row r="335" spans="1:26" ht="15.75" customHeight="1" x14ac:dyDescent="0.25"/>
    <row r="336" spans="1:2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D1:L1"/>
  </mergeCells>
  <hyperlinks>
    <hyperlink ref="B74" r:id="rId1" xr:uid="{00000000-0004-0000-0400-000000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06666"/>
  </sheetPr>
  <dimension ref="A1:Z1000"/>
  <sheetViews>
    <sheetView workbookViewId="0">
      <pane xSplit="3" ySplit="3" topLeftCell="G4" activePane="bottomRight" state="frozen"/>
      <selection pane="topRight" activeCell="D1" sqref="D1"/>
      <selection pane="bottomLeft" activeCell="A4" sqref="A4"/>
      <selection pane="bottomRight" activeCell="L19" sqref="L19"/>
    </sheetView>
  </sheetViews>
  <sheetFormatPr defaultColWidth="11.125" defaultRowHeight="15" customHeight="1" x14ac:dyDescent="0.25"/>
  <cols>
    <col min="1" max="1" width="8.625" customWidth="1"/>
    <col min="2" max="2" width="34" customWidth="1"/>
    <col min="3" max="3" width="12.625" customWidth="1"/>
    <col min="4" max="4" width="7.5" hidden="1" customWidth="1"/>
    <col min="5" max="5" width="8.625" hidden="1" customWidth="1"/>
    <col min="6" max="6" width="12.625" hidden="1" customWidth="1"/>
    <col min="7" max="8" width="11.625" customWidth="1"/>
    <col min="9" max="9" width="12.625" customWidth="1"/>
    <col min="10" max="11" width="11.625" customWidth="1"/>
    <col min="12" max="12" width="11" customWidth="1"/>
    <col min="13" max="13" width="13.875" customWidth="1"/>
    <col min="14" max="16" width="10.125" customWidth="1"/>
    <col min="17" max="17" width="11.625" bestFit="1" customWidth="1"/>
    <col min="18" max="18" width="12.625" bestFit="1" customWidth="1"/>
    <col min="19" max="19" width="10.125" customWidth="1"/>
    <col min="20" max="26" width="11.125" customWidth="1"/>
  </cols>
  <sheetData>
    <row r="1" spans="1:26" ht="18" customHeight="1" x14ac:dyDescent="0.25">
      <c r="A1" s="1"/>
      <c r="B1" s="3"/>
      <c r="C1" s="1"/>
      <c r="D1" s="165">
        <v>2026</v>
      </c>
      <c r="E1" s="164"/>
      <c r="F1" s="164"/>
      <c r="G1" s="164"/>
      <c r="H1" s="164"/>
      <c r="I1" s="164"/>
      <c r="J1" s="164"/>
      <c r="K1" s="164"/>
      <c r="L1" s="164"/>
      <c r="M1" s="151">
        <v>2027</v>
      </c>
      <c r="N1" s="8"/>
      <c r="O1" s="8"/>
      <c r="P1" s="8"/>
      <c r="Q1" s="8"/>
      <c r="R1" s="8"/>
      <c r="S1" s="8"/>
      <c r="T1" s="5"/>
      <c r="U1" s="5"/>
      <c r="V1" s="5"/>
      <c r="W1" s="5"/>
      <c r="X1" s="5"/>
      <c r="Y1" s="5"/>
      <c r="Z1" s="5"/>
    </row>
    <row r="2" spans="1:26" ht="15.75" customHeight="1" x14ac:dyDescent="0.25">
      <c r="A2" s="10" t="s">
        <v>63</v>
      </c>
      <c r="B2" s="3"/>
      <c r="C2" s="1"/>
      <c r="D2" s="12" t="s">
        <v>1</v>
      </c>
      <c r="E2" s="12" t="s">
        <v>2</v>
      </c>
      <c r="F2" s="12" t="s">
        <v>3</v>
      </c>
      <c r="G2" s="12" t="s">
        <v>4</v>
      </c>
      <c r="H2" s="12" t="s">
        <v>5</v>
      </c>
      <c r="I2" s="12" t="s">
        <v>6</v>
      </c>
      <c r="J2" s="12" t="s">
        <v>7</v>
      </c>
      <c r="K2" s="12" t="s">
        <v>8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</v>
      </c>
      <c r="Q2" s="12" t="s">
        <v>2</v>
      </c>
      <c r="R2" s="12" t="s">
        <v>3</v>
      </c>
      <c r="S2" s="8"/>
      <c r="T2" s="5"/>
      <c r="U2" s="5"/>
      <c r="V2" s="5"/>
      <c r="W2" s="5"/>
      <c r="X2" s="5"/>
      <c r="Y2" s="5"/>
      <c r="Z2" s="5"/>
    </row>
    <row r="3" spans="1:26" ht="16.5" customHeight="1" thickBot="1" x14ac:dyDescent="0.3">
      <c r="A3" s="17"/>
      <c r="B3" s="19" t="s">
        <v>25</v>
      </c>
      <c r="C3" s="19">
        <f>SUM(D3:L3)</f>
        <v>404181.36</v>
      </c>
      <c r="D3" s="24">
        <f t="shared" ref="D3:R3" si="0">SUM(D4:D136)</f>
        <v>0</v>
      </c>
      <c r="E3" s="24">
        <f t="shared" si="0"/>
        <v>0</v>
      </c>
      <c r="F3" s="24">
        <f t="shared" si="0"/>
        <v>0</v>
      </c>
      <c r="G3" s="24">
        <f t="shared" si="0"/>
        <v>94901.2</v>
      </c>
      <c r="H3" s="24">
        <f t="shared" si="0"/>
        <v>45505.240000000005</v>
      </c>
      <c r="I3" s="24">
        <f t="shared" si="0"/>
        <v>120826.94</v>
      </c>
      <c r="J3" s="24">
        <f t="shared" si="0"/>
        <v>55076.639999999999</v>
      </c>
      <c r="K3" s="24">
        <f t="shared" si="0"/>
        <v>82506.34</v>
      </c>
      <c r="L3" s="24">
        <f t="shared" si="0"/>
        <v>5365</v>
      </c>
      <c r="M3" s="24">
        <f t="shared" si="0"/>
        <v>120</v>
      </c>
      <c r="N3" s="24">
        <f t="shared" si="0"/>
        <v>160</v>
      </c>
      <c r="O3" s="24">
        <f t="shared" si="0"/>
        <v>100</v>
      </c>
      <c r="P3" s="24">
        <f t="shared" si="0"/>
        <v>100</v>
      </c>
      <c r="Q3" s="24">
        <f t="shared" si="0"/>
        <v>8078</v>
      </c>
      <c r="R3" s="24">
        <f t="shared" si="0"/>
        <v>143509</v>
      </c>
      <c r="S3" s="27"/>
      <c r="T3" s="5"/>
      <c r="U3" s="5"/>
      <c r="V3" s="5"/>
      <c r="W3" s="5"/>
      <c r="X3" s="5"/>
      <c r="Y3" s="5"/>
      <c r="Z3" s="5"/>
    </row>
    <row r="4" spans="1:26" ht="16.5" customHeight="1" thickTop="1" x14ac:dyDescent="0.25">
      <c r="A4" s="32">
        <v>710104</v>
      </c>
      <c r="B4" s="33" t="s">
        <v>189</v>
      </c>
      <c r="C4" s="34">
        <f>SUM(D4:L4)</f>
        <v>5325</v>
      </c>
      <c r="D4" s="35"/>
      <c r="E4" s="35"/>
      <c r="F4" s="35"/>
      <c r="G4" s="35"/>
      <c r="H4" s="35"/>
      <c r="I4" s="35"/>
      <c r="J4" s="35"/>
      <c r="K4" s="35"/>
      <c r="L4" s="35">
        <v>5325</v>
      </c>
      <c r="M4" s="35"/>
      <c r="N4" s="35"/>
      <c r="O4" s="35"/>
      <c r="P4" s="35"/>
      <c r="Q4" s="35"/>
      <c r="R4" s="35">
        <v>5325</v>
      </c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25">
      <c r="A5" s="32">
        <v>630511</v>
      </c>
      <c r="B5" s="42" t="s">
        <v>190</v>
      </c>
      <c r="C5" s="45">
        <f>SUM(D5:L5)</f>
        <v>167514.35999999999</v>
      </c>
      <c r="D5" s="47"/>
      <c r="E5" s="47"/>
      <c r="F5" s="47"/>
      <c r="G5" s="47">
        <v>24151.200000000001</v>
      </c>
      <c r="H5" s="47">
        <v>24221.24</v>
      </c>
      <c r="I5" s="47">
        <v>24300.94</v>
      </c>
      <c r="J5" s="47">
        <v>24380.639999999999</v>
      </c>
      <c r="K5" s="47">
        <f>24460.34+46000</f>
        <v>70460.34</v>
      </c>
      <c r="L5" s="47"/>
      <c r="M5" s="47"/>
      <c r="N5" s="47"/>
      <c r="O5" s="47"/>
      <c r="P5" s="47"/>
      <c r="Q5" s="47"/>
      <c r="R5" s="47">
        <v>120000</v>
      </c>
      <c r="S5" s="152" t="s">
        <v>191</v>
      </c>
      <c r="T5" s="5"/>
      <c r="U5" s="5"/>
      <c r="V5" s="5"/>
      <c r="W5" s="5"/>
      <c r="X5" s="5"/>
      <c r="Y5" s="5"/>
      <c r="Z5" s="5"/>
    </row>
    <row r="6" spans="1:26" ht="15.75" customHeight="1" x14ac:dyDescent="0.25">
      <c r="A6" s="32">
        <v>630519</v>
      </c>
      <c r="B6" s="42" t="s">
        <v>192</v>
      </c>
      <c r="C6" s="45">
        <f>SUM(D6:L6)</f>
        <v>85000</v>
      </c>
      <c r="D6" s="47"/>
      <c r="E6" s="47"/>
      <c r="F6" s="47"/>
      <c r="G6" s="47">
        <v>0</v>
      </c>
      <c r="H6" s="47"/>
      <c r="I6" s="47">
        <v>85000</v>
      </c>
      <c r="J6" s="47"/>
      <c r="K6" s="47"/>
      <c r="L6" s="47"/>
      <c r="M6" s="47"/>
      <c r="N6" s="47"/>
      <c r="O6" s="47"/>
      <c r="P6" s="47"/>
      <c r="Q6" s="47"/>
      <c r="R6" s="47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5">
      <c r="A7" s="32">
        <v>350101</v>
      </c>
      <c r="B7" s="42" t="s">
        <v>193</v>
      </c>
      <c r="C7" s="45">
        <f>SUM(D7:L7)</f>
        <v>60000</v>
      </c>
      <c r="D7" s="47"/>
      <c r="E7" s="47"/>
      <c r="F7" s="47"/>
      <c r="G7" s="47">
        <v>50000</v>
      </c>
      <c r="H7" s="47"/>
      <c r="I7" s="47"/>
      <c r="J7" s="47">
        <v>10000</v>
      </c>
      <c r="K7" s="47"/>
      <c r="L7" s="47"/>
      <c r="M7" s="47"/>
      <c r="N7" s="47"/>
      <c r="O7" s="47"/>
      <c r="P7" s="47"/>
      <c r="Q7" s="47"/>
      <c r="R7" s="47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5">
      <c r="A8" s="32">
        <v>350305</v>
      </c>
      <c r="B8" s="42" t="s">
        <v>194</v>
      </c>
      <c r="C8" s="45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8"/>
      <c r="T8" s="5"/>
      <c r="U8" s="5"/>
      <c r="V8" s="5"/>
      <c r="W8" s="5"/>
      <c r="X8" s="5"/>
      <c r="Y8" s="5"/>
      <c r="Z8" s="5"/>
    </row>
    <row r="9" spans="1:26" ht="15.75" customHeight="1" x14ac:dyDescent="0.25">
      <c r="A9" s="32">
        <v>390590</v>
      </c>
      <c r="B9" s="42" t="s">
        <v>195</v>
      </c>
      <c r="C9" s="45">
        <f t="shared" ref="C9:C40" si="1">SUM(D9:L9)</f>
        <v>70768</v>
      </c>
      <c r="D9" s="47"/>
      <c r="E9" s="47"/>
      <c r="F9" s="47"/>
      <c r="G9" s="47">
        <v>17760</v>
      </c>
      <c r="H9" s="47">
        <v>17388</v>
      </c>
      <c r="I9" s="47">
        <v>8380</v>
      </c>
      <c r="J9" s="47">
        <v>17316</v>
      </c>
      <c r="K9" s="47">
        <v>9916</v>
      </c>
      <c r="L9" s="47">
        <v>8</v>
      </c>
      <c r="M9" s="47">
        <v>0</v>
      </c>
      <c r="N9" s="47">
        <v>0</v>
      </c>
      <c r="O9" s="47">
        <v>0</v>
      </c>
      <c r="P9" s="47">
        <v>0</v>
      </c>
      <c r="Q9" s="47">
        <v>5500</v>
      </c>
      <c r="R9" s="47">
        <v>15208</v>
      </c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5">
      <c r="A10" s="32"/>
      <c r="B10" s="42" t="s">
        <v>196</v>
      </c>
      <c r="C10" s="45">
        <f t="shared" si="1"/>
        <v>8848</v>
      </c>
      <c r="D10" s="47"/>
      <c r="E10" s="47"/>
      <c r="F10" s="47"/>
      <c r="G10" s="47">
        <v>1834</v>
      </c>
      <c r="H10" s="47">
        <v>2446</v>
      </c>
      <c r="I10" s="47">
        <v>1146</v>
      </c>
      <c r="J10" s="47">
        <v>2030</v>
      </c>
      <c r="K10" s="47">
        <v>1380</v>
      </c>
      <c r="L10" s="47">
        <v>12</v>
      </c>
      <c r="M10" s="47">
        <v>0</v>
      </c>
      <c r="N10" s="47">
        <v>0</v>
      </c>
      <c r="O10" s="47">
        <v>0</v>
      </c>
      <c r="P10" s="47">
        <v>0</v>
      </c>
      <c r="Q10" s="47">
        <v>1892</v>
      </c>
      <c r="R10" s="47">
        <v>1834</v>
      </c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5">
      <c r="A11" s="32">
        <v>390593</v>
      </c>
      <c r="B11" s="42" t="s">
        <v>197</v>
      </c>
      <c r="C11" s="45">
        <f t="shared" si="1"/>
        <v>5804</v>
      </c>
      <c r="D11" s="47"/>
      <c r="E11" s="47"/>
      <c r="F11" s="47"/>
      <c r="G11" s="47">
        <v>934</v>
      </c>
      <c r="H11" s="47">
        <v>1100</v>
      </c>
      <c r="I11" s="47">
        <v>1800</v>
      </c>
      <c r="J11" s="47">
        <v>1200</v>
      </c>
      <c r="K11" s="47">
        <v>750</v>
      </c>
      <c r="L11" s="47">
        <v>20</v>
      </c>
      <c r="M11" s="47">
        <v>120</v>
      </c>
      <c r="N11" s="47">
        <v>160</v>
      </c>
      <c r="O11" s="47">
        <v>100</v>
      </c>
      <c r="P11" s="47">
        <v>100</v>
      </c>
      <c r="Q11" s="47">
        <v>586</v>
      </c>
      <c r="R11" s="47">
        <v>992</v>
      </c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5">
      <c r="A12" s="32"/>
      <c r="B12" s="42" t="s">
        <v>198</v>
      </c>
      <c r="C12" s="45">
        <f t="shared" si="1"/>
        <v>922</v>
      </c>
      <c r="D12" s="47"/>
      <c r="E12" s="47"/>
      <c r="F12" s="47"/>
      <c r="G12" s="47">
        <v>222</v>
      </c>
      <c r="H12" s="47">
        <v>350</v>
      </c>
      <c r="I12" s="47">
        <v>200</v>
      </c>
      <c r="J12" s="47">
        <v>150</v>
      </c>
      <c r="K12" s="47">
        <v>0</v>
      </c>
      <c r="L12" s="47">
        <v>0</v>
      </c>
      <c r="M12" s="47">
        <v>0</v>
      </c>
      <c r="N12" s="47">
        <v>0</v>
      </c>
      <c r="O12" s="47">
        <v>0</v>
      </c>
      <c r="P12" s="47">
        <v>0</v>
      </c>
      <c r="Q12" s="47">
        <v>100</v>
      </c>
      <c r="R12" s="47">
        <v>150</v>
      </c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5">
      <c r="A13" s="166">
        <v>630519</v>
      </c>
      <c r="B13" s="60" t="s">
        <v>199</v>
      </c>
      <c r="C13" s="45">
        <f t="shared" si="1"/>
        <v>0</v>
      </c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8"/>
      <c r="T13" s="5"/>
      <c r="U13" s="5"/>
      <c r="V13" s="5"/>
      <c r="W13" s="5"/>
      <c r="X13" s="5"/>
      <c r="Y13" s="5"/>
      <c r="Z13" s="5"/>
    </row>
    <row r="14" spans="1:26" ht="15.75" customHeight="1" x14ac:dyDescent="0.25">
      <c r="A14" s="164"/>
      <c r="B14" s="60" t="s">
        <v>200</v>
      </c>
      <c r="C14" s="45">
        <f t="shared" si="1"/>
        <v>0</v>
      </c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8"/>
      <c r="T14" s="5"/>
      <c r="U14" s="5"/>
      <c r="V14" s="5"/>
      <c r="W14" s="5"/>
      <c r="X14" s="5"/>
      <c r="Y14" s="5"/>
      <c r="Z14" s="5"/>
    </row>
    <row r="15" spans="1:26" ht="15.75" customHeight="1" x14ac:dyDescent="0.25">
      <c r="A15" s="164"/>
      <c r="B15" s="60" t="s">
        <v>201</v>
      </c>
      <c r="C15" s="45">
        <f t="shared" si="1"/>
        <v>0</v>
      </c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8"/>
      <c r="T15" s="5"/>
      <c r="U15" s="5"/>
      <c r="V15" s="5"/>
      <c r="W15" s="5"/>
      <c r="X15" s="5"/>
      <c r="Y15" s="5"/>
      <c r="Z15" s="5"/>
    </row>
    <row r="16" spans="1:26" ht="15.75" customHeight="1" x14ac:dyDescent="0.25">
      <c r="A16" s="32"/>
      <c r="B16" s="60"/>
      <c r="C16" s="45">
        <f t="shared" si="1"/>
        <v>0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5">
      <c r="A17" s="32"/>
      <c r="B17" s="60"/>
      <c r="C17" s="45">
        <f t="shared" si="1"/>
        <v>0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5">
      <c r="A18" s="32"/>
      <c r="B18" s="60"/>
      <c r="C18" s="45">
        <f t="shared" si="1"/>
        <v>0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5">
      <c r="A19" s="32"/>
      <c r="B19" s="60"/>
      <c r="C19" s="45">
        <f t="shared" si="1"/>
        <v>0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5">
      <c r="A20" s="32"/>
      <c r="B20" s="60"/>
      <c r="C20" s="45">
        <f t="shared" si="1"/>
        <v>0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5">
      <c r="A21" s="32"/>
      <c r="B21" s="60"/>
      <c r="C21" s="45">
        <f t="shared" si="1"/>
        <v>0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5">
      <c r="A22" s="32"/>
      <c r="B22" s="60"/>
      <c r="C22" s="45">
        <f t="shared" si="1"/>
        <v>0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5">
      <c r="A23" s="32"/>
      <c r="B23" s="60"/>
      <c r="C23" s="45">
        <f t="shared" si="1"/>
        <v>0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5">
      <c r="A24" s="32"/>
      <c r="B24" s="60"/>
      <c r="C24" s="45">
        <f t="shared" si="1"/>
        <v>0</v>
      </c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5">
      <c r="A25" s="32"/>
      <c r="B25" s="60"/>
      <c r="C25" s="45">
        <f t="shared" si="1"/>
        <v>0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5">
      <c r="A26" s="32"/>
      <c r="B26" s="60"/>
      <c r="C26" s="45">
        <f t="shared" si="1"/>
        <v>0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5">
      <c r="A27" s="32"/>
      <c r="B27" s="60"/>
      <c r="C27" s="45">
        <f t="shared" si="1"/>
        <v>0</v>
      </c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5">
      <c r="A28" s="32"/>
      <c r="B28" s="60"/>
      <c r="C28" s="45">
        <f t="shared" si="1"/>
        <v>0</v>
      </c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5">
      <c r="A29" s="32"/>
      <c r="B29" s="60"/>
      <c r="C29" s="45">
        <f t="shared" si="1"/>
        <v>0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5">
      <c r="A30" s="32"/>
      <c r="B30" s="60"/>
      <c r="C30" s="45">
        <f t="shared" si="1"/>
        <v>0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5">
      <c r="A31" s="32"/>
      <c r="B31" s="60"/>
      <c r="C31" s="45">
        <f t="shared" si="1"/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5">
      <c r="A32" s="32"/>
      <c r="B32" s="60"/>
      <c r="C32" s="45">
        <f t="shared" si="1"/>
        <v>0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5">
      <c r="A33" s="32"/>
      <c r="B33" s="60"/>
      <c r="C33" s="45">
        <f t="shared" si="1"/>
        <v>0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5">
      <c r="A34" s="32"/>
      <c r="B34" s="60"/>
      <c r="C34" s="45">
        <f t="shared" si="1"/>
        <v>0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5">
      <c r="A35" s="32"/>
      <c r="B35" s="60"/>
      <c r="C35" s="45">
        <f t="shared" si="1"/>
        <v>0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5">
      <c r="A36" s="32"/>
      <c r="B36" s="60"/>
      <c r="C36" s="45">
        <f t="shared" si="1"/>
        <v>0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5">
      <c r="A37" s="32"/>
      <c r="B37" s="60"/>
      <c r="C37" s="45">
        <f t="shared" si="1"/>
        <v>0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5">
      <c r="A38" s="32"/>
      <c r="B38" s="60"/>
      <c r="C38" s="45">
        <f t="shared" si="1"/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5">
      <c r="A39" s="32"/>
      <c r="B39" s="60"/>
      <c r="C39" s="45">
        <f t="shared" si="1"/>
        <v>0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5">
      <c r="A40" s="32"/>
      <c r="B40" s="60"/>
      <c r="C40" s="45">
        <f t="shared" si="1"/>
        <v>0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5">
      <c r="A41" s="32"/>
      <c r="B41" s="60"/>
      <c r="C41" s="45">
        <f t="shared" ref="C41:C70" si="2">SUM(D41:L41)</f>
        <v>0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5">
      <c r="A42" s="32"/>
      <c r="B42" s="60"/>
      <c r="C42" s="45">
        <f t="shared" si="2"/>
        <v>0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5">
      <c r="A43" s="32"/>
      <c r="B43" s="60"/>
      <c r="C43" s="45">
        <f t="shared" si="2"/>
        <v>0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5">
      <c r="A44" s="32"/>
      <c r="B44" s="60"/>
      <c r="C44" s="45">
        <f t="shared" si="2"/>
        <v>0</v>
      </c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5">
      <c r="A45" s="32"/>
      <c r="B45" s="60"/>
      <c r="C45" s="45">
        <f t="shared" si="2"/>
        <v>0</v>
      </c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5">
      <c r="A46" s="32"/>
      <c r="B46" s="60"/>
      <c r="C46" s="45">
        <f t="shared" si="2"/>
        <v>0</v>
      </c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5">
      <c r="A47" s="32"/>
      <c r="B47" s="60"/>
      <c r="C47" s="45">
        <f t="shared" si="2"/>
        <v>0</v>
      </c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5">
      <c r="A48" s="32"/>
      <c r="B48" s="60"/>
      <c r="C48" s="45">
        <f t="shared" si="2"/>
        <v>0</v>
      </c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5">
      <c r="A49" s="32"/>
      <c r="B49" s="60"/>
      <c r="C49" s="45">
        <f t="shared" si="2"/>
        <v>0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5">
      <c r="A50" s="32"/>
      <c r="B50" s="60"/>
      <c r="C50" s="45">
        <f t="shared" si="2"/>
        <v>0</v>
      </c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5">
      <c r="A51" s="32"/>
      <c r="B51" s="60"/>
      <c r="C51" s="45">
        <f t="shared" si="2"/>
        <v>0</v>
      </c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5">
      <c r="A52" s="32"/>
      <c r="B52" s="60"/>
      <c r="C52" s="45">
        <f t="shared" si="2"/>
        <v>0</v>
      </c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5">
      <c r="A53" s="32"/>
      <c r="B53" s="60"/>
      <c r="C53" s="45">
        <f t="shared" si="2"/>
        <v>0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5">
      <c r="A54" s="32"/>
      <c r="B54" s="60"/>
      <c r="C54" s="45">
        <f t="shared" si="2"/>
        <v>0</v>
      </c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5">
      <c r="A55" s="32"/>
      <c r="B55" s="60"/>
      <c r="C55" s="45">
        <f t="shared" si="2"/>
        <v>0</v>
      </c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5">
      <c r="A56" s="32"/>
      <c r="B56" s="60"/>
      <c r="C56" s="45">
        <f t="shared" si="2"/>
        <v>0</v>
      </c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5">
      <c r="A57" s="32"/>
      <c r="B57" s="60"/>
      <c r="C57" s="45">
        <f t="shared" si="2"/>
        <v>0</v>
      </c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5">
      <c r="A58" s="32"/>
      <c r="B58" s="60"/>
      <c r="C58" s="45">
        <f t="shared" si="2"/>
        <v>0</v>
      </c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5">
      <c r="A59" s="32"/>
      <c r="B59" s="60"/>
      <c r="C59" s="45">
        <f t="shared" si="2"/>
        <v>0</v>
      </c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5">
      <c r="A60" s="32"/>
      <c r="B60" s="60"/>
      <c r="C60" s="45">
        <f t="shared" si="2"/>
        <v>0</v>
      </c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5">
      <c r="A61" s="32"/>
      <c r="B61" s="60"/>
      <c r="C61" s="45">
        <f t="shared" si="2"/>
        <v>0</v>
      </c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5">
      <c r="A62" s="32"/>
      <c r="B62" s="60"/>
      <c r="C62" s="45">
        <f t="shared" si="2"/>
        <v>0</v>
      </c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5">
      <c r="A63" s="32"/>
      <c r="B63" s="60"/>
      <c r="C63" s="45">
        <f t="shared" si="2"/>
        <v>0</v>
      </c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5">
      <c r="A64" s="32"/>
      <c r="B64" s="60"/>
      <c r="C64" s="45">
        <f t="shared" si="2"/>
        <v>0</v>
      </c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5">
      <c r="A65" s="32"/>
      <c r="B65" s="60"/>
      <c r="C65" s="45">
        <f t="shared" si="2"/>
        <v>0</v>
      </c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5">
      <c r="A66" s="32"/>
      <c r="B66" s="60"/>
      <c r="C66" s="45">
        <f t="shared" si="2"/>
        <v>0</v>
      </c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5">
      <c r="A67" s="32"/>
      <c r="B67" s="60"/>
      <c r="C67" s="45">
        <f t="shared" si="2"/>
        <v>0</v>
      </c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5">
      <c r="A68" s="32"/>
      <c r="B68" s="60"/>
      <c r="C68" s="45">
        <f t="shared" si="2"/>
        <v>0</v>
      </c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5">
      <c r="A69" s="32"/>
      <c r="B69" s="60"/>
      <c r="C69" s="45">
        <f t="shared" si="2"/>
        <v>0</v>
      </c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5">
      <c r="A70" s="32"/>
      <c r="B70" s="110"/>
      <c r="C70" s="45">
        <f t="shared" si="2"/>
        <v>0</v>
      </c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5">
      <c r="A71" s="5"/>
      <c r="B71" s="107"/>
      <c r="C71" s="5"/>
      <c r="D71" s="107"/>
      <c r="E71" s="107"/>
      <c r="F71" s="107"/>
      <c r="G71" s="107"/>
      <c r="H71" s="107"/>
      <c r="I71" s="107"/>
      <c r="J71" s="107"/>
      <c r="K71" s="107"/>
      <c r="L71" s="107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5">
      <c r="A72" s="5"/>
      <c r="B72" s="107"/>
      <c r="C72" s="5"/>
      <c r="D72" s="107"/>
      <c r="E72" s="107"/>
      <c r="F72" s="107"/>
      <c r="G72" s="107"/>
      <c r="H72" s="107"/>
      <c r="I72" s="107"/>
      <c r="J72" s="107"/>
      <c r="K72" s="107"/>
      <c r="L72" s="107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5">
      <c r="A73" s="5"/>
      <c r="B73" s="107"/>
      <c r="C73" s="5"/>
      <c r="D73" s="107"/>
      <c r="E73" s="107"/>
      <c r="F73" s="107"/>
      <c r="G73" s="107"/>
      <c r="H73" s="107"/>
      <c r="I73" s="107"/>
      <c r="J73" s="107"/>
      <c r="K73" s="107"/>
      <c r="L73" s="107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5">
      <c r="A74" s="5"/>
      <c r="B74" s="107"/>
      <c r="C74" s="5"/>
      <c r="D74" s="107"/>
      <c r="E74" s="107"/>
      <c r="F74" s="107"/>
      <c r="G74" s="107"/>
      <c r="H74" s="107"/>
      <c r="I74" s="107"/>
      <c r="J74" s="107"/>
      <c r="K74" s="107"/>
      <c r="L74" s="107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5">
      <c r="A75" s="5"/>
      <c r="B75" s="107"/>
      <c r="C75" s="5"/>
      <c r="D75" s="107"/>
      <c r="E75" s="107"/>
      <c r="F75" s="107"/>
      <c r="G75" s="107"/>
      <c r="H75" s="107"/>
      <c r="I75" s="107"/>
      <c r="J75" s="107"/>
      <c r="K75" s="107"/>
      <c r="L75" s="107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5">
      <c r="A76" s="5"/>
      <c r="B76" s="107"/>
      <c r="C76" s="5"/>
      <c r="D76" s="107"/>
      <c r="E76" s="107"/>
      <c r="F76" s="107"/>
      <c r="G76" s="107"/>
      <c r="H76" s="107"/>
      <c r="I76" s="107"/>
      <c r="J76" s="107"/>
      <c r="K76" s="107"/>
      <c r="L76" s="107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5">
      <c r="A77" s="5"/>
      <c r="B77" s="107"/>
      <c r="C77" s="5"/>
      <c r="D77" s="107"/>
      <c r="E77" s="107"/>
      <c r="F77" s="107"/>
      <c r="G77" s="107"/>
      <c r="H77" s="107"/>
      <c r="I77" s="107"/>
      <c r="J77" s="107"/>
      <c r="K77" s="107"/>
      <c r="L77" s="107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5">
      <c r="A78" s="5"/>
      <c r="B78" s="107"/>
      <c r="C78" s="5"/>
      <c r="D78" s="107"/>
      <c r="E78" s="107"/>
      <c r="F78" s="107"/>
      <c r="G78" s="107"/>
      <c r="H78" s="107"/>
      <c r="I78" s="107"/>
      <c r="J78" s="107"/>
      <c r="K78" s="107"/>
      <c r="L78" s="107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5">
      <c r="A79" s="5"/>
      <c r="B79" s="107"/>
      <c r="C79" s="5"/>
      <c r="D79" s="107"/>
      <c r="E79" s="107"/>
      <c r="F79" s="107"/>
      <c r="G79" s="107"/>
      <c r="H79" s="107"/>
      <c r="I79" s="107"/>
      <c r="J79" s="107"/>
      <c r="K79" s="107"/>
      <c r="L79" s="107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5">
      <c r="A80" s="5"/>
      <c r="B80" s="107"/>
      <c r="C80" s="5"/>
      <c r="D80" s="107"/>
      <c r="E80" s="107"/>
      <c r="F80" s="107"/>
      <c r="G80" s="107"/>
      <c r="H80" s="107"/>
      <c r="I80" s="107"/>
      <c r="J80" s="107"/>
      <c r="K80" s="107"/>
      <c r="L80" s="107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5">
      <c r="A81" s="5"/>
      <c r="B81" s="107"/>
      <c r="C81" s="5"/>
      <c r="D81" s="107"/>
      <c r="E81" s="107"/>
      <c r="F81" s="107"/>
      <c r="G81" s="107"/>
      <c r="H81" s="107"/>
      <c r="I81" s="107"/>
      <c r="J81" s="107"/>
      <c r="K81" s="107"/>
      <c r="L81" s="107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5">
      <c r="A82" s="5"/>
      <c r="B82" s="107"/>
      <c r="C82" s="5"/>
      <c r="D82" s="107"/>
      <c r="E82" s="107"/>
      <c r="F82" s="107"/>
      <c r="G82" s="107"/>
      <c r="H82" s="107"/>
      <c r="I82" s="107"/>
      <c r="J82" s="107"/>
      <c r="K82" s="107"/>
      <c r="L82" s="107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5">
      <c r="A83" s="5"/>
      <c r="B83" s="107"/>
      <c r="C83" s="5"/>
      <c r="D83" s="107"/>
      <c r="E83" s="107"/>
      <c r="F83" s="107"/>
      <c r="G83" s="107"/>
      <c r="H83" s="107"/>
      <c r="I83" s="107"/>
      <c r="J83" s="107"/>
      <c r="K83" s="107"/>
      <c r="L83" s="107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5">
      <c r="A84" s="5"/>
      <c r="B84" s="107"/>
      <c r="C84" s="5"/>
      <c r="D84" s="107"/>
      <c r="E84" s="107"/>
      <c r="F84" s="107"/>
      <c r="G84" s="107"/>
      <c r="H84" s="107"/>
      <c r="I84" s="107"/>
      <c r="J84" s="107"/>
      <c r="K84" s="107"/>
      <c r="L84" s="107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5">
      <c r="A85" s="5"/>
      <c r="B85" s="107"/>
      <c r="C85" s="5"/>
      <c r="D85" s="107"/>
      <c r="E85" s="107"/>
      <c r="F85" s="107"/>
      <c r="G85" s="107"/>
      <c r="H85" s="107"/>
      <c r="I85" s="107"/>
      <c r="J85" s="107"/>
      <c r="K85" s="107"/>
      <c r="L85" s="107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5">
      <c r="A86" s="5"/>
      <c r="B86" s="107"/>
      <c r="C86" s="5"/>
      <c r="D86" s="107"/>
      <c r="E86" s="107"/>
      <c r="F86" s="107"/>
      <c r="G86" s="107"/>
      <c r="H86" s="107"/>
      <c r="I86" s="107"/>
      <c r="J86" s="107"/>
      <c r="K86" s="107"/>
      <c r="L86" s="107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5">
      <c r="A87" s="5"/>
      <c r="B87" s="107"/>
      <c r="C87" s="5"/>
      <c r="D87" s="107"/>
      <c r="E87" s="107"/>
      <c r="F87" s="107"/>
      <c r="G87" s="107"/>
      <c r="H87" s="107"/>
      <c r="I87" s="107"/>
      <c r="J87" s="107"/>
      <c r="K87" s="107"/>
      <c r="L87" s="107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5">
      <c r="A88" s="5"/>
      <c r="B88" s="107"/>
      <c r="C88" s="5"/>
      <c r="D88" s="107"/>
      <c r="E88" s="107"/>
      <c r="F88" s="107"/>
      <c r="G88" s="107"/>
      <c r="H88" s="107"/>
      <c r="I88" s="107"/>
      <c r="J88" s="107"/>
      <c r="K88" s="107"/>
      <c r="L88" s="107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5">
      <c r="A89" s="5"/>
      <c r="B89" s="107"/>
      <c r="C89" s="5"/>
      <c r="D89" s="107"/>
      <c r="E89" s="107"/>
      <c r="F89" s="107"/>
      <c r="G89" s="107"/>
      <c r="H89" s="107"/>
      <c r="I89" s="107"/>
      <c r="J89" s="107"/>
      <c r="K89" s="107"/>
      <c r="L89" s="107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5">
      <c r="A90" s="5"/>
      <c r="B90" s="107"/>
      <c r="C90" s="5"/>
      <c r="D90" s="107"/>
      <c r="E90" s="107"/>
      <c r="F90" s="107"/>
      <c r="G90" s="107"/>
      <c r="H90" s="107"/>
      <c r="I90" s="107"/>
      <c r="J90" s="107"/>
      <c r="K90" s="107"/>
      <c r="L90" s="107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5">
      <c r="A91" s="5"/>
      <c r="B91" s="107"/>
      <c r="C91" s="5"/>
      <c r="D91" s="107"/>
      <c r="E91" s="107"/>
      <c r="F91" s="107"/>
      <c r="G91" s="107"/>
      <c r="H91" s="107"/>
      <c r="I91" s="107"/>
      <c r="J91" s="107"/>
      <c r="K91" s="107"/>
      <c r="L91" s="107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5">
      <c r="A92" s="5"/>
      <c r="B92" s="107"/>
      <c r="C92" s="5"/>
      <c r="D92" s="107"/>
      <c r="E92" s="107"/>
      <c r="F92" s="107"/>
      <c r="G92" s="107"/>
      <c r="H92" s="107"/>
      <c r="I92" s="107"/>
      <c r="J92" s="107"/>
      <c r="K92" s="107"/>
      <c r="L92" s="107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5">
      <c r="A93" s="5"/>
      <c r="B93" s="107"/>
      <c r="C93" s="5"/>
      <c r="D93" s="107"/>
      <c r="E93" s="107"/>
      <c r="F93" s="107"/>
      <c r="G93" s="107"/>
      <c r="H93" s="107"/>
      <c r="I93" s="107"/>
      <c r="J93" s="107"/>
      <c r="K93" s="107"/>
      <c r="L93" s="107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5">
      <c r="A94" s="5"/>
      <c r="B94" s="107"/>
      <c r="C94" s="5"/>
      <c r="D94" s="107"/>
      <c r="E94" s="107"/>
      <c r="F94" s="107"/>
      <c r="G94" s="107"/>
      <c r="H94" s="107"/>
      <c r="I94" s="107"/>
      <c r="J94" s="107"/>
      <c r="K94" s="107"/>
      <c r="L94" s="107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5">
      <c r="A95" s="5"/>
      <c r="B95" s="107"/>
      <c r="C95" s="5"/>
      <c r="D95" s="107"/>
      <c r="E95" s="107"/>
      <c r="F95" s="107"/>
      <c r="G95" s="107"/>
      <c r="H95" s="107"/>
      <c r="I95" s="107"/>
      <c r="J95" s="107"/>
      <c r="K95" s="107"/>
      <c r="L95" s="107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5">
      <c r="A96" s="5"/>
      <c r="B96" s="107"/>
      <c r="C96" s="5"/>
      <c r="D96" s="107"/>
      <c r="E96" s="107"/>
      <c r="F96" s="107"/>
      <c r="G96" s="107"/>
      <c r="H96" s="107"/>
      <c r="I96" s="107"/>
      <c r="J96" s="107"/>
      <c r="K96" s="107"/>
      <c r="L96" s="107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5">
      <c r="A97" s="5"/>
      <c r="B97" s="107"/>
      <c r="C97" s="5"/>
      <c r="D97" s="107"/>
      <c r="E97" s="107"/>
      <c r="F97" s="107"/>
      <c r="G97" s="107"/>
      <c r="H97" s="107"/>
      <c r="I97" s="107"/>
      <c r="J97" s="107"/>
      <c r="K97" s="107"/>
      <c r="L97" s="107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5">
      <c r="A98" s="5"/>
      <c r="B98" s="107"/>
      <c r="C98" s="5"/>
      <c r="D98" s="107"/>
      <c r="E98" s="107"/>
      <c r="F98" s="107"/>
      <c r="G98" s="107"/>
      <c r="H98" s="107"/>
      <c r="I98" s="107"/>
      <c r="J98" s="107"/>
      <c r="K98" s="107"/>
      <c r="L98" s="107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5">
      <c r="A99" s="5"/>
      <c r="B99" s="107"/>
      <c r="C99" s="5"/>
      <c r="D99" s="107"/>
      <c r="E99" s="107"/>
      <c r="F99" s="107"/>
      <c r="G99" s="107"/>
      <c r="H99" s="107"/>
      <c r="I99" s="107"/>
      <c r="J99" s="107"/>
      <c r="K99" s="107"/>
      <c r="L99" s="107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5">
      <c r="A100" s="5"/>
      <c r="B100" s="107"/>
      <c r="C100" s="5"/>
      <c r="D100" s="107"/>
      <c r="E100" s="107"/>
      <c r="F100" s="107"/>
      <c r="G100" s="107"/>
      <c r="H100" s="107"/>
      <c r="I100" s="107"/>
      <c r="J100" s="107"/>
      <c r="K100" s="107"/>
      <c r="L100" s="107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5">
      <c r="A101" s="5"/>
      <c r="B101" s="107"/>
      <c r="C101" s="5"/>
      <c r="D101" s="107"/>
      <c r="E101" s="107"/>
      <c r="F101" s="107"/>
      <c r="G101" s="107"/>
      <c r="H101" s="107"/>
      <c r="I101" s="107"/>
      <c r="J101" s="107"/>
      <c r="K101" s="107"/>
      <c r="L101" s="107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5">
      <c r="A102" s="5"/>
      <c r="B102" s="107"/>
      <c r="C102" s="5"/>
      <c r="D102" s="107"/>
      <c r="E102" s="107"/>
      <c r="F102" s="107"/>
      <c r="G102" s="107"/>
      <c r="H102" s="107"/>
      <c r="I102" s="107"/>
      <c r="J102" s="107"/>
      <c r="K102" s="107"/>
      <c r="L102" s="107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5">
      <c r="A103" s="5"/>
      <c r="B103" s="107"/>
      <c r="C103" s="5"/>
      <c r="D103" s="107"/>
      <c r="E103" s="107"/>
      <c r="F103" s="107"/>
      <c r="G103" s="107"/>
      <c r="H103" s="107"/>
      <c r="I103" s="107"/>
      <c r="J103" s="107"/>
      <c r="K103" s="107"/>
      <c r="L103" s="107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5">
      <c r="A104" s="5"/>
      <c r="B104" s="107"/>
      <c r="C104" s="5"/>
      <c r="D104" s="107"/>
      <c r="E104" s="107"/>
      <c r="F104" s="107"/>
      <c r="G104" s="107"/>
      <c r="H104" s="107"/>
      <c r="I104" s="107"/>
      <c r="J104" s="107"/>
      <c r="K104" s="107"/>
      <c r="L104" s="107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5">
      <c r="A105" s="5"/>
      <c r="B105" s="107"/>
      <c r="C105" s="5"/>
      <c r="D105" s="107"/>
      <c r="E105" s="107"/>
      <c r="F105" s="107"/>
      <c r="G105" s="107"/>
      <c r="H105" s="107"/>
      <c r="I105" s="107"/>
      <c r="J105" s="107"/>
      <c r="K105" s="107"/>
      <c r="L105" s="107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5">
      <c r="A106" s="5"/>
      <c r="B106" s="107"/>
      <c r="C106" s="5"/>
      <c r="D106" s="107"/>
      <c r="E106" s="107"/>
      <c r="F106" s="107"/>
      <c r="G106" s="107"/>
      <c r="H106" s="107"/>
      <c r="I106" s="107"/>
      <c r="J106" s="107"/>
      <c r="K106" s="107"/>
      <c r="L106" s="107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5">
      <c r="A107" s="5"/>
      <c r="B107" s="107"/>
      <c r="C107" s="5"/>
      <c r="D107" s="107"/>
      <c r="E107" s="107"/>
      <c r="F107" s="107"/>
      <c r="G107" s="107"/>
      <c r="H107" s="107"/>
      <c r="I107" s="107"/>
      <c r="J107" s="107"/>
      <c r="K107" s="107"/>
      <c r="L107" s="107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5">
      <c r="A108" s="5"/>
      <c r="B108" s="107"/>
      <c r="C108" s="5"/>
      <c r="D108" s="107"/>
      <c r="E108" s="107"/>
      <c r="F108" s="107"/>
      <c r="G108" s="107"/>
      <c r="H108" s="107"/>
      <c r="I108" s="107"/>
      <c r="J108" s="107"/>
      <c r="K108" s="107"/>
      <c r="L108" s="107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5">
      <c r="A109" s="5"/>
      <c r="B109" s="107"/>
      <c r="C109" s="5"/>
      <c r="D109" s="107"/>
      <c r="E109" s="107"/>
      <c r="F109" s="107"/>
      <c r="G109" s="107"/>
      <c r="H109" s="107"/>
      <c r="I109" s="107"/>
      <c r="J109" s="107"/>
      <c r="K109" s="107"/>
      <c r="L109" s="107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5">
      <c r="A110" s="5"/>
      <c r="B110" s="107"/>
      <c r="C110" s="5"/>
      <c r="D110" s="107"/>
      <c r="E110" s="107"/>
      <c r="F110" s="107"/>
      <c r="G110" s="107"/>
      <c r="H110" s="107"/>
      <c r="I110" s="107"/>
      <c r="J110" s="107"/>
      <c r="K110" s="107"/>
      <c r="L110" s="107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5">
      <c r="A111" s="5"/>
      <c r="B111" s="107"/>
      <c r="C111" s="5"/>
      <c r="D111" s="107"/>
      <c r="E111" s="107"/>
      <c r="F111" s="107"/>
      <c r="G111" s="107"/>
      <c r="H111" s="107"/>
      <c r="I111" s="107"/>
      <c r="J111" s="107"/>
      <c r="K111" s="107"/>
      <c r="L111" s="107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5">
      <c r="A112" s="5"/>
      <c r="B112" s="107"/>
      <c r="C112" s="5"/>
      <c r="D112" s="107"/>
      <c r="E112" s="107"/>
      <c r="F112" s="107"/>
      <c r="G112" s="107"/>
      <c r="H112" s="107"/>
      <c r="I112" s="107"/>
      <c r="J112" s="107"/>
      <c r="K112" s="107"/>
      <c r="L112" s="107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5">
      <c r="A113" s="5"/>
      <c r="B113" s="107"/>
      <c r="C113" s="5"/>
      <c r="D113" s="107"/>
      <c r="E113" s="107"/>
      <c r="F113" s="107"/>
      <c r="G113" s="107"/>
      <c r="H113" s="107"/>
      <c r="I113" s="107"/>
      <c r="J113" s="107"/>
      <c r="K113" s="107"/>
      <c r="L113" s="107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5">
      <c r="A114" s="5"/>
      <c r="B114" s="107"/>
      <c r="C114" s="5"/>
      <c r="D114" s="107"/>
      <c r="E114" s="107"/>
      <c r="F114" s="107"/>
      <c r="G114" s="107"/>
      <c r="H114" s="107"/>
      <c r="I114" s="107"/>
      <c r="J114" s="107"/>
      <c r="K114" s="107"/>
      <c r="L114" s="107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5">
      <c r="A115" s="5"/>
      <c r="B115" s="107"/>
      <c r="C115" s="5"/>
      <c r="D115" s="107"/>
      <c r="E115" s="107"/>
      <c r="F115" s="107"/>
      <c r="G115" s="107"/>
      <c r="H115" s="107"/>
      <c r="I115" s="107"/>
      <c r="J115" s="107"/>
      <c r="K115" s="107"/>
      <c r="L115" s="107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5">
      <c r="A116" s="5"/>
      <c r="B116" s="107"/>
      <c r="C116" s="5"/>
      <c r="D116" s="107"/>
      <c r="E116" s="107"/>
      <c r="F116" s="107"/>
      <c r="G116" s="107"/>
      <c r="H116" s="107"/>
      <c r="I116" s="107"/>
      <c r="J116" s="107"/>
      <c r="K116" s="107"/>
      <c r="L116" s="107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5">
      <c r="A117" s="5"/>
      <c r="B117" s="107"/>
      <c r="C117" s="5"/>
      <c r="D117" s="107"/>
      <c r="E117" s="107"/>
      <c r="F117" s="107"/>
      <c r="G117" s="107"/>
      <c r="H117" s="107"/>
      <c r="I117" s="107"/>
      <c r="J117" s="107"/>
      <c r="K117" s="107"/>
      <c r="L117" s="107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5">
      <c r="A118" s="5"/>
      <c r="B118" s="107"/>
      <c r="C118" s="5"/>
      <c r="D118" s="107"/>
      <c r="E118" s="107"/>
      <c r="F118" s="107"/>
      <c r="G118" s="107"/>
      <c r="H118" s="107"/>
      <c r="I118" s="107"/>
      <c r="J118" s="107"/>
      <c r="K118" s="107"/>
      <c r="L118" s="107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5">
      <c r="A119" s="5"/>
      <c r="B119" s="107"/>
      <c r="C119" s="5"/>
      <c r="D119" s="107"/>
      <c r="E119" s="107"/>
      <c r="F119" s="107"/>
      <c r="G119" s="107"/>
      <c r="H119" s="107"/>
      <c r="I119" s="107"/>
      <c r="J119" s="107"/>
      <c r="K119" s="107"/>
      <c r="L119" s="107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5">
      <c r="A120" s="5"/>
      <c r="B120" s="107"/>
      <c r="C120" s="5"/>
      <c r="D120" s="107"/>
      <c r="E120" s="107"/>
      <c r="F120" s="107"/>
      <c r="G120" s="107"/>
      <c r="H120" s="107"/>
      <c r="I120" s="107"/>
      <c r="J120" s="107"/>
      <c r="K120" s="107"/>
      <c r="L120" s="107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5">
      <c r="A121" s="5"/>
      <c r="B121" s="107"/>
      <c r="C121" s="5"/>
      <c r="D121" s="107"/>
      <c r="E121" s="107"/>
      <c r="F121" s="107"/>
      <c r="G121" s="107"/>
      <c r="H121" s="107"/>
      <c r="I121" s="107"/>
      <c r="J121" s="107"/>
      <c r="K121" s="107"/>
      <c r="L121" s="107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5">
      <c r="A122" s="5"/>
      <c r="B122" s="107"/>
      <c r="C122" s="5"/>
      <c r="D122" s="107"/>
      <c r="E122" s="107"/>
      <c r="F122" s="107"/>
      <c r="G122" s="107"/>
      <c r="H122" s="107"/>
      <c r="I122" s="107"/>
      <c r="J122" s="107"/>
      <c r="K122" s="107"/>
      <c r="L122" s="107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5">
      <c r="A123" s="5"/>
      <c r="B123" s="107"/>
      <c r="C123" s="5"/>
      <c r="D123" s="107"/>
      <c r="E123" s="107"/>
      <c r="F123" s="107"/>
      <c r="G123" s="107"/>
      <c r="H123" s="107"/>
      <c r="I123" s="107"/>
      <c r="J123" s="107"/>
      <c r="K123" s="107"/>
      <c r="L123" s="107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5">
      <c r="A124" s="5"/>
      <c r="B124" s="107"/>
      <c r="C124" s="5"/>
      <c r="D124" s="107"/>
      <c r="E124" s="107"/>
      <c r="F124" s="107"/>
      <c r="G124" s="107"/>
      <c r="H124" s="107"/>
      <c r="I124" s="107"/>
      <c r="J124" s="107"/>
      <c r="K124" s="107"/>
      <c r="L124" s="107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5">
      <c r="A125" s="5"/>
      <c r="B125" s="107"/>
      <c r="C125" s="5"/>
      <c r="D125" s="107"/>
      <c r="E125" s="107"/>
      <c r="F125" s="107"/>
      <c r="G125" s="107"/>
      <c r="H125" s="107"/>
      <c r="I125" s="107"/>
      <c r="J125" s="107"/>
      <c r="K125" s="107"/>
      <c r="L125" s="107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5">
      <c r="A126" s="5"/>
      <c r="B126" s="107"/>
      <c r="C126" s="5"/>
      <c r="D126" s="107"/>
      <c r="E126" s="107"/>
      <c r="F126" s="107"/>
      <c r="G126" s="107"/>
      <c r="H126" s="107"/>
      <c r="I126" s="107"/>
      <c r="J126" s="107"/>
      <c r="K126" s="107"/>
      <c r="L126" s="107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5">
      <c r="A127" s="5"/>
      <c r="B127" s="107"/>
      <c r="C127" s="5"/>
      <c r="D127" s="107"/>
      <c r="E127" s="107"/>
      <c r="F127" s="107"/>
      <c r="G127" s="107"/>
      <c r="H127" s="107"/>
      <c r="I127" s="107"/>
      <c r="J127" s="107"/>
      <c r="K127" s="107"/>
      <c r="L127" s="107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5">
      <c r="A128" s="5"/>
      <c r="B128" s="107"/>
      <c r="C128" s="5"/>
      <c r="D128" s="107"/>
      <c r="E128" s="107"/>
      <c r="F128" s="107"/>
      <c r="G128" s="107"/>
      <c r="H128" s="107"/>
      <c r="I128" s="107"/>
      <c r="J128" s="107"/>
      <c r="K128" s="107"/>
      <c r="L128" s="107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5">
      <c r="A129" s="5"/>
      <c r="B129" s="107"/>
      <c r="C129" s="5"/>
      <c r="D129" s="107"/>
      <c r="E129" s="107"/>
      <c r="F129" s="107"/>
      <c r="G129" s="107"/>
      <c r="H129" s="107"/>
      <c r="I129" s="107"/>
      <c r="J129" s="107"/>
      <c r="K129" s="107"/>
      <c r="L129" s="107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5">
      <c r="A130" s="5"/>
      <c r="B130" s="107"/>
      <c r="C130" s="5"/>
      <c r="D130" s="107"/>
      <c r="E130" s="107"/>
      <c r="F130" s="107"/>
      <c r="G130" s="107"/>
      <c r="H130" s="107"/>
      <c r="I130" s="107"/>
      <c r="J130" s="107"/>
      <c r="K130" s="107"/>
      <c r="L130" s="107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5">
      <c r="A131" s="5"/>
      <c r="B131" s="107"/>
      <c r="C131" s="5"/>
      <c r="D131" s="107"/>
      <c r="E131" s="107"/>
      <c r="F131" s="107"/>
      <c r="G131" s="107"/>
      <c r="H131" s="107"/>
      <c r="I131" s="107"/>
      <c r="J131" s="107"/>
      <c r="K131" s="107"/>
      <c r="L131" s="107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5">
      <c r="A132" s="5"/>
      <c r="B132" s="107"/>
      <c r="C132" s="5"/>
      <c r="D132" s="107"/>
      <c r="E132" s="107"/>
      <c r="F132" s="107"/>
      <c r="G132" s="107"/>
      <c r="H132" s="107"/>
      <c r="I132" s="107"/>
      <c r="J132" s="107"/>
      <c r="K132" s="107"/>
      <c r="L132" s="107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5">
      <c r="A133" s="5"/>
      <c r="B133" s="107"/>
      <c r="C133" s="5"/>
      <c r="D133" s="107"/>
      <c r="E133" s="107"/>
      <c r="F133" s="107"/>
      <c r="G133" s="107"/>
      <c r="H133" s="107"/>
      <c r="I133" s="107"/>
      <c r="J133" s="107"/>
      <c r="K133" s="107"/>
      <c r="L133" s="107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5">
      <c r="A134" s="5"/>
      <c r="B134" s="107"/>
      <c r="C134" s="5"/>
      <c r="D134" s="107"/>
      <c r="E134" s="107"/>
      <c r="F134" s="107"/>
      <c r="G134" s="107"/>
      <c r="H134" s="107"/>
      <c r="I134" s="107"/>
      <c r="J134" s="107"/>
      <c r="K134" s="107"/>
      <c r="L134" s="107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5">
      <c r="A135" s="5"/>
      <c r="B135" s="107"/>
      <c r="C135" s="5"/>
      <c r="D135" s="107"/>
      <c r="E135" s="107"/>
      <c r="F135" s="107"/>
      <c r="G135" s="107"/>
      <c r="H135" s="107"/>
      <c r="I135" s="107"/>
      <c r="J135" s="107"/>
      <c r="K135" s="107"/>
      <c r="L135" s="107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5">
      <c r="A136" s="5"/>
      <c r="B136" s="107"/>
      <c r="C136" s="5"/>
      <c r="D136" s="107"/>
      <c r="E136" s="107"/>
      <c r="F136" s="107"/>
      <c r="G136" s="107"/>
      <c r="H136" s="107"/>
      <c r="I136" s="107"/>
      <c r="J136" s="107"/>
      <c r="K136" s="107"/>
      <c r="L136" s="107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5">
      <c r="A137" s="5"/>
      <c r="B137" s="107"/>
      <c r="C137" s="5"/>
      <c r="D137" s="107"/>
      <c r="E137" s="107"/>
      <c r="F137" s="107"/>
      <c r="G137" s="107"/>
      <c r="H137" s="107"/>
      <c r="I137" s="107"/>
      <c r="J137" s="107"/>
      <c r="K137" s="107"/>
      <c r="L137" s="107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5">
      <c r="A138" s="5"/>
      <c r="B138" s="107"/>
      <c r="C138" s="5"/>
      <c r="D138" s="107"/>
      <c r="E138" s="107"/>
      <c r="F138" s="107"/>
      <c r="G138" s="107"/>
      <c r="H138" s="107"/>
      <c r="I138" s="107"/>
      <c r="J138" s="107"/>
      <c r="K138" s="107"/>
      <c r="L138" s="107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5">
      <c r="A139" s="5"/>
      <c r="B139" s="107"/>
      <c r="C139" s="5"/>
      <c r="D139" s="107"/>
      <c r="E139" s="107"/>
      <c r="F139" s="107"/>
      <c r="G139" s="107"/>
      <c r="H139" s="107"/>
      <c r="I139" s="107"/>
      <c r="J139" s="107"/>
      <c r="K139" s="107"/>
      <c r="L139" s="107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5">
      <c r="A140" s="5"/>
      <c r="B140" s="107"/>
      <c r="C140" s="5"/>
      <c r="D140" s="107"/>
      <c r="E140" s="107"/>
      <c r="F140" s="107"/>
      <c r="G140" s="107"/>
      <c r="H140" s="107"/>
      <c r="I140" s="107"/>
      <c r="J140" s="107"/>
      <c r="K140" s="107"/>
      <c r="L140" s="107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5">
      <c r="A141" s="5"/>
      <c r="B141" s="107"/>
      <c r="C141" s="5"/>
      <c r="D141" s="107"/>
      <c r="E141" s="107"/>
      <c r="F141" s="107"/>
      <c r="G141" s="107"/>
      <c r="H141" s="107"/>
      <c r="I141" s="107"/>
      <c r="J141" s="107"/>
      <c r="K141" s="107"/>
      <c r="L141" s="107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5">
      <c r="A142" s="5"/>
      <c r="B142" s="107"/>
      <c r="C142" s="5"/>
      <c r="D142" s="107"/>
      <c r="E142" s="107"/>
      <c r="F142" s="107"/>
      <c r="G142" s="107"/>
      <c r="H142" s="107"/>
      <c r="I142" s="107"/>
      <c r="J142" s="107"/>
      <c r="K142" s="107"/>
      <c r="L142" s="107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5">
      <c r="A143" s="5"/>
      <c r="B143" s="107"/>
      <c r="C143" s="5"/>
      <c r="D143" s="107"/>
      <c r="E143" s="107"/>
      <c r="F143" s="107"/>
      <c r="G143" s="107"/>
      <c r="H143" s="107"/>
      <c r="I143" s="107"/>
      <c r="J143" s="107"/>
      <c r="K143" s="107"/>
      <c r="L143" s="107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5">
      <c r="A144" s="5"/>
      <c r="B144" s="107"/>
      <c r="C144" s="5"/>
      <c r="D144" s="107"/>
      <c r="E144" s="107"/>
      <c r="F144" s="107"/>
      <c r="G144" s="107"/>
      <c r="H144" s="107"/>
      <c r="I144" s="107"/>
      <c r="J144" s="107"/>
      <c r="K144" s="107"/>
      <c r="L144" s="107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5">
      <c r="A145" s="5"/>
      <c r="B145" s="107"/>
      <c r="C145" s="5"/>
      <c r="D145" s="107"/>
      <c r="E145" s="107"/>
      <c r="F145" s="107"/>
      <c r="G145" s="107"/>
      <c r="H145" s="107"/>
      <c r="I145" s="107"/>
      <c r="J145" s="107"/>
      <c r="K145" s="107"/>
      <c r="L145" s="107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5">
      <c r="A146" s="5"/>
      <c r="B146" s="107"/>
      <c r="C146" s="5"/>
      <c r="D146" s="107"/>
      <c r="E146" s="107"/>
      <c r="F146" s="107"/>
      <c r="G146" s="107"/>
      <c r="H146" s="107"/>
      <c r="I146" s="107"/>
      <c r="J146" s="107"/>
      <c r="K146" s="107"/>
      <c r="L146" s="107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5">
      <c r="A147" s="5"/>
      <c r="B147" s="107"/>
      <c r="C147" s="5"/>
      <c r="D147" s="107"/>
      <c r="E147" s="107"/>
      <c r="F147" s="107"/>
      <c r="G147" s="107"/>
      <c r="H147" s="107"/>
      <c r="I147" s="107"/>
      <c r="J147" s="107"/>
      <c r="K147" s="107"/>
      <c r="L147" s="107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5">
      <c r="A148" s="5"/>
      <c r="B148" s="107"/>
      <c r="C148" s="5"/>
      <c r="D148" s="107"/>
      <c r="E148" s="107"/>
      <c r="F148" s="107"/>
      <c r="G148" s="107"/>
      <c r="H148" s="107"/>
      <c r="I148" s="107"/>
      <c r="J148" s="107"/>
      <c r="K148" s="107"/>
      <c r="L148" s="107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5">
      <c r="A149" s="5"/>
      <c r="B149" s="107"/>
      <c r="C149" s="5"/>
      <c r="D149" s="107"/>
      <c r="E149" s="107"/>
      <c r="F149" s="107"/>
      <c r="G149" s="107"/>
      <c r="H149" s="107"/>
      <c r="I149" s="107"/>
      <c r="J149" s="107"/>
      <c r="K149" s="107"/>
      <c r="L149" s="107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5">
      <c r="A150" s="5"/>
      <c r="B150" s="107"/>
      <c r="C150" s="5"/>
      <c r="D150" s="107"/>
      <c r="E150" s="107"/>
      <c r="F150" s="107"/>
      <c r="G150" s="107"/>
      <c r="H150" s="107"/>
      <c r="I150" s="107"/>
      <c r="J150" s="107"/>
      <c r="K150" s="107"/>
      <c r="L150" s="107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5">
      <c r="A151" s="5"/>
      <c r="B151" s="107"/>
      <c r="C151" s="5"/>
      <c r="D151" s="107"/>
      <c r="E151" s="107"/>
      <c r="F151" s="107"/>
      <c r="G151" s="107"/>
      <c r="H151" s="107"/>
      <c r="I151" s="107"/>
      <c r="J151" s="107"/>
      <c r="K151" s="107"/>
      <c r="L151" s="107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5">
      <c r="A152" s="5"/>
      <c r="B152" s="107"/>
      <c r="C152" s="5"/>
      <c r="D152" s="107"/>
      <c r="E152" s="107"/>
      <c r="F152" s="107"/>
      <c r="G152" s="107"/>
      <c r="H152" s="107"/>
      <c r="I152" s="107"/>
      <c r="J152" s="107"/>
      <c r="K152" s="107"/>
      <c r="L152" s="107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5">
      <c r="A153" s="5"/>
      <c r="B153" s="107"/>
      <c r="C153" s="5"/>
      <c r="D153" s="107"/>
      <c r="E153" s="107"/>
      <c r="F153" s="107"/>
      <c r="G153" s="107"/>
      <c r="H153" s="107"/>
      <c r="I153" s="107"/>
      <c r="J153" s="107"/>
      <c r="K153" s="107"/>
      <c r="L153" s="107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5">
      <c r="A154" s="5"/>
      <c r="B154" s="107"/>
      <c r="C154" s="5"/>
      <c r="D154" s="107"/>
      <c r="E154" s="107"/>
      <c r="F154" s="107"/>
      <c r="G154" s="107"/>
      <c r="H154" s="107"/>
      <c r="I154" s="107"/>
      <c r="J154" s="107"/>
      <c r="K154" s="107"/>
      <c r="L154" s="107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5">
      <c r="A155" s="5"/>
      <c r="B155" s="107"/>
      <c r="C155" s="5"/>
      <c r="D155" s="107"/>
      <c r="E155" s="107"/>
      <c r="F155" s="107"/>
      <c r="G155" s="107"/>
      <c r="H155" s="107"/>
      <c r="I155" s="107"/>
      <c r="J155" s="107"/>
      <c r="K155" s="107"/>
      <c r="L155" s="107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5">
      <c r="A156" s="5"/>
      <c r="B156" s="107"/>
      <c r="C156" s="5"/>
      <c r="D156" s="107"/>
      <c r="E156" s="107"/>
      <c r="F156" s="107"/>
      <c r="G156" s="107"/>
      <c r="H156" s="107"/>
      <c r="I156" s="107"/>
      <c r="J156" s="107"/>
      <c r="K156" s="107"/>
      <c r="L156" s="107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5">
      <c r="A157" s="5"/>
      <c r="B157" s="107"/>
      <c r="C157" s="5"/>
      <c r="D157" s="107"/>
      <c r="E157" s="107"/>
      <c r="F157" s="107"/>
      <c r="G157" s="107"/>
      <c r="H157" s="107"/>
      <c r="I157" s="107"/>
      <c r="J157" s="107"/>
      <c r="K157" s="107"/>
      <c r="L157" s="107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5">
      <c r="A158" s="5"/>
      <c r="B158" s="107"/>
      <c r="C158" s="5"/>
      <c r="D158" s="107"/>
      <c r="E158" s="107"/>
      <c r="F158" s="107"/>
      <c r="G158" s="107"/>
      <c r="H158" s="107"/>
      <c r="I158" s="107"/>
      <c r="J158" s="107"/>
      <c r="K158" s="107"/>
      <c r="L158" s="107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5">
      <c r="A159" s="5"/>
      <c r="B159" s="107"/>
      <c r="C159" s="5"/>
      <c r="D159" s="107"/>
      <c r="E159" s="107"/>
      <c r="F159" s="107"/>
      <c r="G159" s="107"/>
      <c r="H159" s="107"/>
      <c r="I159" s="107"/>
      <c r="J159" s="107"/>
      <c r="K159" s="107"/>
      <c r="L159" s="107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5">
      <c r="A160" s="5"/>
      <c r="B160" s="107"/>
      <c r="C160" s="5"/>
      <c r="D160" s="107"/>
      <c r="E160" s="107"/>
      <c r="F160" s="107"/>
      <c r="G160" s="107"/>
      <c r="H160" s="107"/>
      <c r="I160" s="107"/>
      <c r="J160" s="107"/>
      <c r="K160" s="107"/>
      <c r="L160" s="107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5">
      <c r="A161" s="5"/>
      <c r="B161" s="107"/>
      <c r="C161" s="5"/>
      <c r="D161" s="107"/>
      <c r="E161" s="107"/>
      <c r="F161" s="107"/>
      <c r="G161" s="107"/>
      <c r="H161" s="107"/>
      <c r="I161" s="107"/>
      <c r="J161" s="107"/>
      <c r="K161" s="107"/>
      <c r="L161" s="107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5">
      <c r="A162" s="5"/>
      <c r="B162" s="107"/>
      <c r="C162" s="5"/>
      <c r="D162" s="107"/>
      <c r="E162" s="107"/>
      <c r="F162" s="107"/>
      <c r="G162" s="107"/>
      <c r="H162" s="107"/>
      <c r="I162" s="107"/>
      <c r="J162" s="107"/>
      <c r="K162" s="107"/>
      <c r="L162" s="107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5">
      <c r="A163" s="5"/>
      <c r="B163" s="107"/>
      <c r="C163" s="5"/>
      <c r="D163" s="107"/>
      <c r="E163" s="107"/>
      <c r="F163" s="107"/>
      <c r="G163" s="107"/>
      <c r="H163" s="107"/>
      <c r="I163" s="107"/>
      <c r="J163" s="107"/>
      <c r="K163" s="107"/>
      <c r="L163" s="107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5">
      <c r="A164" s="5"/>
      <c r="B164" s="107"/>
      <c r="C164" s="5"/>
      <c r="D164" s="107"/>
      <c r="E164" s="107"/>
      <c r="F164" s="107"/>
      <c r="G164" s="107"/>
      <c r="H164" s="107"/>
      <c r="I164" s="107"/>
      <c r="J164" s="107"/>
      <c r="K164" s="107"/>
      <c r="L164" s="107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5">
      <c r="A165" s="5"/>
      <c r="B165" s="107"/>
      <c r="C165" s="5"/>
      <c r="D165" s="107"/>
      <c r="E165" s="107"/>
      <c r="F165" s="107"/>
      <c r="G165" s="107"/>
      <c r="H165" s="107"/>
      <c r="I165" s="107"/>
      <c r="J165" s="107"/>
      <c r="K165" s="107"/>
      <c r="L165" s="107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5">
      <c r="A166" s="5"/>
      <c r="B166" s="107"/>
      <c r="C166" s="5"/>
      <c r="D166" s="107"/>
      <c r="E166" s="107"/>
      <c r="F166" s="107"/>
      <c r="G166" s="107"/>
      <c r="H166" s="107"/>
      <c r="I166" s="107"/>
      <c r="J166" s="107"/>
      <c r="K166" s="107"/>
      <c r="L166" s="107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5">
      <c r="A167" s="5"/>
      <c r="B167" s="107"/>
      <c r="C167" s="5"/>
      <c r="D167" s="107"/>
      <c r="E167" s="107"/>
      <c r="F167" s="107"/>
      <c r="G167" s="107"/>
      <c r="H167" s="107"/>
      <c r="I167" s="107"/>
      <c r="J167" s="107"/>
      <c r="K167" s="107"/>
      <c r="L167" s="107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5">
      <c r="A168" s="5"/>
      <c r="B168" s="107"/>
      <c r="C168" s="5"/>
      <c r="D168" s="107"/>
      <c r="E168" s="107"/>
      <c r="F168" s="107"/>
      <c r="G168" s="107"/>
      <c r="H168" s="107"/>
      <c r="I168" s="107"/>
      <c r="J168" s="107"/>
      <c r="K168" s="107"/>
      <c r="L168" s="107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5">
      <c r="A169" s="5"/>
      <c r="B169" s="107"/>
      <c r="C169" s="5"/>
      <c r="D169" s="107"/>
      <c r="E169" s="107"/>
      <c r="F169" s="107"/>
      <c r="G169" s="107"/>
      <c r="H169" s="107"/>
      <c r="I169" s="107"/>
      <c r="J169" s="107"/>
      <c r="K169" s="107"/>
      <c r="L169" s="107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5">
      <c r="A170" s="5"/>
      <c r="B170" s="107"/>
      <c r="C170" s="5"/>
      <c r="D170" s="107"/>
      <c r="E170" s="107"/>
      <c r="F170" s="107"/>
      <c r="G170" s="107"/>
      <c r="H170" s="107"/>
      <c r="I170" s="107"/>
      <c r="J170" s="107"/>
      <c r="K170" s="107"/>
      <c r="L170" s="107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5">
      <c r="A171" s="5"/>
      <c r="B171" s="107"/>
      <c r="C171" s="5"/>
      <c r="D171" s="107"/>
      <c r="E171" s="107"/>
      <c r="F171" s="107"/>
      <c r="G171" s="107"/>
      <c r="H171" s="107"/>
      <c r="I171" s="107"/>
      <c r="J171" s="107"/>
      <c r="K171" s="107"/>
      <c r="L171" s="107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5">
      <c r="A172" s="5"/>
      <c r="B172" s="107"/>
      <c r="C172" s="5"/>
      <c r="D172" s="107"/>
      <c r="E172" s="107"/>
      <c r="F172" s="107"/>
      <c r="G172" s="107"/>
      <c r="H172" s="107"/>
      <c r="I172" s="107"/>
      <c r="J172" s="107"/>
      <c r="K172" s="107"/>
      <c r="L172" s="107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5">
      <c r="A173" s="5"/>
      <c r="B173" s="107"/>
      <c r="C173" s="5"/>
      <c r="D173" s="107"/>
      <c r="E173" s="107"/>
      <c r="F173" s="107"/>
      <c r="G173" s="107"/>
      <c r="H173" s="107"/>
      <c r="I173" s="107"/>
      <c r="J173" s="107"/>
      <c r="K173" s="107"/>
      <c r="L173" s="107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5">
      <c r="A174" s="5"/>
      <c r="B174" s="107"/>
      <c r="C174" s="5"/>
      <c r="D174" s="107"/>
      <c r="E174" s="107"/>
      <c r="F174" s="107"/>
      <c r="G174" s="107"/>
      <c r="H174" s="107"/>
      <c r="I174" s="107"/>
      <c r="J174" s="107"/>
      <c r="K174" s="107"/>
      <c r="L174" s="107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5">
      <c r="A175" s="5"/>
      <c r="B175" s="107"/>
      <c r="C175" s="5"/>
      <c r="D175" s="107"/>
      <c r="E175" s="107"/>
      <c r="F175" s="107"/>
      <c r="G175" s="107"/>
      <c r="H175" s="107"/>
      <c r="I175" s="107"/>
      <c r="J175" s="107"/>
      <c r="K175" s="107"/>
      <c r="L175" s="107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5">
      <c r="A176" s="5"/>
      <c r="B176" s="107"/>
      <c r="C176" s="5"/>
      <c r="D176" s="107"/>
      <c r="E176" s="107"/>
      <c r="F176" s="107"/>
      <c r="G176" s="107"/>
      <c r="H176" s="107"/>
      <c r="I176" s="107"/>
      <c r="J176" s="107"/>
      <c r="K176" s="107"/>
      <c r="L176" s="107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5">
      <c r="A177" s="5"/>
      <c r="B177" s="107"/>
      <c r="C177" s="5"/>
      <c r="D177" s="107"/>
      <c r="E177" s="107"/>
      <c r="F177" s="107"/>
      <c r="G177" s="107"/>
      <c r="H177" s="107"/>
      <c r="I177" s="107"/>
      <c r="J177" s="107"/>
      <c r="K177" s="107"/>
      <c r="L177" s="107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5">
      <c r="A178" s="5"/>
      <c r="B178" s="107"/>
      <c r="C178" s="5"/>
      <c r="D178" s="107"/>
      <c r="E178" s="107"/>
      <c r="F178" s="107"/>
      <c r="G178" s="107"/>
      <c r="H178" s="107"/>
      <c r="I178" s="107"/>
      <c r="J178" s="107"/>
      <c r="K178" s="107"/>
      <c r="L178" s="107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5">
      <c r="A179" s="5"/>
      <c r="B179" s="107"/>
      <c r="C179" s="5"/>
      <c r="D179" s="107"/>
      <c r="E179" s="107"/>
      <c r="F179" s="107"/>
      <c r="G179" s="107"/>
      <c r="H179" s="107"/>
      <c r="I179" s="107"/>
      <c r="J179" s="107"/>
      <c r="K179" s="107"/>
      <c r="L179" s="107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5">
      <c r="A180" s="5"/>
      <c r="B180" s="107"/>
      <c r="C180" s="5"/>
      <c r="D180" s="107"/>
      <c r="E180" s="107"/>
      <c r="F180" s="107"/>
      <c r="G180" s="107"/>
      <c r="H180" s="107"/>
      <c r="I180" s="107"/>
      <c r="J180" s="107"/>
      <c r="K180" s="107"/>
      <c r="L180" s="107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5">
      <c r="A181" s="5"/>
      <c r="B181" s="107"/>
      <c r="C181" s="5"/>
      <c r="D181" s="107"/>
      <c r="E181" s="107"/>
      <c r="F181" s="107"/>
      <c r="G181" s="107"/>
      <c r="H181" s="107"/>
      <c r="I181" s="107"/>
      <c r="J181" s="107"/>
      <c r="K181" s="107"/>
      <c r="L181" s="107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5">
      <c r="A182" s="5"/>
      <c r="B182" s="107"/>
      <c r="C182" s="5"/>
      <c r="D182" s="107"/>
      <c r="E182" s="107"/>
      <c r="F182" s="107"/>
      <c r="G182" s="107"/>
      <c r="H182" s="107"/>
      <c r="I182" s="107"/>
      <c r="J182" s="107"/>
      <c r="K182" s="107"/>
      <c r="L182" s="107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5">
      <c r="A183" s="5"/>
      <c r="B183" s="107"/>
      <c r="C183" s="5"/>
      <c r="D183" s="107"/>
      <c r="E183" s="107"/>
      <c r="F183" s="107"/>
      <c r="G183" s="107"/>
      <c r="H183" s="107"/>
      <c r="I183" s="107"/>
      <c r="J183" s="107"/>
      <c r="K183" s="107"/>
      <c r="L183" s="107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5">
      <c r="A184" s="5"/>
      <c r="B184" s="107"/>
      <c r="C184" s="5"/>
      <c r="D184" s="107"/>
      <c r="E184" s="107"/>
      <c r="F184" s="107"/>
      <c r="G184" s="107"/>
      <c r="H184" s="107"/>
      <c r="I184" s="107"/>
      <c r="J184" s="107"/>
      <c r="K184" s="107"/>
      <c r="L184" s="107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5">
      <c r="A185" s="5"/>
      <c r="B185" s="107"/>
      <c r="C185" s="5"/>
      <c r="D185" s="107"/>
      <c r="E185" s="107"/>
      <c r="F185" s="107"/>
      <c r="G185" s="107"/>
      <c r="H185" s="107"/>
      <c r="I185" s="107"/>
      <c r="J185" s="107"/>
      <c r="K185" s="107"/>
      <c r="L185" s="107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5">
      <c r="A186" s="5"/>
      <c r="B186" s="107"/>
      <c r="C186" s="5"/>
      <c r="D186" s="107"/>
      <c r="E186" s="107"/>
      <c r="F186" s="107"/>
      <c r="G186" s="107"/>
      <c r="H186" s="107"/>
      <c r="I186" s="107"/>
      <c r="J186" s="107"/>
      <c r="K186" s="107"/>
      <c r="L186" s="107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5">
      <c r="A187" s="5"/>
      <c r="B187" s="107"/>
      <c r="C187" s="5"/>
      <c r="D187" s="107"/>
      <c r="E187" s="107"/>
      <c r="F187" s="107"/>
      <c r="G187" s="107"/>
      <c r="H187" s="107"/>
      <c r="I187" s="107"/>
      <c r="J187" s="107"/>
      <c r="K187" s="107"/>
      <c r="L187" s="107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5">
      <c r="A188" s="5"/>
      <c r="B188" s="107"/>
      <c r="C188" s="5"/>
      <c r="D188" s="107"/>
      <c r="E188" s="107"/>
      <c r="F188" s="107"/>
      <c r="G188" s="107"/>
      <c r="H188" s="107"/>
      <c r="I188" s="107"/>
      <c r="J188" s="107"/>
      <c r="K188" s="107"/>
      <c r="L188" s="107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5">
      <c r="A189" s="5"/>
      <c r="B189" s="107"/>
      <c r="C189" s="5"/>
      <c r="D189" s="107"/>
      <c r="E189" s="107"/>
      <c r="F189" s="107"/>
      <c r="G189" s="107"/>
      <c r="H189" s="107"/>
      <c r="I189" s="107"/>
      <c r="J189" s="107"/>
      <c r="K189" s="107"/>
      <c r="L189" s="107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5">
      <c r="A190" s="5"/>
      <c r="B190" s="107"/>
      <c r="C190" s="5"/>
      <c r="D190" s="107"/>
      <c r="E190" s="107"/>
      <c r="F190" s="107"/>
      <c r="G190" s="107"/>
      <c r="H190" s="107"/>
      <c r="I190" s="107"/>
      <c r="J190" s="107"/>
      <c r="K190" s="107"/>
      <c r="L190" s="107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5">
      <c r="A191" s="5"/>
      <c r="B191" s="107"/>
      <c r="C191" s="5"/>
      <c r="D191" s="107"/>
      <c r="E191" s="107"/>
      <c r="F191" s="107"/>
      <c r="G191" s="107"/>
      <c r="H191" s="107"/>
      <c r="I191" s="107"/>
      <c r="J191" s="107"/>
      <c r="K191" s="107"/>
      <c r="L191" s="107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5">
      <c r="A192" s="5"/>
      <c r="B192" s="107"/>
      <c r="C192" s="5"/>
      <c r="D192" s="107"/>
      <c r="E192" s="107"/>
      <c r="F192" s="107"/>
      <c r="G192" s="107"/>
      <c r="H192" s="107"/>
      <c r="I192" s="107"/>
      <c r="J192" s="107"/>
      <c r="K192" s="107"/>
      <c r="L192" s="107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5">
      <c r="A193" s="5"/>
      <c r="B193" s="107"/>
      <c r="C193" s="5"/>
      <c r="D193" s="107"/>
      <c r="E193" s="107"/>
      <c r="F193" s="107"/>
      <c r="G193" s="107"/>
      <c r="H193" s="107"/>
      <c r="I193" s="107"/>
      <c r="J193" s="107"/>
      <c r="K193" s="107"/>
      <c r="L193" s="107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5">
      <c r="A194" s="5"/>
      <c r="B194" s="107"/>
      <c r="C194" s="5"/>
      <c r="D194" s="107"/>
      <c r="E194" s="107"/>
      <c r="F194" s="107"/>
      <c r="G194" s="107"/>
      <c r="H194" s="107"/>
      <c r="I194" s="107"/>
      <c r="J194" s="107"/>
      <c r="K194" s="107"/>
      <c r="L194" s="107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5">
      <c r="A195" s="5"/>
      <c r="B195" s="107"/>
      <c r="C195" s="5"/>
      <c r="D195" s="107"/>
      <c r="E195" s="107"/>
      <c r="F195" s="107"/>
      <c r="G195" s="107"/>
      <c r="H195" s="107"/>
      <c r="I195" s="107"/>
      <c r="J195" s="107"/>
      <c r="K195" s="107"/>
      <c r="L195" s="107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5">
      <c r="A196" s="5"/>
      <c r="B196" s="107"/>
      <c r="C196" s="5"/>
      <c r="D196" s="107"/>
      <c r="E196" s="107"/>
      <c r="F196" s="107"/>
      <c r="G196" s="107"/>
      <c r="H196" s="107"/>
      <c r="I196" s="107"/>
      <c r="J196" s="107"/>
      <c r="K196" s="107"/>
      <c r="L196" s="107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5">
      <c r="A197" s="5"/>
      <c r="B197" s="107"/>
      <c r="C197" s="5"/>
      <c r="D197" s="107"/>
      <c r="E197" s="107"/>
      <c r="F197" s="107"/>
      <c r="G197" s="107"/>
      <c r="H197" s="107"/>
      <c r="I197" s="107"/>
      <c r="J197" s="107"/>
      <c r="K197" s="107"/>
      <c r="L197" s="107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5">
      <c r="A198" s="5"/>
      <c r="B198" s="107"/>
      <c r="C198" s="5"/>
      <c r="D198" s="107"/>
      <c r="E198" s="107"/>
      <c r="F198" s="107"/>
      <c r="G198" s="107"/>
      <c r="H198" s="107"/>
      <c r="I198" s="107"/>
      <c r="J198" s="107"/>
      <c r="K198" s="107"/>
      <c r="L198" s="107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5">
      <c r="A199" s="5"/>
      <c r="B199" s="107"/>
      <c r="C199" s="5"/>
      <c r="D199" s="107"/>
      <c r="E199" s="107"/>
      <c r="F199" s="107"/>
      <c r="G199" s="107"/>
      <c r="H199" s="107"/>
      <c r="I199" s="107"/>
      <c r="J199" s="107"/>
      <c r="K199" s="107"/>
      <c r="L199" s="107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5">
      <c r="A200" s="5"/>
      <c r="B200" s="107"/>
      <c r="C200" s="5"/>
      <c r="D200" s="107"/>
      <c r="E200" s="107"/>
      <c r="F200" s="107"/>
      <c r="G200" s="107"/>
      <c r="H200" s="107"/>
      <c r="I200" s="107"/>
      <c r="J200" s="107"/>
      <c r="K200" s="107"/>
      <c r="L200" s="107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5">
      <c r="A201" s="5"/>
      <c r="B201" s="107"/>
      <c r="C201" s="5"/>
      <c r="D201" s="107"/>
      <c r="E201" s="107"/>
      <c r="F201" s="107"/>
      <c r="G201" s="107"/>
      <c r="H201" s="107"/>
      <c r="I201" s="107"/>
      <c r="J201" s="107"/>
      <c r="K201" s="107"/>
      <c r="L201" s="107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5">
      <c r="A202" s="5"/>
      <c r="B202" s="107"/>
      <c r="C202" s="5"/>
      <c r="D202" s="107"/>
      <c r="E202" s="107"/>
      <c r="F202" s="107"/>
      <c r="G202" s="107"/>
      <c r="H202" s="107"/>
      <c r="I202" s="107"/>
      <c r="J202" s="107"/>
      <c r="K202" s="107"/>
      <c r="L202" s="107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5">
      <c r="A203" s="5"/>
      <c r="B203" s="107"/>
      <c r="C203" s="5"/>
      <c r="D203" s="107"/>
      <c r="E203" s="107"/>
      <c r="F203" s="107"/>
      <c r="G203" s="107"/>
      <c r="H203" s="107"/>
      <c r="I203" s="107"/>
      <c r="J203" s="107"/>
      <c r="K203" s="107"/>
      <c r="L203" s="107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5">
      <c r="A204" s="5"/>
      <c r="B204" s="107"/>
      <c r="C204" s="5"/>
      <c r="D204" s="107"/>
      <c r="E204" s="107"/>
      <c r="F204" s="107"/>
      <c r="G204" s="107"/>
      <c r="H204" s="107"/>
      <c r="I204" s="107"/>
      <c r="J204" s="107"/>
      <c r="K204" s="107"/>
      <c r="L204" s="107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5">
      <c r="A205" s="5"/>
      <c r="B205" s="107"/>
      <c r="C205" s="5"/>
      <c r="D205" s="107"/>
      <c r="E205" s="107"/>
      <c r="F205" s="107"/>
      <c r="G205" s="107"/>
      <c r="H205" s="107"/>
      <c r="I205" s="107"/>
      <c r="J205" s="107"/>
      <c r="K205" s="107"/>
      <c r="L205" s="107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5">
      <c r="A206" s="5"/>
      <c r="B206" s="107"/>
      <c r="C206" s="5"/>
      <c r="D206" s="107"/>
      <c r="E206" s="107"/>
      <c r="F206" s="107"/>
      <c r="G206" s="107"/>
      <c r="H206" s="107"/>
      <c r="I206" s="107"/>
      <c r="J206" s="107"/>
      <c r="K206" s="107"/>
      <c r="L206" s="107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5">
      <c r="A207" s="5"/>
      <c r="B207" s="107"/>
      <c r="C207" s="5"/>
      <c r="D207" s="107"/>
      <c r="E207" s="107"/>
      <c r="F207" s="107"/>
      <c r="G207" s="107"/>
      <c r="H207" s="107"/>
      <c r="I207" s="107"/>
      <c r="J207" s="107"/>
      <c r="K207" s="107"/>
      <c r="L207" s="107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5">
      <c r="A208" s="5"/>
      <c r="B208" s="107"/>
      <c r="C208" s="5"/>
      <c r="D208" s="107"/>
      <c r="E208" s="107"/>
      <c r="F208" s="107"/>
      <c r="G208" s="107"/>
      <c r="H208" s="107"/>
      <c r="I208" s="107"/>
      <c r="J208" s="107"/>
      <c r="K208" s="107"/>
      <c r="L208" s="107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5">
      <c r="A209" s="5"/>
      <c r="B209" s="107"/>
      <c r="C209" s="5"/>
      <c r="D209" s="107"/>
      <c r="E209" s="107"/>
      <c r="F209" s="107"/>
      <c r="G209" s="107"/>
      <c r="H209" s="107"/>
      <c r="I209" s="107"/>
      <c r="J209" s="107"/>
      <c r="K209" s="107"/>
      <c r="L209" s="107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5">
      <c r="A210" s="5"/>
      <c r="B210" s="107"/>
      <c r="C210" s="5"/>
      <c r="D210" s="107"/>
      <c r="E210" s="107"/>
      <c r="F210" s="107"/>
      <c r="G210" s="107"/>
      <c r="H210" s="107"/>
      <c r="I210" s="107"/>
      <c r="J210" s="107"/>
      <c r="K210" s="107"/>
      <c r="L210" s="107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5">
      <c r="A211" s="5"/>
      <c r="B211" s="107"/>
      <c r="C211" s="5"/>
      <c r="D211" s="107"/>
      <c r="E211" s="107"/>
      <c r="F211" s="107"/>
      <c r="G211" s="107"/>
      <c r="H211" s="107"/>
      <c r="I211" s="107"/>
      <c r="J211" s="107"/>
      <c r="K211" s="107"/>
      <c r="L211" s="107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5">
      <c r="A212" s="5"/>
      <c r="B212" s="107"/>
      <c r="C212" s="5"/>
      <c r="D212" s="107"/>
      <c r="E212" s="107"/>
      <c r="F212" s="107"/>
      <c r="G212" s="107"/>
      <c r="H212" s="107"/>
      <c r="I212" s="107"/>
      <c r="J212" s="107"/>
      <c r="K212" s="107"/>
      <c r="L212" s="107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5">
      <c r="A213" s="5"/>
      <c r="B213" s="107"/>
      <c r="C213" s="5"/>
      <c r="D213" s="107"/>
      <c r="E213" s="107"/>
      <c r="F213" s="107"/>
      <c r="G213" s="107"/>
      <c r="H213" s="107"/>
      <c r="I213" s="107"/>
      <c r="J213" s="107"/>
      <c r="K213" s="107"/>
      <c r="L213" s="107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5">
      <c r="A214" s="5"/>
      <c r="B214" s="107"/>
      <c r="C214" s="5"/>
      <c r="D214" s="107"/>
      <c r="E214" s="107"/>
      <c r="F214" s="107"/>
      <c r="G214" s="107"/>
      <c r="H214" s="107"/>
      <c r="I214" s="107"/>
      <c r="J214" s="107"/>
      <c r="K214" s="107"/>
      <c r="L214" s="107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5">
      <c r="A215" s="5"/>
      <c r="B215" s="107"/>
      <c r="C215" s="5"/>
      <c r="D215" s="107"/>
      <c r="E215" s="107"/>
      <c r="F215" s="107"/>
      <c r="G215" s="107"/>
      <c r="H215" s="107"/>
      <c r="I215" s="107"/>
      <c r="J215" s="107"/>
      <c r="K215" s="107"/>
      <c r="L215" s="107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5">
      <c r="A216" s="5"/>
      <c r="B216" s="107"/>
      <c r="C216" s="5"/>
      <c r="D216" s="107"/>
      <c r="E216" s="107"/>
      <c r="F216" s="107"/>
      <c r="G216" s="107"/>
      <c r="H216" s="107"/>
      <c r="I216" s="107"/>
      <c r="J216" s="107"/>
      <c r="K216" s="107"/>
      <c r="L216" s="107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5">
      <c r="A217" s="5"/>
      <c r="B217" s="107"/>
      <c r="C217" s="5"/>
      <c r="D217" s="107"/>
      <c r="E217" s="107"/>
      <c r="F217" s="107"/>
      <c r="G217" s="107"/>
      <c r="H217" s="107"/>
      <c r="I217" s="107"/>
      <c r="J217" s="107"/>
      <c r="K217" s="107"/>
      <c r="L217" s="107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5">
      <c r="A218" s="5"/>
      <c r="B218" s="107"/>
      <c r="C218" s="5"/>
      <c r="D218" s="107"/>
      <c r="E218" s="107"/>
      <c r="F218" s="107"/>
      <c r="G218" s="107"/>
      <c r="H218" s="107"/>
      <c r="I218" s="107"/>
      <c r="J218" s="107"/>
      <c r="K218" s="107"/>
      <c r="L218" s="107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5">
      <c r="A219" s="5"/>
      <c r="B219" s="107"/>
      <c r="C219" s="5"/>
      <c r="D219" s="107"/>
      <c r="E219" s="107"/>
      <c r="F219" s="107"/>
      <c r="G219" s="107"/>
      <c r="H219" s="107"/>
      <c r="I219" s="107"/>
      <c r="J219" s="107"/>
      <c r="K219" s="107"/>
      <c r="L219" s="107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5">
      <c r="A220" s="5"/>
      <c r="B220" s="107"/>
      <c r="C220" s="5"/>
      <c r="D220" s="107"/>
      <c r="E220" s="107"/>
      <c r="F220" s="107"/>
      <c r="G220" s="107"/>
      <c r="H220" s="107"/>
      <c r="I220" s="107"/>
      <c r="J220" s="107"/>
      <c r="K220" s="107"/>
      <c r="L220" s="107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5">
      <c r="A221" s="5"/>
      <c r="B221" s="107"/>
      <c r="C221" s="5"/>
      <c r="D221" s="107"/>
      <c r="E221" s="107"/>
      <c r="F221" s="107"/>
      <c r="G221" s="107"/>
      <c r="H221" s="107"/>
      <c r="I221" s="107"/>
      <c r="J221" s="107"/>
      <c r="K221" s="107"/>
      <c r="L221" s="107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5">
      <c r="A222" s="5"/>
      <c r="B222" s="5"/>
      <c r="C222" s="5"/>
      <c r="D222" s="107"/>
      <c r="E222" s="107"/>
      <c r="F222" s="107"/>
      <c r="G222" s="107"/>
      <c r="H222" s="107"/>
      <c r="I222" s="107"/>
      <c r="J222" s="107"/>
      <c r="K222" s="107"/>
      <c r="L222" s="107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25"/>
    <row r="272" spans="1:26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D1:L1"/>
    <mergeCell ref="A13:A15"/>
  </mergeCells>
  <pageMargins left="0.7" right="0.7" top="0.75" bottom="0.75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Z1000"/>
  <sheetViews>
    <sheetView workbookViewId="0">
      <selection activeCell="P32" sqref="P32"/>
    </sheetView>
  </sheetViews>
  <sheetFormatPr defaultColWidth="11.125" defaultRowHeight="15" customHeight="1" x14ac:dyDescent="0.25"/>
  <cols>
    <col min="1" max="1" width="8.875" customWidth="1"/>
    <col min="2" max="2" width="22.625" customWidth="1"/>
    <col min="3" max="3" width="12.625" customWidth="1"/>
    <col min="4" max="4" width="7.875" bestFit="1" customWidth="1"/>
    <col min="5" max="5" width="8.625" bestFit="1" customWidth="1"/>
    <col min="6" max="6" width="11.625" bestFit="1" customWidth="1"/>
    <col min="7" max="8" width="11.625" customWidth="1"/>
    <col min="9" max="9" width="12.625" bestFit="1" customWidth="1"/>
    <col min="10" max="10" width="11.625" customWidth="1"/>
    <col min="11" max="11" width="11.625" bestFit="1" customWidth="1"/>
    <col min="12" max="12" width="11" customWidth="1"/>
    <col min="13" max="13" width="9.5" bestFit="1" customWidth="1"/>
    <col min="14" max="14" width="10.5" bestFit="1" customWidth="1"/>
    <col min="15" max="16" width="9.125" bestFit="1" customWidth="1"/>
    <col min="17" max="17" width="16.125" customWidth="1"/>
    <col min="18" max="18" width="14.5" customWidth="1"/>
    <col min="19" max="19" width="8.375" customWidth="1"/>
    <col min="20" max="26" width="11.125" customWidth="1"/>
  </cols>
  <sheetData>
    <row r="1" spans="1:26" ht="18" customHeight="1" x14ac:dyDescent="0.25">
      <c r="A1" s="1"/>
      <c r="B1" s="3"/>
      <c r="C1" s="1"/>
      <c r="D1" s="165">
        <v>2026</v>
      </c>
      <c r="E1" s="164"/>
      <c r="F1" s="164"/>
      <c r="G1" s="164"/>
      <c r="H1" s="164"/>
      <c r="I1" s="164"/>
      <c r="J1" s="164"/>
      <c r="K1" s="164"/>
      <c r="L1" s="164"/>
      <c r="M1" s="151">
        <v>2027</v>
      </c>
      <c r="N1" s="8"/>
      <c r="O1" s="8"/>
      <c r="P1" s="8"/>
      <c r="Q1" s="8"/>
      <c r="R1" s="8"/>
      <c r="S1" s="8"/>
      <c r="T1" s="5"/>
      <c r="U1" s="5"/>
      <c r="V1" s="5"/>
      <c r="W1" s="5"/>
      <c r="X1" s="5"/>
      <c r="Y1" s="5"/>
      <c r="Z1" s="5"/>
    </row>
    <row r="2" spans="1:26" ht="15.75" customHeight="1" x14ac:dyDescent="0.25">
      <c r="A2" s="10" t="s">
        <v>63</v>
      </c>
      <c r="B2" s="3"/>
      <c r="C2" s="1"/>
      <c r="D2" s="12" t="s">
        <v>1</v>
      </c>
      <c r="E2" s="12" t="s">
        <v>2</v>
      </c>
      <c r="F2" s="12" t="s">
        <v>3</v>
      </c>
      <c r="G2" s="12" t="s">
        <v>4</v>
      </c>
      <c r="H2" s="12" t="s">
        <v>5</v>
      </c>
      <c r="I2" s="12" t="s">
        <v>6</v>
      </c>
      <c r="J2" s="12" t="s">
        <v>7</v>
      </c>
      <c r="K2" s="12" t="s">
        <v>8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</v>
      </c>
      <c r="Q2" s="12" t="s">
        <v>2</v>
      </c>
      <c r="R2" s="12" t="s">
        <v>3</v>
      </c>
      <c r="S2" s="8"/>
      <c r="T2" s="5"/>
      <c r="U2" s="5"/>
      <c r="V2" s="5"/>
      <c r="W2" s="5"/>
      <c r="X2" s="5"/>
      <c r="Y2" s="5"/>
      <c r="Z2" s="5"/>
    </row>
    <row r="3" spans="1:26" ht="16.5" customHeight="1" thickBot="1" x14ac:dyDescent="0.3">
      <c r="A3" s="17"/>
      <c r="B3" s="19" t="s">
        <v>202</v>
      </c>
      <c r="C3" s="19">
        <f t="shared" ref="C3:C34" si="0">SUM(D3:L3)</f>
        <v>247056</v>
      </c>
      <c r="D3" s="24">
        <f t="shared" ref="D3:R3" si="1">SUM(D4:D130)</f>
        <v>0</v>
      </c>
      <c r="E3" s="24">
        <f t="shared" si="1"/>
        <v>0</v>
      </c>
      <c r="F3" s="24">
        <f t="shared" si="1"/>
        <v>0</v>
      </c>
      <c r="G3" s="24">
        <f t="shared" si="1"/>
        <v>54286</v>
      </c>
      <c r="H3" s="24">
        <f t="shared" si="1"/>
        <v>62720</v>
      </c>
      <c r="I3" s="24">
        <f t="shared" si="1"/>
        <v>59600</v>
      </c>
      <c r="J3" s="24">
        <f t="shared" si="1"/>
        <v>43700</v>
      </c>
      <c r="K3" s="24">
        <f t="shared" si="1"/>
        <v>18500</v>
      </c>
      <c r="L3" s="24">
        <f t="shared" si="1"/>
        <v>8250</v>
      </c>
      <c r="M3" s="24">
        <f t="shared" si="1"/>
        <v>150</v>
      </c>
      <c r="N3" s="24">
        <f t="shared" si="1"/>
        <v>90</v>
      </c>
      <c r="O3" s="24">
        <f t="shared" si="1"/>
        <v>210</v>
      </c>
      <c r="P3" s="24">
        <f t="shared" si="1"/>
        <v>970</v>
      </c>
      <c r="Q3" s="24">
        <f t="shared" si="1"/>
        <v>14432</v>
      </c>
      <c r="R3" s="24">
        <f t="shared" si="1"/>
        <v>35500</v>
      </c>
      <c r="S3" s="27"/>
      <c r="T3" s="5"/>
      <c r="U3" s="5"/>
      <c r="V3" s="5"/>
      <c r="W3" s="5"/>
      <c r="X3" s="5"/>
      <c r="Y3" s="5"/>
      <c r="Z3" s="5"/>
    </row>
    <row r="4" spans="1:26" ht="16.5" customHeight="1" thickTop="1" x14ac:dyDescent="0.25">
      <c r="A4" s="32">
        <v>57010192</v>
      </c>
      <c r="B4" s="33" t="s">
        <v>203</v>
      </c>
      <c r="C4" s="34">
        <f t="shared" si="0"/>
        <v>168600</v>
      </c>
      <c r="D4" s="35"/>
      <c r="E4" s="47"/>
      <c r="F4" s="35"/>
      <c r="G4" s="35">
        <v>37280</v>
      </c>
      <c r="H4" s="35">
        <v>45420</v>
      </c>
      <c r="I4" s="35">
        <v>43000</v>
      </c>
      <c r="J4" s="35">
        <v>27200</v>
      </c>
      <c r="K4" s="119">
        <v>15000</v>
      </c>
      <c r="L4" s="35">
        <v>700</v>
      </c>
      <c r="M4" s="35">
        <v>0</v>
      </c>
      <c r="N4" s="35">
        <v>0</v>
      </c>
      <c r="O4" s="35">
        <v>50</v>
      </c>
      <c r="P4" s="35">
        <v>520</v>
      </c>
      <c r="Q4" s="35">
        <v>7000</v>
      </c>
      <c r="R4" s="35">
        <v>19000</v>
      </c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25">
      <c r="A5" s="32">
        <v>57010192</v>
      </c>
      <c r="B5" s="42" t="s">
        <v>204</v>
      </c>
      <c r="C5" s="45">
        <f t="shared" si="0"/>
        <v>31917</v>
      </c>
      <c r="D5" s="47"/>
      <c r="E5" s="47"/>
      <c r="F5" s="47"/>
      <c r="G5" s="47">
        <v>6617</v>
      </c>
      <c r="H5" s="47">
        <v>6300</v>
      </c>
      <c r="I5" s="47">
        <v>5500</v>
      </c>
      <c r="J5" s="47">
        <v>6000</v>
      </c>
      <c r="K5" s="47">
        <v>0</v>
      </c>
      <c r="L5" s="47">
        <v>7500</v>
      </c>
      <c r="M5" s="47">
        <v>0</v>
      </c>
      <c r="N5" s="47">
        <v>0</v>
      </c>
      <c r="O5" s="47">
        <v>0</v>
      </c>
      <c r="P5" s="47">
        <v>0</v>
      </c>
      <c r="Q5" s="47">
        <v>2132</v>
      </c>
      <c r="R5" s="47">
        <v>5000</v>
      </c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5">
      <c r="A6" s="32">
        <v>414</v>
      </c>
      <c r="B6" s="42" t="s">
        <v>205</v>
      </c>
      <c r="C6" s="45">
        <f t="shared" si="0"/>
        <v>46539</v>
      </c>
      <c r="D6" s="117"/>
      <c r="E6" s="47"/>
      <c r="F6" s="47"/>
      <c r="G6" s="47">
        <v>10389</v>
      </c>
      <c r="H6" s="47">
        <v>11000</v>
      </c>
      <c r="I6" s="47">
        <v>11100</v>
      </c>
      <c r="J6" s="117">
        <v>10500</v>
      </c>
      <c r="K6" s="117">
        <v>3500</v>
      </c>
      <c r="L6" s="117">
        <v>50</v>
      </c>
      <c r="M6" s="117">
        <v>150</v>
      </c>
      <c r="N6" s="117">
        <v>90</v>
      </c>
      <c r="O6" s="117">
        <v>160</v>
      </c>
      <c r="P6" s="117">
        <v>450</v>
      </c>
      <c r="Q6" s="117">
        <v>5300</v>
      </c>
      <c r="R6" s="117">
        <v>11500</v>
      </c>
      <c r="S6" s="118"/>
      <c r="T6" s="5"/>
      <c r="U6" s="5"/>
      <c r="V6" s="5"/>
      <c r="W6" s="5"/>
      <c r="X6" s="5"/>
      <c r="Y6" s="5"/>
      <c r="Z6" s="5"/>
    </row>
    <row r="7" spans="1:26" ht="15.75" customHeight="1" x14ac:dyDescent="0.25">
      <c r="A7" s="32"/>
      <c r="B7" s="42"/>
      <c r="C7" s="45">
        <f t="shared" si="0"/>
        <v>0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5">
      <c r="A8" s="32"/>
      <c r="B8" s="42"/>
      <c r="C8" s="45">
        <f t="shared" si="0"/>
        <v>0</v>
      </c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5">
      <c r="A9" s="32"/>
      <c r="B9" s="60"/>
      <c r="C9" s="45">
        <f t="shared" si="0"/>
        <v>0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5">
      <c r="A10" s="32"/>
      <c r="B10" s="60"/>
      <c r="C10" s="45">
        <f t="shared" si="0"/>
        <v>0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5">
      <c r="A11" s="32"/>
      <c r="B11" s="60"/>
      <c r="C11" s="45">
        <f t="shared" si="0"/>
        <v>0</v>
      </c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5">
      <c r="A12" s="32"/>
      <c r="B12" s="60"/>
      <c r="C12" s="45">
        <f t="shared" si="0"/>
        <v>0</v>
      </c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5">
      <c r="A13" s="32"/>
      <c r="B13" s="60"/>
      <c r="C13" s="45">
        <f t="shared" si="0"/>
        <v>0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5">
      <c r="A14" s="32"/>
      <c r="B14" s="60"/>
      <c r="C14" s="45">
        <f t="shared" si="0"/>
        <v>0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5">
      <c r="A15" s="32"/>
      <c r="B15" s="60"/>
      <c r="C15" s="45">
        <f t="shared" si="0"/>
        <v>0</v>
      </c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5">
      <c r="A16" s="32"/>
      <c r="B16" s="60"/>
      <c r="C16" s="45">
        <f t="shared" si="0"/>
        <v>0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5">
      <c r="A17" s="32"/>
      <c r="B17" s="60"/>
      <c r="C17" s="45">
        <f t="shared" si="0"/>
        <v>0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5">
      <c r="A18" s="32"/>
      <c r="B18" s="60"/>
      <c r="C18" s="45">
        <f t="shared" si="0"/>
        <v>0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5">
      <c r="A19" s="32"/>
      <c r="B19" s="60"/>
      <c r="C19" s="45">
        <f t="shared" si="0"/>
        <v>0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5">
      <c r="A20" s="32"/>
      <c r="B20" s="60"/>
      <c r="C20" s="45">
        <f t="shared" si="0"/>
        <v>0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5">
      <c r="A21" s="32"/>
      <c r="B21" s="60"/>
      <c r="C21" s="45">
        <f t="shared" si="0"/>
        <v>0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5">
      <c r="A22" s="32"/>
      <c r="B22" s="60"/>
      <c r="C22" s="45">
        <f t="shared" si="0"/>
        <v>0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5">
      <c r="A23" s="32"/>
      <c r="B23" s="60"/>
      <c r="C23" s="45">
        <f t="shared" si="0"/>
        <v>0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5">
      <c r="A24" s="32"/>
      <c r="B24" s="60"/>
      <c r="C24" s="45">
        <f t="shared" si="0"/>
        <v>0</v>
      </c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5">
      <c r="A25" s="32"/>
      <c r="B25" s="60"/>
      <c r="C25" s="45">
        <f t="shared" si="0"/>
        <v>0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5">
      <c r="A26" s="32"/>
      <c r="B26" s="60"/>
      <c r="C26" s="45">
        <f t="shared" si="0"/>
        <v>0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5">
      <c r="A27" s="32"/>
      <c r="B27" s="60"/>
      <c r="C27" s="45">
        <f t="shared" si="0"/>
        <v>0</v>
      </c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5">
      <c r="A28" s="32"/>
      <c r="B28" s="60"/>
      <c r="C28" s="45">
        <f t="shared" si="0"/>
        <v>0</v>
      </c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5">
      <c r="A29" s="32"/>
      <c r="B29" s="60"/>
      <c r="C29" s="45">
        <f t="shared" si="0"/>
        <v>0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5">
      <c r="A30" s="32"/>
      <c r="B30" s="60"/>
      <c r="C30" s="45">
        <f t="shared" si="0"/>
        <v>0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5">
      <c r="A31" s="32"/>
      <c r="B31" s="60"/>
      <c r="C31" s="45">
        <f t="shared" si="0"/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5">
      <c r="A32" s="32"/>
      <c r="B32" s="60"/>
      <c r="C32" s="45">
        <f t="shared" si="0"/>
        <v>0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5">
      <c r="A33" s="32"/>
      <c r="B33" s="60"/>
      <c r="C33" s="45">
        <f t="shared" si="0"/>
        <v>0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5">
      <c r="A34" s="32"/>
      <c r="B34" s="60"/>
      <c r="C34" s="45">
        <f t="shared" si="0"/>
        <v>0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5">
      <c r="A35" s="32"/>
      <c r="B35" s="60"/>
      <c r="C35" s="45">
        <f t="shared" ref="C35:C64" si="2">SUM(D35:L35)</f>
        <v>0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5">
      <c r="A36" s="32"/>
      <c r="B36" s="60"/>
      <c r="C36" s="45">
        <f t="shared" si="2"/>
        <v>0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5">
      <c r="A37" s="32"/>
      <c r="B37" s="60"/>
      <c r="C37" s="45">
        <f t="shared" si="2"/>
        <v>0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5">
      <c r="A38" s="32"/>
      <c r="B38" s="60"/>
      <c r="C38" s="45">
        <f t="shared" si="2"/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5">
      <c r="A39" s="32"/>
      <c r="B39" s="60"/>
      <c r="C39" s="45">
        <f t="shared" si="2"/>
        <v>0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5">
      <c r="A40" s="32"/>
      <c r="B40" s="60"/>
      <c r="C40" s="45">
        <f t="shared" si="2"/>
        <v>0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5">
      <c r="A41" s="32"/>
      <c r="B41" s="60"/>
      <c r="C41" s="45">
        <f t="shared" si="2"/>
        <v>0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5">
      <c r="A42" s="32"/>
      <c r="B42" s="60"/>
      <c r="C42" s="45">
        <f t="shared" si="2"/>
        <v>0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5">
      <c r="A43" s="32"/>
      <c r="B43" s="60"/>
      <c r="C43" s="45">
        <f t="shared" si="2"/>
        <v>0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5">
      <c r="A44" s="32"/>
      <c r="B44" s="60"/>
      <c r="C44" s="45">
        <f t="shared" si="2"/>
        <v>0</v>
      </c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5">
      <c r="A45" s="32"/>
      <c r="B45" s="60"/>
      <c r="C45" s="45">
        <f t="shared" si="2"/>
        <v>0</v>
      </c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5">
      <c r="A46" s="32"/>
      <c r="B46" s="60"/>
      <c r="C46" s="45">
        <f t="shared" si="2"/>
        <v>0</v>
      </c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5">
      <c r="A47" s="32"/>
      <c r="B47" s="60"/>
      <c r="C47" s="45">
        <f t="shared" si="2"/>
        <v>0</v>
      </c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5">
      <c r="A48" s="32"/>
      <c r="B48" s="60"/>
      <c r="C48" s="45">
        <f t="shared" si="2"/>
        <v>0</v>
      </c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5">
      <c r="A49" s="32"/>
      <c r="B49" s="60"/>
      <c r="C49" s="45">
        <f t="shared" si="2"/>
        <v>0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5">
      <c r="A50" s="32"/>
      <c r="B50" s="60"/>
      <c r="C50" s="45">
        <f t="shared" si="2"/>
        <v>0</v>
      </c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5">
      <c r="A51" s="32"/>
      <c r="B51" s="60"/>
      <c r="C51" s="45">
        <f t="shared" si="2"/>
        <v>0</v>
      </c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5">
      <c r="A52" s="32"/>
      <c r="B52" s="60"/>
      <c r="C52" s="45">
        <f t="shared" si="2"/>
        <v>0</v>
      </c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5">
      <c r="A53" s="32"/>
      <c r="B53" s="60"/>
      <c r="C53" s="45">
        <f t="shared" si="2"/>
        <v>0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5">
      <c r="A54" s="32"/>
      <c r="B54" s="60"/>
      <c r="C54" s="45">
        <f t="shared" si="2"/>
        <v>0</v>
      </c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5">
      <c r="A55" s="32"/>
      <c r="B55" s="60"/>
      <c r="C55" s="45">
        <f t="shared" si="2"/>
        <v>0</v>
      </c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5">
      <c r="A56" s="32"/>
      <c r="B56" s="60"/>
      <c r="C56" s="45">
        <f t="shared" si="2"/>
        <v>0</v>
      </c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5">
      <c r="A57" s="32"/>
      <c r="B57" s="60"/>
      <c r="C57" s="45">
        <f t="shared" si="2"/>
        <v>0</v>
      </c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5">
      <c r="A58" s="32"/>
      <c r="B58" s="60"/>
      <c r="C58" s="45">
        <f t="shared" si="2"/>
        <v>0</v>
      </c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5">
      <c r="A59" s="32"/>
      <c r="B59" s="60"/>
      <c r="C59" s="45">
        <f t="shared" si="2"/>
        <v>0</v>
      </c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5">
      <c r="A60" s="32"/>
      <c r="B60" s="60"/>
      <c r="C60" s="45">
        <f t="shared" si="2"/>
        <v>0</v>
      </c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5">
      <c r="A61" s="32"/>
      <c r="B61" s="60"/>
      <c r="C61" s="45">
        <f t="shared" si="2"/>
        <v>0</v>
      </c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5">
      <c r="A62" s="32"/>
      <c r="B62" s="60"/>
      <c r="C62" s="45">
        <f t="shared" si="2"/>
        <v>0</v>
      </c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5">
      <c r="A63" s="32"/>
      <c r="B63" s="60"/>
      <c r="C63" s="45">
        <f t="shared" si="2"/>
        <v>0</v>
      </c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5">
      <c r="A64" s="32"/>
      <c r="B64" s="110"/>
      <c r="C64" s="45">
        <f t="shared" si="2"/>
        <v>0</v>
      </c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5">
      <c r="A65" s="5"/>
      <c r="B65" s="107"/>
      <c r="C65" s="5"/>
      <c r="D65" s="107"/>
      <c r="E65" s="107"/>
      <c r="F65" s="107"/>
      <c r="G65" s="107"/>
      <c r="H65" s="107"/>
      <c r="I65" s="107"/>
      <c r="J65" s="107"/>
      <c r="K65" s="107"/>
      <c r="L65" s="107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5">
      <c r="A66" s="5"/>
      <c r="B66" s="107"/>
      <c r="C66" s="5"/>
      <c r="D66" s="107"/>
      <c r="E66" s="107"/>
      <c r="F66" s="107"/>
      <c r="G66" s="107"/>
      <c r="H66" s="107"/>
      <c r="I66" s="107"/>
      <c r="J66" s="107"/>
      <c r="K66" s="107"/>
      <c r="L66" s="107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5">
      <c r="A67" s="5"/>
      <c r="B67" s="107"/>
      <c r="C67" s="5"/>
      <c r="D67" s="107"/>
      <c r="E67" s="107"/>
      <c r="F67" s="107"/>
      <c r="G67" s="107"/>
      <c r="H67" s="107"/>
      <c r="I67" s="107"/>
      <c r="J67" s="107"/>
      <c r="K67" s="107"/>
      <c r="L67" s="107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5">
      <c r="A68" s="5"/>
      <c r="B68" s="107"/>
      <c r="C68" s="5"/>
      <c r="D68" s="107"/>
      <c r="E68" s="107"/>
      <c r="F68" s="107"/>
      <c r="G68" s="107"/>
      <c r="H68" s="107"/>
      <c r="I68" s="107"/>
      <c r="J68" s="107"/>
      <c r="K68" s="107"/>
      <c r="L68" s="107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5">
      <c r="A69" s="5"/>
      <c r="B69" s="107"/>
      <c r="C69" s="5"/>
      <c r="D69" s="107"/>
      <c r="E69" s="107"/>
      <c r="F69" s="107"/>
      <c r="G69" s="107"/>
      <c r="H69" s="107"/>
      <c r="I69" s="107"/>
      <c r="J69" s="107"/>
      <c r="K69" s="107"/>
      <c r="L69" s="107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5">
      <c r="A70" s="5"/>
      <c r="B70" s="107"/>
      <c r="C70" s="5"/>
      <c r="D70" s="107"/>
      <c r="E70" s="107"/>
      <c r="F70" s="107"/>
      <c r="G70" s="107"/>
      <c r="H70" s="107"/>
      <c r="I70" s="107"/>
      <c r="J70" s="107"/>
      <c r="K70" s="107"/>
      <c r="L70" s="107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5">
      <c r="A71" s="5"/>
      <c r="B71" s="107"/>
      <c r="C71" s="5"/>
      <c r="D71" s="107"/>
      <c r="E71" s="107"/>
      <c r="F71" s="107"/>
      <c r="G71" s="107"/>
      <c r="H71" s="107"/>
      <c r="I71" s="107"/>
      <c r="J71" s="107"/>
      <c r="K71" s="107"/>
      <c r="L71" s="107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5">
      <c r="A72" s="5"/>
      <c r="B72" s="107"/>
      <c r="C72" s="5"/>
      <c r="D72" s="107"/>
      <c r="E72" s="107"/>
      <c r="F72" s="107"/>
      <c r="G72" s="107"/>
      <c r="H72" s="107"/>
      <c r="I72" s="107"/>
      <c r="J72" s="107"/>
      <c r="K72" s="107"/>
      <c r="L72" s="107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5">
      <c r="A73" s="5"/>
      <c r="B73" s="107"/>
      <c r="C73" s="5"/>
      <c r="D73" s="107"/>
      <c r="E73" s="107"/>
      <c r="F73" s="107"/>
      <c r="G73" s="107"/>
      <c r="H73" s="107"/>
      <c r="I73" s="107"/>
      <c r="J73" s="107"/>
      <c r="K73" s="107"/>
      <c r="L73" s="107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5">
      <c r="A74" s="5"/>
      <c r="B74" s="107"/>
      <c r="C74" s="5"/>
      <c r="D74" s="107"/>
      <c r="E74" s="107"/>
      <c r="F74" s="107"/>
      <c r="G74" s="107"/>
      <c r="H74" s="107"/>
      <c r="I74" s="107"/>
      <c r="J74" s="107"/>
      <c r="K74" s="107"/>
      <c r="L74" s="107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5">
      <c r="A75" s="5"/>
      <c r="B75" s="107"/>
      <c r="C75" s="5"/>
      <c r="D75" s="107"/>
      <c r="E75" s="107"/>
      <c r="F75" s="107"/>
      <c r="G75" s="107"/>
      <c r="H75" s="107"/>
      <c r="I75" s="107"/>
      <c r="J75" s="107"/>
      <c r="K75" s="107"/>
      <c r="L75" s="107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5">
      <c r="A76" s="5"/>
      <c r="B76" s="107"/>
      <c r="C76" s="5"/>
      <c r="D76" s="107"/>
      <c r="E76" s="107"/>
      <c r="F76" s="107"/>
      <c r="G76" s="107"/>
      <c r="H76" s="107"/>
      <c r="I76" s="107"/>
      <c r="J76" s="107"/>
      <c r="K76" s="107"/>
      <c r="L76" s="107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5">
      <c r="A77" s="5"/>
      <c r="B77" s="107"/>
      <c r="C77" s="5"/>
      <c r="D77" s="107"/>
      <c r="E77" s="107"/>
      <c r="F77" s="107"/>
      <c r="G77" s="107"/>
      <c r="H77" s="107"/>
      <c r="I77" s="107"/>
      <c r="J77" s="107"/>
      <c r="K77" s="107"/>
      <c r="L77" s="107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5">
      <c r="A78" s="5"/>
      <c r="B78" s="107"/>
      <c r="C78" s="5"/>
      <c r="D78" s="107"/>
      <c r="E78" s="107"/>
      <c r="F78" s="107"/>
      <c r="G78" s="107"/>
      <c r="H78" s="107"/>
      <c r="I78" s="107"/>
      <c r="J78" s="107"/>
      <c r="K78" s="107"/>
      <c r="L78" s="107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5">
      <c r="A79" s="5"/>
      <c r="B79" s="107"/>
      <c r="C79" s="5"/>
      <c r="D79" s="107"/>
      <c r="E79" s="107"/>
      <c r="F79" s="107"/>
      <c r="G79" s="107"/>
      <c r="H79" s="107"/>
      <c r="I79" s="107"/>
      <c r="J79" s="107"/>
      <c r="K79" s="107"/>
      <c r="L79" s="107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5">
      <c r="A80" s="5"/>
      <c r="B80" s="107"/>
      <c r="C80" s="5"/>
      <c r="D80" s="107"/>
      <c r="E80" s="107"/>
      <c r="F80" s="107"/>
      <c r="G80" s="107"/>
      <c r="H80" s="107"/>
      <c r="I80" s="107"/>
      <c r="J80" s="107"/>
      <c r="K80" s="107"/>
      <c r="L80" s="107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5">
      <c r="A81" s="5"/>
      <c r="B81" s="107"/>
      <c r="C81" s="5"/>
      <c r="D81" s="107"/>
      <c r="E81" s="107"/>
      <c r="F81" s="107"/>
      <c r="G81" s="107"/>
      <c r="H81" s="107"/>
      <c r="I81" s="107"/>
      <c r="J81" s="107"/>
      <c r="K81" s="107"/>
      <c r="L81" s="107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5">
      <c r="A82" s="5"/>
      <c r="B82" s="107"/>
      <c r="C82" s="5"/>
      <c r="D82" s="107"/>
      <c r="E82" s="107"/>
      <c r="F82" s="107"/>
      <c r="G82" s="107"/>
      <c r="H82" s="107"/>
      <c r="I82" s="107"/>
      <c r="J82" s="107"/>
      <c r="K82" s="107"/>
      <c r="L82" s="107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5">
      <c r="A83" s="5"/>
      <c r="B83" s="107"/>
      <c r="C83" s="5"/>
      <c r="D83" s="107"/>
      <c r="E83" s="107"/>
      <c r="F83" s="107"/>
      <c r="G83" s="107"/>
      <c r="H83" s="107"/>
      <c r="I83" s="107"/>
      <c r="J83" s="107"/>
      <c r="K83" s="107"/>
      <c r="L83" s="107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5">
      <c r="A84" s="5"/>
      <c r="B84" s="107"/>
      <c r="C84" s="5"/>
      <c r="D84" s="107"/>
      <c r="E84" s="107"/>
      <c r="F84" s="107"/>
      <c r="G84" s="107"/>
      <c r="H84" s="107"/>
      <c r="I84" s="107"/>
      <c r="J84" s="107"/>
      <c r="K84" s="107"/>
      <c r="L84" s="107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5">
      <c r="A85" s="5"/>
      <c r="B85" s="107"/>
      <c r="C85" s="5"/>
      <c r="D85" s="107"/>
      <c r="E85" s="107"/>
      <c r="F85" s="107"/>
      <c r="G85" s="107"/>
      <c r="H85" s="107"/>
      <c r="I85" s="107"/>
      <c r="J85" s="107"/>
      <c r="K85" s="107"/>
      <c r="L85" s="107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5">
      <c r="A86" s="5"/>
      <c r="B86" s="107"/>
      <c r="C86" s="5"/>
      <c r="D86" s="107"/>
      <c r="E86" s="107"/>
      <c r="F86" s="107"/>
      <c r="G86" s="107"/>
      <c r="H86" s="107"/>
      <c r="I86" s="107"/>
      <c r="J86" s="107"/>
      <c r="K86" s="107"/>
      <c r="L86" s="107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5">
      <c r="A87" s="5"/>
      <c r="B87" s="107"/>
      <c r="C87" s="5"/>
      <c r="D87" s="107"/>
      <c r="E87" s="107"/>
      <c r="F87" s="107"/>
      <c r="G87" s="107"/>
      <c r="H87" s="107"/>
      <c r="I87" s="107"/>
      <c r="J87" s="107"/>
      <c r="K87" s="107"/>
      <c r="L87" s="107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5">
      <c r="A88" s="5"/>
      <c r="B88" s="107"/>
      <c r="C88" s="5"/>
      <c r="D88" s="107"/>
      <c r="E88" s="107"/>
      <c r="F88" s="107"/>
      <c r="G88" s="107"/>
      <c r="H88" s="107"/>
      <c r="I88" s="107"/>
      <c r="J88" s="107"/>
      <c r="K88" s="107"/>
      <c r="L88" s="107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5">
      <c r="A89" s="5"/>
      <c r="B89" s="107"/>
      <c r="C89" s="5"/>
      <c r="D89" s="107"/>
      <c r="E89" s="107"/>
      <c r="F89" s="107"/>
      <c r="G89" s="107"/>
      <c r="H89" s="107"/>
      <c r="I89" s="107"/>
      <c r="J89" s="107"/>
      <c r="K89" s="107"/>
      <c r="L89" s="107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5">
      <c r="A90" s="5"/>
      <c r="B90" s="107"/>
      <c r="C90" s="5"/>
      <c r="D90" s="107"/>
      <c r="E90" s="107"/>
      <c r="F90" s="107"/>
      <c r="G90" s="107"/>
      <c r="H90" s="107"/>
      <c r="I90" s="107"/>
      <c r="J90" s="107"/>
      <c r="K90" s="107"/>
      <c r="L90" s="107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5">
      <c r="A91" s="5"/>
      <c r="B91" s="107"/>
      <c r="C91" s="5"/>
      <c r="D91" s="107"/>
      <c r="E91" s="107"/>
      <c r="F91" s="107"/>
      <c r="G91" s="107"/>
      <c r="H91" s="107"/>
      <c r="I91" s="107"/>
      <c r="J91" s="107"/>
      <c r="K91" s="107"/>
      <c r="L91" s="107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5">
      <c r="A92" s="5"/>
      <c r="B92" s="107"/>
      <c r="C92" s="5"/>
      <c r="D92" s="107"/>
      <c r="E92" s="107"/>
      <c r="F92" s="107"/>
      <c r="G92" s="107"/>
      <c r="H92" s="107"/>
      <c r="I92" s="107"/>
      <c r="J92" s="107"/>
      <c r="K92" s="107"/>
      <c r="L92" s="107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5">
      <c r="A93" s="5"/>
      <c r="B93" s="107"/>
      <c r="C93" s="5"/>
      <c r="D93" s="107"/>
      <c r="E93" s="107"/>
      <c r="F93" s="107"/>
      <c r="G93" s="107"/>
      <c r="H93" s="107"/>
      <c r="I93" s="107"/>
      <c r="J93" s="107"/>
      <c r="K93" s="107"/>
      <c r="L93" s="107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5">
      <c r="A94" s="5"/>
      <c r="B94" s="107"/>
      <c r="C94" s="5"/>
      <c r="D94" s="107"/>
      <c r="E94" s="107"/>
      <c r="F94" s="107"/>
      <c r="G94" s="107"/>
      <c r="H94" s="107"/>
      <c r="I94" s="107"/>
      <c r="J94" s="107"/>
      <c r="K94" s="107"/>
      <c r="L94" s="107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5">
      <c r="A95" s="5"/>
      <c r="B95" s="107"/>
      <c r="C95" s="5"/>
      <c r="D95" s="107"/>
      <c r="E95" s="107"/>
      <c r="F95" s="107"/>
      <c r="G95" s="107"/>
      <c r="H95" s="107"/>
      <c r="I95" s="107"/>
      <c r="J95" s="107"/>
      <c r="K95" s="107"/>
      <c r="L95" s="107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5">
      <c r="A96" s="5"/>
      <c r="B96" s="107"/>
      <c r="C96" s="5"/>
      <c r="D96" s="107"/>
      <c r="E96" s="107"/>
      <c r="F96" s="107"/>
      <c r="G96" s="107"/>
      <c r="H96" s="107"/>
      <c r="I96" s="107"/>
      <c r="J96" s="107"/>
      <c r="K96" s="107"/>
      <c r="L96" s="107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5">
      <c r="A97" s="5"/>
      <c r="B97" s="107"/>
      <c r="C97" s="5"/>
      <c r="D97" s="107"/>
      <c r="E97" s="107"/>
      <c r="F97" s="107"/>
      <c r="G97" s="107"/>
      <c r="H97" s="107"/>
      <c r="I97" s="107"/>
      <c r="J97" s="107"/>
      <c r="K97" s="107"/>
      <c r="L97" s="107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5">
      <c r="A98" s="5"/>
      <c r="B98" s="107"/>
      <c r="C98" s="5"/>
      <c r="D98" s="107"/>
      <c r="E98" s="107"/>
      <c r="F98" s="107"/>
      <c r="G98" s="107"/>
      <c r="H98" s="107"/>
      <c r="I98" s="107"/>
      <c r="J98" s="107"/>
      <c r="K98" s="107"/>
      <c r="L98" s="107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5">
      <c r="A99" s="5"/>
      <c r="B99" s="107"/>
      <c r="C99" s="5"/>
      <c r="D99" s="107"/>
      <c r="E99" s="107"/>
      <c r="F99" s="107"/>
      <c r="G99" s="107"/>
      <c r="H99" s="107"/>
      <c r="I99" s="107"/>
      <c r="J99" s="107"/>
      <c r="K99" s="107"/>
      <c r="L99" s="107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5">
      <c r="A100" s="5"/>
      <c r="B100" s="107"/>
      <c r="C100" s="5"/>
      <c r="D100" s="107"/>
      <c r="E100" s="107"/>
      <c r="F100" s="107"/>
      <c r="G100" s="107"/>
      <c r="H100" s="107"/>
      <c r="I100" s="107"/>
      <c r="J100" s="107"/>
      <c r="K100" s="107"/>
      <c r="L100" s="107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5">
      <c r="A101" s="5"/>
      <c r="B101" s="107"/>
      <c r="C101" s="5"/>
      <c r="D101" s="107"/>
      <c r="E101" s="107"/>
      <c r="F101" s="107"/>
      <c r="G101" s="107"/>
      <c r="H101" s="107"/>
      <c r="I101" s="107"/>
      <c r="J101" s="107"/>
      <c r="K101" s="107"/>
      <c r="L101" s="107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5">
      <c r="A102" s="5"/>
      <c r="B102" s="107"/>
      <c r="C102" s="5"/>
      <c r="D102" s="107"/>
      <c r="E102" s="107"/>
      <c r="F102" s="107"/>
      <c r="G102" s="107"/>
      <c r="H102" s="107"/>
      <c r="I102" s="107"/>
      <c r="J102" s="107"/>
      <c r="K102" s="107"/>
      <c r="L102" s="107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5">
      <c r="A103" s="5"/>
      <c r="B103" s="107"/>
      <c r="C103" s="5"/>
      <c r="D103" s="107"/>
      <c r="E103" s="107"/>
      <c r="F103" s="107"/>
      <c r="G103" s="107"/>
      <c r="H103" s="107"/>
      <c r="I103" s="107"/>
      <c r="J103" s="107"/>
      <c r="K103" s="107"/>
      <c r="L103" s="107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5">
      <c r="A104" s="5"/>
      <c r="B104" s="107"/>
      <c r="C104" s="5"/>
      <c r="D104" s="107"/>
      <c r="E104" s="107"/>
      <c r="F104" s="107"/>
      <c r="G104" s="107"/>
      <c r="H104" s="107"/>
      <c r="I104" s="107"/>
      <c r="J104" s="107"/>
      <c r="K104" s="107"/>
      <c r="L104" s="107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5">
      <c r="A105" s="5"/>
      <c r="B105" s="107"/>
      <c r="C105" s="5"/>
      <c r="D105" s="107"/>
      <c r="E105" s="107"/>
      <c r="F105" s="107"/>
      <c r="G105" s="107"/>
      <c r="H105" s="107"/>
      <c r="I105" s="107"/>
      <c r="J105" s="107"/>
      <c r="K105" s="107"/>
      <c r="L105" s="107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5">
      <c r="A106" s="5"/>
      <c r="B106" s="107"/>
      <c r="C106" s="5"/>
      <c r="D106" s="107"/>
      <c r="E106" s="107"/>
      <c r="F106" s="107"/>
      <c r="G106" s="107"/>
      <c r="H106" s="107"/>
      <c r="I106" s="107"/>
      <c r="J106" s="107"/>
      <c r="K106" s="107"/>
      <c r="L106" s="107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5">
      <c r="A107" s="5"/>
      <c r="B107" s="107"/>
      <c r="C107" s="5"/>
      <c r="D107" s="107"/>
      <c r="E107" s="107"/>
      <c r="F107" s="107"/>
      <c r="G107" s="107"/>
      <c r="H107" s="107"/>
      <c r="I107" s="107"/>
      <c r="J107" s="107"/>
      <c r="K107" s="107"/>
      <c r="L107" s="107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5">
      <c r="A108" s="5"/>
      <c r="B108" s="107"/>
      <c r="C108" s="5"/>
      <c r="D108" s="107"/>
      <c r="E108" s="107"/>
      <c r="F108" s="107"/>
      <c r="G108" s="107"/>
      <c r="H108" s="107"/>
      <c r="I108" s="107"/>
      <c r="J108" s="107"/>
      <c r="K108" s="107"/>
      <c r="L108" s="107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5">
      <c r="A109" s="5"/>
      <c r="B109" s="107"/>
      <c r="C109" s="5"/>
      <c r="D109" s="107"/>
      <c r="E109" s="107"/>
      <c r="F109" s="107"/>
      <c r="G109" s="107"/>
      <c r="H109" s="107"/>
      <c r="I109" s="107"/>
      <c r="J109" s="107"/>
      <c r="K109" s="107"/>
      <c r="L109" s="107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5">
      <c r="A110" s="5"/>
      <c r="B110" s="107"/>
      <c r="C110" s="5"/>
      <c r="D110" s="107"/>
      <c r="E110" s="107"/>
      <c r="F110" s="107"/>
      <c r="G110" s="107"/>
      <c r="H110" s="107"/>
      <c r="I110" s="107"/>
      <c r="J110" s="107"/>
      <c r="K110" s="107"/>
      <c r="L110" s="107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5">
      <c r="A111" s="5"/>
      <c r="B111" s="107"/>
      <c r="C111" s="5"/>
      <c r="D111" s="107"/>
      <c r="E111" s="107"/>
      <c r="F111" s="107"/>
      <c r="G111" s="107"/>
      <c r="H111" s="107"/>
      <c r="I111" s="107"/>
      <c r="J111" s="107"/>
      <c r="K111" s="107"/>
      <c r="L111" s="107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5">
      <c r="A112" s="5"/>
      <c r="B112" s="107"/>
      <c r="C112" s="5"/>
      <c r="D112" s="107"/>
      <c r="E112" s="107"/>
      <c r="F112" s="107"/>
      <c r="G112" s="107"/>
      <c r="H112" s="107"/>
      <c r="I112" s="107"/>
      <c r="J112" s="107"/>
      <c r="K112" s="107"/>
      <c r="L112" s="107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5">
      <c r="A113" s="5"/>
      <c r="B113" s="107"/>
      <c r="C113" s="5"/>
      <c r="D113" s="107"/>
      <c r="E113" s="107"/>
      <c r="F113" s="107"/>
      <c r="G113" s="107"/>
      <c r="H113" s="107"/>
      <c r="I113" s="107"/>
      <c r="J113" s="107"/>
      <c r="K113" s="107"/>
      <c r="L113" s="107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5">
      <c r="A114" s="5"/>
      <c r="B114" s="107"/>
      <c r="C114" s="5"/>
      <c r="D114" s="107"/>
      <c r="E114" s="107"/>
      <c r="F114" s="107"/>
      <c r="G114" s="107"/>
      <c r="H114" s="107"/>
      <c r="I114" s="107"/>
      <c r="J114" s="107"/>
      <c r="K114" s="107"/>
      <c r="L114" s="107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5">
      <c r="A115" s="5"/>
      <c r="B115" s="107"/>
      <c r="C115" s="5"/>
      <c r="D115" s="107"/>
      <c r="E115" s="107"/>
      <c r="F115" s="107"/>
      <c r="G115" s="107"/>
      <c r="H115" s="107"/>
      <c r="I115" s="107"/>
      <c r="J115" s="107"/>
      <c r="K115" s="107"/>
      <c r="L115" s="107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5">
      <c r="A116" s="5"/>
      <c r="B116" s="107"/>
      <c r="C116" s="5"/>
      <c r="D116" s="107"/>
      <c r="E116" s="107"/>
      <c r="F116" s="107"/>
      <c r="G116" s="107"/>
      <c r="H116" s="107"/>
      <c r="I116" s="107"/>
      <c r="J116" s="107"/>
      <c r="K116" s="107"/>
      <c r="L116" s="107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5">
      <c r="A117" s="5"/>
      <c r="B117" s="107"/>
      <c r="C117" s="5"/>
      <c r="D117" s="107"/>
      <c r="E117" s="107"/>
      <c r="F117" s="107"/>
      <c r="G117" s="107"/>
      <c r="H117" s="107"/>
      <c r="I117" s="107"/>
      <c r="J117" s="107"/>
      <c r="K117" s="107"/>
      <c r="L117" s="107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5">
      <c r="A118" s="5"/>
      <c r="B118" s="107"/>
      <c r="C118" s="5"/>
      <c r="D118" s="107"/>
      <c r="E118" s="107"/>
      <c r="F118" s="107"/>
      <c r="G118" s="107"/>
      <c r="H118" s="107"/>
      <c r="I118" s="107"/>
      <c r="J118" s="107"/>
      <c r="K118" s="107"/>
      <c r="L118" s="107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5">
      <c r="A119" s="5"/>
      <c r="B119" s="107"/>
      <c r="C119" s="5"/>
      <c r="D119" s="107"/>
      <c r="E119" s="107"/>
      <c r="F119" s="107"/>
      <c r="G119" s="107"/>
      <c r="H119" s="107"/>
      <c r="I119" s="107"/>
      <c r="J119" s="107"/>
      <c r="K119" s="107"/>
      <c r="L119" s="107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5">
      <c r="A120" s="5"/>
      <c r="B120" s="107"/>
      <c r="C120" s="5"/>
      <c r="D120" s="107"/>
      <c r="E120" s="107"/>
      <c r="F120" s="107"/>
      <c r="G120" s="107"/>
      <c r="H120" s="107"/>
      <c r="I120" s="107"/>
      <c r="J120" s="107"/>
      <c r="K120" s="107"/>
      <c r="L120" s="107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5">
      <c r="A121" s="5"/>
      <c r="B121" s="107"/>
      <c r="C121" s="5"/>
      <c r="D121" s="107"/>
      <c r="E121" s="107"/>
      <c r="F121" s="107"/>
      <c r="G121" s="107"/>
      <c r="H121" s="107"/>
      <c r="I121" s="107"/>
      <c r="J121" s="107"/>
      <c r="K121" s="107"/>
      <c r="L121" s="107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5">
      <c r="A122" s="5"/>
      <c r="B122" s="107"/>
      <c r="C122" s="5"/>
      <c r="D122" s="107"/>
      <c r="E122" s="107"/>
      <c r="F122" s="107"/>
      <c r="G122" s="107"/>
      <c r="H122" s="107"/>
      <c r="I122" s="107"/>
      <c r="J122" s="107"/>
      <c r="K122" s="107"/>
      <c r="L122" s="107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5">
      <c r="A123" s="5"/>
      <c r="B123" s="107"/>
      <c r="C123" s="5"/>
      <c r="D123" s="107"/>
      <c r="E123" s="107"/>
      <c r="F123" s="107"/>
      <c r="G123" s="107"/>
      <c r="H123" s="107"/>
      <c r="I123" s="107"/>
      <c r="J123" s="107"/>
      <c r="K123" s="107"/>
      <c r="L123" s="107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5">
      <c r="A124" s="5"/>
      <c r="B124" s="107"/>
      <c r="C124" s="5"/>
      <c r="D124" s="107"/>
      <c r="E124" s="107"/>
      <c r="F124" s="107"/>
      <c r="G124" s="107"/>
      <c r="H124" s="107"/>
      <c r="I124" s="107"/>
      <c r="J124" s="107"/>
      <c r="K124" s="107"/>
      <c r="L124" s="107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5">
      <c r="A125" s="5"/>
      <c r="B125" s="107"/>
      <c r="C125" s="5"/>
      <c r="D125" s="107"/>
      <c r="E125" s="107"/>
      <c r="F125" s="107"/>
      <c r="G125" s="107"/>
      <c r="H125" s="107"/>
      <c r="I125" s="107"/>
      <c r="J125" s="107"/>
      <c r="K125" s="107"/>
      <c r="L125" s="107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5">
      <c r="A126" s="5"/>
      <c r="B126" s="107"/>
      <c r="C126" s="5"/>
      <c r="D126" s="107"/>
      <c r="E126" s="107"/>
      <c r="F126" s="107"/>
      <c r="G126" s="107"/>
      <c r="H126" s="107"/>
      <c r="I126" s="107"/>
      <c r="J126" s="107"/>
      <c r="K126" s="107"/>
      <c r="L126" s="107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5">
      <c r="A127" s="5"/>
      <c r="B127" s="107"/>
      <c r="C127" s="5"/>
      <c r="D127" s="107"/>
      <c r="E127" s="107"/>
      <c r="F127" s="107"/>
      <c r="G127" s="107"/>
      <c r="H127" s="107"/>
      <c r="I127" s="107"/>
      <c r="J127" s="107"/>
      <c r="K127" s="107"/>
      <c r="L127" s="107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5">
      <c r="A128" s="5"/>
      <c r="B128" s="107"/>
      <c r="C128" s="5"/>
      <c r="D128" s="107"/>
      <c r="E128" s="107"/>
      <c r="F128" s="107"/>
      <c r="G128" s="107"/>
      <c r="H128" s="107"/>
      <c r="I128" s="107"/>
      <c r="J128" s="107"/>
      <c r="K128" s="107"/>
      <c r="L128" s="107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5">
      <c r="A129" s="5"/>
      <c r="B129" s="107"/>
      <c r="C129" s="5"/>
      <c r="D129" s="107"/>
      <c r="E129" s="107"/>
      <c r="F129" s="107"/>
      <c r="G129" s="107"/>
      <c r="H129" s="107"/>
      <c r="I129" s="107"/>
      <c r="J129" s="107"/>
      <c r="K129" s="107"/>
      <c r="L129" s="107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5">
      <c r="A130" s="5"/>
      <c r="B130" s="107"/>
      <c r="C130" s="5"/>
      <c r="D130" s="107"/>
      <c r="E130" s="107"/>
      <c r="F130" s="107"/>
      <c r="G130" s="107"/>
      <c r="H130" s="107"/>
      <c r="I130" s="107"/>
      <c r="J130" s="107"/>
      <c r="K130" s="107"/>
      <c r="L130" s="107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5">
      <c r="A131" s="5"/>
      <c r="B131" s="107"/>
      <c r="C131" s="5"/>
      <c r="D131" s="107"/>
      <c r="E131" s="107"/>
      <c r="F131" s="107"/>
      <c r="G131" s="107"/>
      <c r="H131" s="107"/>
      <c r="I131" s="107"/>
      <c r="J131" s="107"/>
      <c r="K131" s="107"/>
      <c r="L131" s="107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5">
      <c r="A132" s="5"/>
      <c r="B132" s="107"/>
      <c r="C132" s="5"/>
      <c r="D132" s="107"/>
      <c r="E132" s="107"/>
      <c r="F132" s="107"/>
      <c r="G132" s="107"/>
      <c r="H132" s="107"/>
      <c r="I132" s="107"/>
      <c r="J132" s="107"/>
      <c r="K132" s="107"/>
      <c r="L132" s="107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5">
      <c r="A133" s="5"/>
      <c r="B133" s="107"/>
      <c r="C133" s="5"/>
      <c r="D133" s="107"/>
      <c r="E133" s="107"/>
      <c r="F133" s="107"/>
      <c r="G133" s="107"/>
      <c r="H133" s="107"/>
      <c r="I133" s="107"/>
      <c r="J133" s="107"/>
      <c r="K133" s="107"/>
      <c r="L133" s="107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5">
      <c r="A134" s="5"/>
      <c r="B134" s="107"/>
      <c r="C134" s="5"/>
      <c r="D134" s="107"/>
      <c r="E134" s="107"/>
      <c r="F134" s="107"/>
      <c r="G134" s="107"/>
      <c r="H134" s="107"/>
      <c r="I134" s="107"/>
      <c r="J134" s="107"/>
      <c r="K134" s="107"/>
      <c r="L134" s="107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5">
      <c r="A135" s="5"/>
      <c r="B135" s="107"/>
      <c r="C135" s="5"/>
      <c r="D135" s="107"/>
      <c r="E135" s="107"/>
      <c r="F135" s="107"/>
      <c r="G135" s="107"/>
      <c r="H135" s="107"/>
      <c r="I135" s="107"/>
      <c r="J135" s="107"/>
      <c r="K135" s="107"/>
      <c r="L135" s="107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5">
      <c r="A136" s="5"/>
      <c r="B136" s="107"/>
      <c r="C136" s="5"/>
      <c r="D136" s="107"/>
      <c r="E136" s="107"/>
      <c r="F136" s="107"/>
      <c r="G136" s="107"/>
      <c r="H136" s="107"/>
      <c r="I136" s="107"/>
      <c r="J136" s="107"/>
      <c r="K136" s="107"/>
      <c r="L136" s="107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5">
      <c r="A137" s="5"/>
      <c r="B137" s="107"/>
      <c r="C137" s="5"/>
      <c r="D137" s="107"/>
      <c r="E137" s="107"/>
      <c r="F137" s="107"/>
      <c r="G137" s="107"/>
      <c r="H137" s="107"/>
      <c r="I137" s="107"/>
      <c r="J137" s="107"/>
      <c r="K137" s="107"/>
      <c r="L137" s="107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5">
      <c r="A138" s="5"/>
      <c r="B138" s="107"/>
      <c r="C138" s="5"/>
      <c r="D138" s="107"/>
      <c r="E138" s="107"/>
      <c r="F138" s="107"/>
      <c r="G138" s="107"/>
      <c r="H138" s="107"/>
      <c r="I138" s="107"/>
      <c r="J138" s="107"/>
      <c r="K138" s="107"/>
      <c r="L138" s="107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5">
      <c r="A139" s="5"/>
      <c r="B139" s="107"/>
      <c r="C139" s="5"/>
      <c r="D139" s="107"/>
      <c r="E139" s="107"/>
      <c r="F139" s="107"/>
      <c r="G139" s="107"/>
      <c r="H139" s="107"/>
      <c r="I139" s="107"/>
      <c r="J139" s="107"/>
      <c r="K139" s="107"/>
      <c r="L139" s="107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5">
      <c r="A140" s="5"/>
      <c r="B140" s="107"/>
      <c r="C140" s="5"/>
      <c r="D140" s="107"/>
      <c r="E140" s="107"/>
      <c r="F140" s="107"/>
      <c r="G140" s="107"/>
      <c r="H140" s="107"/>
      <c r="I140" s="107"/>
      <c r="J140" s="107"/>
      <c r="K140" s="107"/>
      <c r="L140" s="107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5">
      <c r="A141" s="5"/>
      <c r="B141" s="107"/>
      <c r="C141" s="5"/>
      <c r="D141" s="107"/>
      <c r="E141" s="107"/>
      <c r="F141" s="107"/>
      <c r="G141" s="107"/>
      <c r="H141" s="107"/>
      <c r="I141" s="107"/>
      <c r="J141" s="107"/>
      <c r="K141" s="107"/>
      <c r="L141" s="107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5">
      <c r="A142" s="5"/>
      <c r="B142" s="107"/>
      <c r="C142" s="5"/>
      <c r="D142" s="107"/>
      <c r="E142" s="107"/>
      <c r="F142" s="107"/>
      <c r="G142" s="107"/>
      <c r="H142" s="107"/>
      <c r="I142" s="107"/>
      <c r="J142" s="107"/>
      <c r="K142" s="107"/>
      <c r="L142" s="107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5">
      <c r="A143" s="5"/>
      <c r="B143" s="107"/>
      <c r="C143" s="5"/>
      <c r="D143" s="107"/>
      <c r="E143" s="107"/>
      <c r="F143" s="107"/>
      <c r="G143" s="107"/>
      <c r="H143" s="107"/>
      <c r="I143" s="107"/>
      <c r="J143" s="107"/>
      <c r="K143" s="107"/>
      <c r="L143" s="107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5">
      <c r="A144" s="5"/>
      <c r="B144" s="107"/>
      <c r="C144" s="5"/>
      <c r="D144" s="107"/>
      <c r="E144" s="107"/>
      <c r="F144" s="107"/>
      <c r="G144" s="107"/>
      <c r="H144" s="107"/>
      <c r="I144" s="107"/>
      <c r="J144" s="107"/>
      <c r="K144" s="107"/>
      <c r="L144" s="107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5">
      <c r="A145" s="5"/>
      <c r="B145" s="107"/>
      <c r="C145" s="5"/>
      <c r="D145" s="107"/>
      <c r="E145" s="107"/>
      <c r="F145" s="107"/>
      <c r="G145" s="107"/>
      <c r="H145" s="107"/>
      <c r="I145" s="107"/>
      <c r="J145" s="107"/>
      <c r="K145" s="107"/>
      <c r="L145" s="107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5">
      <c r="A146" s="5"/>
      <c r="B146" s="107"/>
      <c r="C146" s="5"/>
      <c r="D146" s="107"/>
      <c r="E146" s="107"/>
      <c r="F146" s="107"/>
      <c r="G146" s="107"/>
      <c r="H146" s="107"/>
      <c r="I146" s="107"/>
      <c r="J146" s="107"/>
      <c r="K146" s="107"/>
      <c r="L146" s="107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5">
      <c r="A147" s="5"/>
      <c r="B147" s="107"/>
      <c r="C147" s="5"/>
      <c r="D147" s="107"/>
      <c r="E147" s="107"/>
      <c r="F147" s="107"/>
      <c r="G147" s="107"/>
      <c r="H147" s="107"/>
      <c r="I147" s="107"/>
      <c r="J147" s="107"/>
      <c r="K147" s="107"/>
      <c r="L147" s="107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5">
      <c r="A148" s="5"/>
      <c r="B148" s="107"/>
      <c r="C148" s="5"/>
      <c r="D148" s="107"/>
      <c r="E148" s="107"/>
      <c r="F148" s="107"/>
      <c r="G148" s="107"/>
      <c r="H148" s="107"/>
      <c r="I148" s="107"/>
      <c r="J148" s="107"/>
      <c r="K148" s="107"/>
      <c r="L148" s="107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5">
      <c r="A149" s="5"/>
      <c r="B149" s="107"/>
      <c r="C149" s="5"/>
      <c r="D149" s="107"/>
      <c r="E149" s="107"/>
      <c r="F149" s="107"/>
      <c r="G149" s="107"/>
      <c r="H149" s="107"/>
      <c r="I149" s="107"/>
      <c r="J149" s="107"/>
      <c r="K149" s="107"/>
      <c r="L149" s="107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5">
      <c r="A150" s="5"/>
      <c r="B150" s="107"/>
      <c r="C150" s="5"/>
      <c r="D150" s="107"/>
      <c r="E150" s="107"/>
      <c r="F150" s="107"/>
      <c r="G150" s="107"/>
      <c r="H150" s="107"/>
      <c r="I150" s="107"/>
      <c r="J150" s="107"/>
      <c r="K150" s="107"/>
      <c r="L150" s="107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5">
      <c r="A151" s="5"/>
      <c r="B151" s="107"/>
      <c r="C151" s="5"/>
      <c r="D151" s="107"/>
      <c r="E151" s="107"/>
      <c r="F151" s="107"/>
      <c r="G151" s="107"/>
      <c r="H151" s="107"/>
      <c r="I151" s="107"/>
      <c r="J151" s="107"/>
      <c r="K151" s="107"/>
      <c r="L151" s="107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5">
      <c r="A152" s="5"/>
      <c r="B152" s="107"/>
      <c r="C152" s="5"/>
      <c r="D152" s="107"/>
      <c r="E152" s="107"/>
      <c r="F152" s="107"/>
      <c r="G152" s="107"/>
      <c r="H152" s="107"/>
      <c r="I152" s="107"/>
      <c r="J152" s="107"/>
      <c r="K152" s="107"/>
      <c r="L152" s="107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5">
      <c r="A153" s="5"/>
      <c r="B153" s="107"/>
      <c r="C153" s="5"/>
      <c r="D153" s="107"/>
      <c r="E153" s="107"/>
      <c r="F153" s="107"/>
      <c r="G153" s="107"/>
      <c r="H153" s="107"/>
      <c r="I153" s="107"/>
      <c r="J153" s="107"/>
      <c r="K153" s="107"/>
      <c r="L153" s="107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5">
      <c r="A154" s="5"/>
      <c r="B154" s="107"/>
      <c r="C154" s="5"/>
      <c r="D154" s="107"/>
      <c r="E154" s="107"/>
      <c r="F154" s="107"/>
      <c r="G154" s="107"/>
      <c r="H154" s="107"/>
      <c r="I154" s="107"/>
      <c r="J154" s="107"/>
      <c r="K154" s="107"/>
      <c r="L154" s="107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5">
      <c r="A155" s="5"/>
      <c r="B155" s="107"/>
      <c r="C155" s="5"/>
      <c r="D155" s="107"/>
      <c r="E155" s="107"/>
      <c r="F155" s="107"/>
      <c r="G155" s="107"/>
      <c r="H155" s="107"/>
      <c r="I155" s="107"/>
      <c r="J155" s="107"/>
      <c r="K155" s="107"/>
      <c r="L155" s="107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5">
      <c r="A156" s="5"/>
      <c r="B156" s="107"/>
      <c r="C156" s="5"/>
      <c r="D156" s="107"/>
      <c r="E156" s="107"/>
      <c r="F156" s="107"/>
      <c r="G156" s="107"/>
      <c r="H156" s="107"/>
      <c r="I156" s="107"/>
      <c r="J156" s="107"/>
      <c r="K156" s="107"/>
      <c r="L156" s="107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5">
      <c r="A157" s="5"/>
      <c r="B157" s="107"/>
      <c r="C157" s="5"/>
      <c r="D157" s="107"/>
      <c r="E157" s="107"/>
      <c r="F157" s="107"/>
      <c r="G157" s="107"/>
      <c r="H157" s="107"/>
      <c r="I157" s="107"/>
      <c r="J157" s="107"/>
      <c r="K157" s="107"/>
      <c r="L157" s="107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5">
      <c r="A158" s="5"/>
      <c r="B158" s="107"/>
      <c r="C158" s="5"/>
      <c r="D158" s="107"/>
      <c r="E158" s="107"/>
      <c r="F158" s="107"/>
      <c r="G158" s="107"/>
      <c r="H158" s="107"/>
      <c r="I158" s="107"/>
      <c r="J158" s="107"/>
      <c r="K158" s="107"/>
      <c r="L158" s="107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5">
      <c r="A159" s="5"/>
      <c r="B159" s="107"/>
      <c r="C159" s="5"/>
      <c r="D159" s="107"/>
      <c r="E159" s="107"/>
      <c r="F159" s="107"/>
      <c r="G159" s="107"/>
      <c r="H159" s="107"/>
      <c r="I159" s="107"/>
      <c r="J159" s="107"/>
      <c r="K159" s="107"/>
      <c r="L159" s="107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5">
      <c r="A160" s="5"/>
      <c r="B160" s="107"/>
      <c r="C160" s="5"/>
      <c r="D160" s="107"/>
      <c r="E160" s="107"/>
      <c r="F160" s="107"/>
      <c r="G160" s="107"/>
      <c r="H160" s="107"/>
      <c r="I160" s="107"/>
      <c r="J160" s="107"/>
      <c r="K160" s="107"/>
      <c r="L160" s="107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5">
      <c r="A161" s="5"/>
      <c r="B161" s="107"/>
      <c r="C161" s="5"/>
      <c r="D161" s="107"/>
      <c r="E161" s="107"/>
      <c r="F161" s="107"/>
      <c r="G161" s="107"/>
      <c r="H161" s="107"/>
      <c r="I161" s="107"/>
      <c r="J161" s="107"/>
      <c r="K161" s="107"/>
      <c r="L161" s="107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5">
      <c r="A162" s="5"/>
      <c r="B162" s="107"/>
      <c r="C162" s="5"/>
      <c r="D162" s="107"/>
      <c r="E162" s="107"/>
      <c r="F162" s="107"/>
      <c r="G162" s="107"/>
      <c r="H162" s="107"/>
      <c r="I162" s="107"/>
      <c r="J162" s="107"/>
      <c r="K162" s="107"/>
      <c r="L162" s="107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5">
      <c r="A163" s="5"/>
      <c r="B163" s="107"/>
      <c r="C163" s="5"/>
      <c r="D163" s="107"/>
      <c r="E163" s="107"/>
      <c r="F163" s="107"/>
      <c r="G163" s="107"/>
      <c r="H163" s="107"/>
      <c r="I163" s="107"/>
      <c r="J163" s="107"/>
      <c r="K163" s="107"/>
      <c r="L163" s="107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5">
      <c r="A164" s="5"/>
      <c r="B164" s="107"/>
      <c r="C164" s="5"/>
      <c r="D164" s="107"/>
      <c r="E164" s="107"/>
      <c r="F164" s="107"/>
      <c r="G164" s="107"/>
      <c r="H164" s="107"/>
      <c r="I164" s="107"/>
      <c r="J164" s="107"/>
      <c r="K164" s="107"/>
      <c r="L164" s="107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5">
      <c r="A165" s="5"/>
      <c r="B165" s="107"/>
      <c r="C165" s="5"/>
      <c r="D165" s="107"/>
      <c r="E165" s="107"/>
      <c r="F165" s="107"/>
      <c r="G165" s="107"/>
      <c r="H165" s="107"/>
      <c r="I165" s="107"/>
      <c r="J165" s="107"/>
      <c r="K165" s="107"/>
      <c r="L165" s="107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5">
      <c r="A166" s="5"/>
      <c r="B166" s="107"/>
      <c r="C166" s="5"/>
      <c r="D166" s="107"/>
      <c r="E166" s="107"/>
      <c r="F166" s="107"/>
      <c r="G166" s="107"/>
      <c r="H166" s="107"/>
      <c r="I166" s="107"/>
      <c r="J166" s="107"/>
      <c r="K166" s="107"/>
      <c r="L166" s="107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5">
      <c r="A167" s="5"/>
      <c r="B167" s="107"/>
      <c r="C167" s="5"/>
      <c r="D167" s="107"/>
      <c r="E167" s="107"/>
      <c r="F167" s="107"/>
      <c r="G167" s="107"/>
      <c r="H167" s="107"/>
      <c r="I167" s="107"/>
      <c r="J167" s="107"/>
      <c r="K167" s="107"/>
      <c r="L167" s="107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5">
      <c r="A168" s="5"/>
      <c r="B168" s="107"/>
      <c r="C168" s="5"/>
      <c r="D168" s="107"/>
      <c r="E168" s="107"/>
      <c r="F168" s="107"/>
      <c r="G168" s="107"/>
      <c r="H168" s="107"/>
      <c r="I168" s="107"/>
      <c r="J168" s="107"/>
      <c r="K168" s="107"/>
      <c r="L168" s="107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5">
      <c r="A169" s="5"/>
      <c r="B169" s="107"/>
      <c r="C169" s="5"/>
      <c r="D169" s="107"/>
      <c r="E169" s="107"/>
      <c r="F169" s="107"/>
      <c r="G169" s="107"/>
      <c r="H169" s="107"/>
      <c r="I169" s="107"/>
      <c r="J169" s="107"/>
      <c r="K169" s="107"/>
      <c r="L169" s="107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5">
      <c r="A170" s="5"/>
      <c r="B170" s="107"/>
      <c r="C170" s="5"/>
      <c r="D170" s="107"/>
      <c r="E170" s="107"/>
      <c r="F170" s="107"/>
      <c r="G170" s="107"/>
      <c r="H170" s="107"/>
      <c r="I170" s="107"/>
      <c r="J170" s="107"/>
      <c r="K170" s="107"/>
      <c r="L170" s="107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5">
      <c r="A171" s="5"/>
      <c r="B171" s="107"/>
      <c r="C171" s="5"/>
      <c r="D171" s="107"/>
      <c r="E171" s="107"/>
      <c r="F171" s="107"/>
      <c r="G171" s="107"/>
      <c r="H171" s="107"/>
      <c r="I171" s="107"/>
      <c r="J171" s="107"/>
      <c r="K171" s="107"/>
      <c r="L171" s="107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5">
      <c r="A172" s="5"/>
      <c r="B172" s="107"/>
      <c r="C172" s="5"/>
      <c r="D172" s="107"/>
      <c r="E172" s="107"/>
      <c r="F172" s="107"/>
      <c r="G172" s="107"/>
      <c r="H172" s="107"/>
      <c r="I172" s="107"/>
      <c r="J172" s="107"/>
      <c r="K172" s="107"/>
      <c r="L172" s="107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5">
      <c r="A173" s="5"/>
      <c r="B173" s="107"/>
      <c r="C173" s="5"/>
      <c r="D173" s="107"/>
      <c r="E173" s="107"/>
      <c r="F173" s="107"/>
      <c r="G173" s="107"/>
      <c r="H173" s="107"/>
      <c r="I173" s="107"/>
      <c r="J173" s="107"/>
      <c r="K173" s="107"/>
      <c r="L173" s="107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5">
      <c r="A174" s="5"/>
      <c r="B174" s="107"/>
      <c r="C174" s="5"/>
      <c r="D174" s="107"/>
      <c r="E174" s="107"/>
      <c r="F174" s="107"/>
      <c r="G174" s="107"/>
      <c r="H174" s="107"/>
      <c r="I174" s="107"/>
      <c r="J174" s="107"/>
      <c r="K174" s="107"/>
      <c r="L174" s="107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5">
      <c r="A175" s="5"/>
      <c r="B175" s="107"/>
      <c r="C175" s="5"/>
      <c r="D175" s="107"/>
      <c r="E175" s="107"/>
      <c r="F175" s="107"/>
      <c r="G175" s="107"/>
      <c r="H175" s="107"/>
      <c r="I175" s="107"/>
      <c r="J175" s="107"/>
      <c r="K175" s="107"/>
      <c r="L175" s="107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5">
      <c r="A176" s="5"/>
      <c r="B176" s="107"/>
      <c r="C176" s="5"/>
      <c r="D176" s="107"/>
      <c r="E176" s="107"/>
      <c r="F176" s="107"/>
      <c r="G176" s="107"/>
      <c r="H176" s="107"/>
      <c r="I176" s="107"/>
      <c r="J176" s="107"/>
      <c r="K176" s="107"/>
      <c r="L176" s="107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5">
      <c r="A177" s="5"/>
      <c r="B177" s="107"/>
      <c r="C177" s="5"/>
      <c r="D177" s="107"/>
      <c r="E177" s="107"/>
      <c r="F177" s="107"/>
      <c r="G177" s="107"/>
      <c r="H177" s="107"/>
      <c r="I177" s="107"/>
      <c r="J177" s="107"/>
      <c r="K177" s="107"/>
      <c r="L177" s="107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5">
      <c r="A178" s="5"/>
      <c r="B178" s="107"/>
      <c r="C178" s="5"/>
      <c r="D178" s="107"/>
      <c r="E178" s="107"/>
      <c r="F178" s="107"/>
      <c r="G178" s="107"/>
      <c r="H178" s="107"/>
      <c r="I178" s="107"/>
      <c r="J178" s="107"/>
      <c r="K178" s="107"/>
      <c r="L178" s="107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5">
      <c r="A179" s="5"/>
      <c r="B179" s="107"/>
      <c r="C179" s="5"/>
      <c r="D179" s="107"/>
      <c r="E179" s="107"/>
      <c r="F179" s="107"/>
      <c r="G179" s="107"/>
      <c r="H179" s="107"/>
      <c r="I179" s="107"/>
      <c r="J179" s="107"/>
      <c r="K179" s="107"/>
      <c r="L179" s="107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5">
      <c r="A180" s="5"/>
      <c r="B180" s="107"/>
      <c r="C180" s="5"/>
      <c r="D180" s="107"/>
      <c r="E180" s="107"/>
      <c r="F180" s="107"/>
      <c r="G180" s="107"/>
      <c r="H180" s="107"/>
      <c r="I180" s="107"/>
      <c r="J180" s="107"/>
      <c r="K180" s="107"/>
      <c r="L180" s="107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5">
      <c r="A181" s="5"/>
      <c r="B181" s="107"/>
      <c r="C181" s="5"/>
      <c r="D181" s="107"/>
      <c r="E181" s="107"/>
      <c r="F181" s="107"/>
      <c r="G181" s="107"/>
      <c r="H181" s="107"/>
      <c r="I181" s="107"/>
      <c r="J181" s="107"/>
      <c r="K181" s="107"/>
      <c r="L181" s="107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5">
      <c r="A182" s="5"/>
      <c r="B182" s="107"/>
      <c r="C182" s="5"/>
      <c r="D182" s="107"/>
      <c r="E182" s="107"/>
      <c r="F182" s="107"/>
      <c r="G182" s="107"/>
      <c r="H182" s="107"/>
      <c r="I182" s="107"/>
      <c r="J182" s="107"/>
      <c r="K182" s="107"/>
      <c r="L182" s="107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5">
      <c r="A183" s="5"/>
      <c r="B183" s="107"/>
      <c r="C183" s="5"/>
      <c r="D183" s="107"/>
      <c r="E183" s="107"/>
      <c r="F183" s="107"/>
      <c r="G183" s="107"/>
      <c r="H183" s="107"/>
      <c r="I183" s="107"/>
      <c r="J183" s="107"/>
      <c r="K183" s="107"/>
      <c r="L183" s="107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5">
      <c r="A184" s="5"/>
      <c r="B184" s="107"/>
      <c r="C184" s="5"/>
      <c r="D184" s="107"/>
      <c r="E184" s="107"/>
      <c r="F184" s="107"/>
      <c r="G184" s="107"/>
      <c r="H184" s="107"/>
      <c r="I184" s="107"/>
      <c r="J184" s="107"/>
      <c r="K184" s="107"/>
      <c r="L184" s="107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5">
      <c r="A185" s="5"/>
      <c r="B185" s="107"/>
      <c r="C185" s="5"/>
      <c r="D185" s="107"/>
      <c r="E185" s="107"/>
      <c r="F185" s="107"/>
      <c r="G185" s="107"/>
      <c r="H185" s="107"/>
      <c r="I185" s="107"/>
      <c r="J185" s="107"/>
      <c r="K185" s="107"/>
      <c r="L185" s="107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5">
      <c r="A186" s="5"/>
      <c r="B186" s="107"/>
      <c r="C186" s="5"/>
      <c r="D186" s="107"/>
      <c r="E186" s="107"/>
      <c r="F186" s="107"/>
      <c r="G186" s="107"/>
      <c r="H186" s="107"/>
      <c r="I186" s="107"/>
      <c r="J186" s="107"/>
      <c r="K186" s="107"/>
      <c r="L186" s="107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5">
      <c r="A187" s="5"/>
      <c r="B187" s="107"/>
      <c r="C187" s="5"/>
      <c r="D187" s="107"/>
      <c r="E187" s="107"/>
      <c r="F187" s="107"/>
      <c r="G187" s="107"/>
      <c r="H187" s="107"/>
      <c r="I187" s="107"/>
      <c r="J187" s="107"/>
      <c r="K187" s="107"/>
      <c r="L187" s="107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5">
      <c r="A188" s="5"/>
      <c r="B188" s="107"/>
      <c r="C188" s="5"/>
      <c r="D188" s="107"/>
      <c r="E188" s="107"/>
      <c r="F188" s="107"/>
      <c r="G188" s="107"/>
      <c r="H188" s="107"/>
      <c r="I188" s="107"/>
      <c r="J188" s="107"/>
      <c r="K188" s="107"/>
      <c r="L188" s="107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5">
      <c r="A189" s="5"/>
      <c r="B189" s="107"/>
      <c r="C189" s="5"/>
      <c r="D189" s="107"/>
      <c r="E189" s="107"/>
      <c r="F189" s="107"/>
      <c r="G189" s="107"/>
      <c r="H189" s="107"/>
      <c r="I189" s="107"/>
      <c r="J189" s="107"/>
      <c r="K189" s="107"/>
      <c r="L189" s="107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5">
      <c r="A190" s="5"/>
      <c r="B190" s="107"/>
      <c r="C190" s="5"/>
      <c r="D190" s="107"/>
      <c r="E190" s="107"/>
      <c r="F190" s="107"/>
      <c r="G190" s="107"/>
      <c r="H190" s="107"/>
      <c r="I190" s="107"/>
      <c r="J190" s="107"/>
      <c r="K190" s="107"/>
      <c r="L190" s="107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5">
      <c r="A191" s="5"/>
      <c r="B191" s="107"/>
      <c r="C191" s="5"/>
      <c r="D191" s="107"/>
      <c r="E191" s="107"/>
      <c r="F191" s="107"/>
      <c r="G191" s="107"/>
      <c r="H191" s="107"/>
      <c r="I191" s="107"/>
      <c r="J191" s="107"/>
      <c r="K191" s="107"/>
      <c r="L191" s="107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5">
      <c r="A192" s="5"/>
      <c r="B192" s="107"/>
      <c r="C192" s="5"/>
      <c r="D192" s="107"/>
      <c r="E192" s="107"/>
      <c r="F192" s="107"/>
      <c r="G192" s="107"/>
      <c r="H192" s="107"/>
      <c r="I192" s="107"/>
      <c r="J192" s="107"/>
      <c r="K192" s="107"/>
      <c r="L192" s="107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5">
      <c r="A193" s="5"/>
      <c r="B193" s="107"/>
      <c r="C193" s="5"/>
      <c r="D193" s="107"/>
      <c r="E193" s="107"/>
      <c r="F193" s="107"/>
      <c r="G193" s="107"/>
      <c r="H193" s="107"/>
      <c r="I193" s="107"/>
      <c r="J193" s="107"/>
      <c r="K193" s="107"/>
      <c r="L193" s="107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5">
      <c r="A194" s="5"/>
      <c r="B194" s="107"/>
      <c r="C194" s="5"/>
      <c r="D194" s="107"/>
      <c r="E194" s="107"/>
      <c r="F194" s="107"/>
      <c r="G194" s="107"/>
      <c r="H194" s="107"/>
      <c r="I194" s="107"/>
      <c r="J194" s="107"/>
      <c r="K194" s="107"/>
      <c r="L194" s="107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5">
      <c r="A195" s="5"/>
      <c r="B195" s="107"/>
      <c r="C195" s="5"/>
      <c r="D195" s="107"/>
      <c r="E195" s="107"/>
      <c r="F195" s="107"/>
      <c r="G195" s="107"/>
      <c r="H195" s="107"/>
      <c r="I195" s="107"/>
      <c r="J195" s="107"/>
      <c r="K195" s="107"/>
      <c r="L195" s="107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5">
      <c r="A196" s="5"/>
      <c r="B196" s="107"/>
      <c r="C196" s="5"/>
      <c r="D196" s="107"/>
      <c r="E196" s="107"/>
      <c r="F196" s="107"/>
      <c r="G196" s="107"/>
      <c r="H196" s="107"/>
      <c r="I196" s="107"/>
      <c r="J196" s="107"/>
      <c r="K196" s="107"/>
      <c r="L196" s="107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5">
      <c r="A197" s="5"/>
      <c r="B197" s="107"/>
      <c r="C197" s="5"/>
      <c r="D197" s="107"/>
      <c r="E197" s="107"/>
      <c r="F197" s="107"/>
      <c r="G197" s="107"/>
      <c r="H197" s="107"/>
      <c r="I197" s="107"/>
      <c r="J197" s="107"/>
      <c r="K197" s="107"/>
      <c r="L197" s="107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5">
      <c r="A198" s="5"/>
      <c r="B198" s="107"/>
      <c r="C198" s="5"/>
      <c r="D198" s="107"/>
      <c r="E198" s="107"/>
      <c r="F198" s="107"/>
      <c r="G198" s="107"/>
      <c r="H198" s="107"/>
      <c r="I198" s="107"/>
      <c r="J198" s="107"/>
      <c r="K198" s="107"/>
      <c r="L198" s="107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5">
      <c r="A199" s="5"/>
      <c r="B199" s="107"/>
      <c r="C199" s="5"/>
      <c r="D199" s="107"/>
      <c r="E199" s="107"/>
      <c r="F199" s="107"/>
      <c r="G199" s="107"/>
      <c r="H199" s="107"/>
      <c r="I199" s="107"/>
      <c r="J199" s="107"/>
      <c r="K199" s="107"/>
      <c r="L199" s="107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5">
      <c r="A200" s="5"/>
      <c r="B200" s="107"/>
      <c r="C200" s="5"/>
      <c r="D200" s="107"/>
      <c r="E200" s="107"/>
      <c r="F200" s="107"/>
      <c r="G200" s="107"/>
      <c r="H200" s="107"/>
      <c r="I200" s="107"/>
      <c r="J200" s="107"/>
      <c r="K200" s="107"/>
      <c r="L200" s="107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5">
      <c r="A201" s="5"/>
      <c r="B201" s="107"/>
      <c r="C201" s="5"/>
      <c r="D201" s="107"/>
      <c r="E201" s="107"/>
      <c r="F201" s="107"/>
      <c r="G201" s="107"/>
      <c r="H201" s="107"/>
      <c r="I201" s="107"/>
      <c r="J201" s="107"/>
      <c r="K201" s="107"/>
      <c r="L201" s="107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5">
      <c r="A202" s="5"/>
      <c r="B202" s="107"/>
      <c r="C202" s="5"/>
      <c r="D202" s="107"/>
      <c r="E202" s="107"/>
      <c r="F202" s="107"/>
      <c r="G202" s="107"/>
      <c r="H202" s="107"/>
      <c r="I202" s="107"/>
      <c r="J202" s="107"/>
      <c r="K202" s="107"/>
      <c r="L202" s="107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5">
      <c r="A203" s="5"/>
      <c r="B203" s="107"/>
      <c r="C203" s="5"/>
      <c r="D203" s="107"/>
      <c r="E203" s="107"/>
      <c r="F203" s="107"/>
      <c r="G203" s="107"/>
      <c r="H203" s="107"/>
      <c r="I203" s="107"/>
      <c r="J203" s="107"/>
      <c r="K203" s="107"/>
      <c r="L203" s="107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5">
      <c r="A204" s="5"/>
      <c r="B204" s="107"/>
      <c r="C204" s="5"/>
      <c r="D204" s="107"/>
      <c r="E204" s="107"/>
      <c r="F204" s="107"/>
      <c r="G204" s="107"/>
      <c r="H204" s="107"/>
      <c r="I204" s="107"/>
      <c r="J204" s="107"/>
      <c r="K204" s="107"/>
      <c r="L204" s="107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5">
      <c r="A205" s="5"/>
      <c r="B205" s="107"/>
      <c r="C205" s="5"/>
      <c r="D205" s="107"/>
      <c r="E205" s="107"/>
      <c r="F205" s="107"/>
      <c r="G205" s="107"/>
      <c r="H205" s="107"/>
      <c r="I205" s="107"/>
      <c r="J205" s="107"/>
      <c r="K205" s="107"/>
      <c r="L205" s="107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5">
      <c r="A206" s="5"/>
      <c r="B206" s="107"/>
      <c r="C206" s="5"/>
      <c r="D206" s="107"/>
      <c r="E206" s="107"/>
      <c r="F206" s="107"/>
      <c r="G206" s="107"/>
      <c r="H206" s="107"/>
      <c r="I206" s="107"/>
      <c r="J206" s="107"/>
      <c r="K206" s="107"/>
      <c r="L206" s="107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5">
      <c r="A207" s="5"/>
      <c r="B207" s="107"/>
      <c r="C207" s="5"/>
      <c r="D207" s="107"/>
      <c r="E207" s="107"/>
      <c r="F207" s="107"/>
      <c r="G207" s="107"/>
      <c r="H207" s="107"/>
      <c r="I207" s="107"/>
      <c r="J207" s="107"/>
      <c r="K207" s="107"/>
      <c r="L207" s="107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5">
      <c r="A208" s="5"/>
      <c r="B208" s="107"/>
      <c r="C208" s="5"/>
      <c r="D208" s="107"/>
      <c r="E208" s="107"/>
      <c r="F208" s="107"/>
      <c r="G208" s="107"/>
      <c r="H208" s="107"/>
      <c r="I208" s="107"/>
      <c r="J208" s="107"/>
      <c r="K208" s="107"/>
      <c r="L208" s="107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5">
      <c r="A209" s="5"/>
      <c r="B209" s="107"/>
      <c r="C209" s="5"/>
      <c r="D209" s="107"/>
      <c r="E209" s="107"/>
      <c r="F209" s="107"/>
      <c r="G209" s="107"/>
      <c r="H209" s="107"/>
      <c r="I209" s="107"/>
      <c r="J209" s="107"/>
      <c r="K209" s="107"/>
      <c r="L209" s="107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5">
      <c r="A210" s="5"/>
      <c r="B210" s="107"/>
      <c r="C210" s="5"/>
      <c r="D210" s="107"/>
      <c r="E210" s="107"/>
      <c r="F210" s="107"/>
      <c r="G210" s="107"/>
      <c r="H210" s="107"/>
      <c r="I210" s="107"/>
      <c r="J210" s="107"/>
      <c r="K210" s="107"/>
      <c r="L210" s="107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5">
      <c r="A211" s="5"/>
      <c r="B211" s="107"/>
      <c r="C211" s="5"/>
      <c r="D211" s="107"/>
      <c r="E211" s="107"/>
      <c r="F211" s="107"/>
      <c r="G211" s="107"/>
      <c r="H211" s="107"/>
      <c r="I211" s="107"/>
      <c r="J211" s="107"/>
      <c r="K211" s="107"/>
      <c r="L211" s="107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5">
      <c r="A212" s="5"/>
      <c r="B212" s="107"/>
      <c r="C212" s="5"/>
      <c r="D212" s="107"/>
      <c r="E212" s="107"/>
      <c r="F212" s="107"/>
      <c r="G212" s="107"/>
      <c r="H212" s="107"/>
      <c r="I212" s="107"/>
      <c r="J212" s="107"/>
      <c r="K212" s="107"/>
      <c r="L212" s="107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5">
      <c r="A213" s="5"/>
      <c r="B213" s="107"/>
      <c r="C213" s="5"/>
      <c r="D213" s="107"/>
      <c r="E213" s="107"/>
      <c r="F213" s="107"/>
      <c r="G213" s="107"/>
      <c r="H213" s="107"/>
      <c r="I213" s="107"/>
      <c r="J213" s="107"/>
      <c r="K213" s="107"/>
      <c r="L213" s="107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5">
      <c r="A214" s="5"/>
      <c r="B214" s="107"/>
      <c r="C214" s="5"/>
      <c r="D214" s="107"/>
      <c r="E214" s="107"/>
      <c r="F214" s="107"/>
      <c r="G214" s="107"/>
      <c r="H214" s="107"/>
      <c r="I214" s="107"/>
      <c r="J214" s="107"/>
      <c r="K214" s="107"/>
      <c r="L214" s="107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5">
      <c r="A215" s="5"/>
      <c r="B215" s="107"/>
      <c r="C215" s="5"/>
      <c r="D215" s="107"/>
      <c r="E215" s="107"/>
      <c r="F215" s="107"/>
      <c r="G215" s="107"/>
      <c r="H215" s="107"/>
      <c r="I215" s="107"/>
      <c r="J215" s="107"/>
      <c r="K215" s="107"/>
      <c r="L215" s="107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5">
      <c r="A216" s="5"/>
      <c r="B216" s="5"/>
      <c r="C216" s="5"/>
      <c r="D216" s="107"/>
      <c r="E216" s="107"/>
      <c r="F216" s="107"/>
      <c r="G216" s="107"/>
      <c r="H216" s="107"/>
      <c r="I216" s="107"/>
      <c r="J216" s="107"/>
      <c r="K216" s="107"/>
      <c r="L216" s="107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5"/>
    <row r="266" spans="1:26" ht="15.75" customHeight="1" x14ac:dyDescent="0.25"/>
    <row r="267" spans="1:26" ht="15.75" customHeight="1" x14ac:dyDescent="0.25"/>
    <row r="268" spans="1:26" ht="15.75" customHeight="1" x14ac:dyDescent="0.25"/>
    <row r="269" spans="1:26" ht="15.75" customHeight="1" x14ac:dyDescent="0.25"/>
    <row r="270" spans="1:26" ht="15.75" customHeight="1" x14ac:dyDescent="0.25"/>
    <row r="271" spans="1:26" ht="15.75" customHeight="1" x14ac:dyDescent="0.25"/>
    <row r="272" spans="1:26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D1:L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</sheetPr>
  <dimension ref="A1:Z1000"/>
  <sheetViews>
    <sheetView workbookViewId="0">
      <selection activeCell="R7" sqref="R7"/>
    </sheetView>
  </sheetViews>
  <sheetFormatPr defaultColWidth="11.125" defaultRowHeight="15" customHeight="1" x14ac:dyDescent="0.25"/>
  <cols>
    <col min="1" max="1" width="8.625" bestFit="1" customWidth="1"/>
    <col min="2" max="2" width="22.875" customWidth="1"/>
    <col min="3" max="3" width="12.625" bestFit="1" customWidth="1"/>
    <col min="4" max="4" width="7.5" bestFit="1" customWidth="1"/>
    <col min="5" max="5" width="8.625" bestFit="1" customWidth="1"/>
    <col min="6" max="6" width="8.625" customWidth="1"/>
    <col min="7" max="8" width="11.625" customWidth="1"/>
    <col min="9" max="9" width="12.625" bestFit="1" customWidth="1"/>
    <col min="10" max="10" width="11.625" customWidth="1"/>
    <col min="11" max="11" width="11.625" bestFit="1" customWidth="1"/>
    <col min="12" max="12" width="12.625" customWidth="1"/>
    <col min="13" max="17" width="11.625" bestFit="1" customWidth="1"/>
    <col min="18" max="18" width="12.625" bestFit="1" customWidth="1"/>
    <col min="19" max="26" width="11.125" customWidth="1"/>
  </cols>
  <sheetData>
    <row r="1" spans="1:26" ht="18" customHeight="1" x14ac:dyDescent="0.25">
      <c r="A1" s="1"/>
      <c r="B1" s="3"/>
      <c r="C1" s="1"/>
      <c r="D1" s="165">
        <v>2026</v>
      </c>
      <c r="E1" s="164"/>
      <c r="F1" s="164"/>
      <c r="G1" s="164"/>
      <c r="H1" s="164"/>
      <c r="I1" s="164"/>
      <c r="J1" s="164"/>
      <c r="K1" s="164"/>
      <c r="L1" s="164"/>
      <c r="M1" s="151">
        <v>2027</v>
      </c>
      <c r="N1" s="8"/>
      <c r="O1" s="8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25">
      <c r="A2" s="10" t="s">
        <v>63</v>
      </c>
      <c r="B2" s="3"/>
      <c r="C2" s="1"/>
      <c r="D2" s="12" t="s">
        <v>1</v>
      </c>
      <c r="E2" s="12" t="s">
        <v>2</v>
      </c>
      <c r="F2" s="12" t="s">
        <v>3</v>
      </c>
      <c r="G2" s="12" t="s">
        <v>4</v>
      </c>
      <c r="H2" s="12" t="s">
        <v>5</v>
      </c>
      <c r="I2" s="12" t="s">
        <v>6</v>
      </c>
      <c r="J2" s="12" t="s">
        <v>7</v>
      </c>
      <c r="K2" s="12" t="s">
        <v>8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</v>
      </c>
      <c r="Q2" s="12" t="s">
        <v>2</v>
      </c>
      <c r="R2" s="12" t="s">
        <v>3</v>
      </c>
      <c r="S2" s="5"/>
      <c r="T2" s="5"/>
      <c r="U2" s="5"/>
      <c r="V2" s="5"/>
      <c r="W2" s="5"/>
      <c r="X2" s="5"/>
      <c r="Y2" s="5"/>
      <c r="Z2" s="5"/>
    </row>
    <row r="3" spans="1:26" ht="16.5" customHeight="1" thickBot="1" x14ac:dyDescent="0.3">
      <c r="A3" s="17"/>
      <c r="B3" s="19" t="s">
        <v>206</v>
      </c>
      <c r="C3" s="19">
        <f t="shared" ref="C3:C34" si="0">SUM(D3:L3)</f>
        <v>248062.43</v>
      </c>
      <c r="D3" s="24">
        <f t="shared" ref="D3:R3" si="1">SUM(D4:D134)</f>
        <v>0</v>
      </c>
      <c r="E3" s="24">
        <f t="shared" si="1"/>
        <v>0</v>
      </c>
      <c r="F3" s="24">
        <f t="shared" si="1"/>
        <v>0</v>
      </c>
      <c r="G3" s="24">
        <f t="shared" si="1"/>
        <v>13659.3</v>
      </c>
      <c r="H3" s="24">
        <f t="shared" si="1"/>
        <v>13658.59</v>
      </c>
      <c r="I3" s="24">
        <f t="shared" si="1"/>
        <v>13627.32</v>
      </c>
      <c r="J3" s="24">
        <f t="shared" si="1"/>
        <v>13657.16</v>
      </c>
      <c r="K3" s="24">
        <f t="shared" si="1"/>
        <v>13628.34</v>
      </c>
      <c r="L3" s="24">
        <f t="shared" si="1"/>
        <v>179831.72</v>
      </c>
      <c r="M3" s="24">
        <f t="shared" si="1"/>
        <v>13655</v>
      </c>
      <c r="N3" s="24">
        <f t="shared" si="1"/>
        <v>13581.12</v>
      </c>
      <c r="O3" s="24">
        <f t="shared" si="1"/>
        <v>13653.54</v>
      </c>
      <c r="P3" s="24">
        <f t="shared" si="1"/>
        <v>13630.93</v>
      </c>
      <c r="Q3" s="24">
        <f t="shared" si="1"/>
        <v>13652.09</v>
      </c>
      <c r="R3" s="24">
        <f t="shared" si="1"/>
        <v>179807.97</v>
      </c>
      <c r="S3" s="5"/>
      <c r="T3" s="5"/>
      <c r="U3" s="5"/>
      <c r="V3" s="5"/>
      <c r="W3" s="5"/>
      <c r="X3" s="5"/>
      <c r="Y3" s="5"/>
      <c r="Z3" s="5"/>
    </row>
    <row r="4" spans="1:26" ht="16.5" customHeight="1" thickTop="1" x14ac:dyDescent="0.25">
      <c r="A4" s="32">
        <v>310394</v>
      </c>
      <c r="B4" s="33" t="s">
        <v>207</v>
      </c>
      <c r="C4" s="34">
        <f t="shared" si="0"/>
        <v>166176</v>
      </c>
      <c r="D4" s="35"/>
      <c r="E4" s="35"/>
      <c r="F4" s="35"/>
      <c r="G4" s="35"/>
      <c r="H4" s="35"/>
      <c r="I4" s="35"/>
      <c r="J4" s="35"/>
      <c r="K4" s="35"/>
      <c r="L4" s="35">
        <v>166176</v>
      </c>
      <c r="M4" s="35"/>
      <c r="N4" s="35"/>
      <c r="O4" s="35"/>
      <c r="P4" s="35"/>
      <c r="Q4" s="35"/>
      <c r="R4" s="35">
        <v>166176</v>
      </c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25">
      <c r="A5" s="32">
        <v>310392</v>
      </c>
      <c r="B5" s="42" t="s">
        <v>208</v>
      </c>
      <c r="C5" s="45">
        <f t="shared" si="0"/>
        <v>73522.909999999989</v>
      </c>
      <c r="D5" s="47"/>
      <c r="E5" s="47"/>
      <c r="F5" s="47"/>
      <c r="G5" s="47">
        <v>12265.38</v>
      </c>
      <c r="H5" s="47">
        <v>12264.67</v>
      </c>
      <c r="I5" s="47">
        <v>12233.4</v>
      </c>
      <c r="J5" s="47">
        <v>12263.24</v>
      </c>
      <c r="K5" s="47">
        <v>12234.42</v>
      </c>
      <c r="L5" s="47">
        <v>12261.8</v>
      </c>
      <c r="M5" s="47">
        <v>12261.08</v>
      </c>
      <c r="N5" s="47">
        <v>12187.2</v>
      </c>
      <c r="O5" s="47">
        <v>12259.62</v>
      </c>
      <c r="P5" s="47">
        <v>12237.01</v>
      </c>
      <c r="Q5" s="47">
        <v>12258.17</v>
      </c>
      <c r="R5" s="47">
        <v>12238.05</v>
      </c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5">
      <c r="A6" s="32">
        <v>310305</v>
      </c>
      <c r="B6" s="42" t="s">
        <v>209</v>
      </c>
      <c r="C6" s="45">
        <f t="shared" si="0"/>
        <v>8363.52</v>
      </c>
      <c r="D6" s="47"/>
      <c r="E6" s="47"/>
      <c r="F6" s="47"/>
      <c r="G6" s="47">
        <v>1393.92</v>
      </c>
      <c r="H6" s="47">
        <v>1393.92</v>
      </c>
      <c r="I6" s="47">
        <v>1393.92</v>
      </c>
      <c r="J6" s="47">
        <v>1393.92</v>
      </c>
      <c r="K6" s="47">
        <v>1393.92</v>
      </c>
      <c r="L6" s="47">
        <v>1393.92</v>
      </c>
      <c r="M6" s="47">
        <v>1393.92</v>
      </c>
      <c r="N6" s="47">
        <v>1393.92</v>
      </c>
      <c r="O6" s="47">
        <v>1393.92</v>
      </c>
      <c r="P6" s="47">
        <v>1393.92</v>
      </c>
      <c r="Q6" s="47">
        <v>1393.92</v>
      </c>
      <c r="R6" s="47">
        <v>1393.92</v>
      </c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5">
      <c r="A7" s="32"/>
      <c r="B7" s="60"/>
      <c r="C7" s="45">
        <f t="shared" si="0"/>
        <v>0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5">
      <c r="A8" s="32"/>
      <c r="B8" s="60"/>
      <c r="C8" s="45">
        <f t="shared" si="0"/>
        <v>0</v>
      </c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5">
      <c r="A9" s="32"/>
      <c r="B9" s="60"/>
      <c r="C9" s="45">
        <f t="shared" si="0"/>
        <v>0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5">
      <c r="A10" s="32"/>
      <c r="B10" s="60"/>
      <c r="C10" s="45">
        <f t="shared" si="0"/>
        <v>0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5">
      <c r="A11" s="32"/>
      <c r="B11" s="60"/>
      <c r="C11" s="45">
        <f t="shared" si="0"/>
        <v>0</v>
      </c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5">
      <c r="A12" s="32"/>
      <c r="B12" s="60"/>
      <c r="C12" s="45">
        <f t="shared" si="0"/>
        <v>0</v>
      </c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5">
      <c r="A13" s="32"/>
      <c r="B13" s="60"/>
      <c r="C13" s="45">
        <f t="shared" si="0"/>
        <v>0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5">
      <c r="A14" s="32"/>
      <c r="B14" s="60"/>
      <c r="C14" s="45">
        <f t="shared" si="0"/>
        <v>0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5">
      <c r="A15" s="32"/>
      <c r="B15" s="60"/>
      <c r="C15" s="45">
        <f t="shared" si="0"/>
        <v>0</v>
      </c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5">
      <c r="A16" s="32"/>
      <c r="B16" s="60"/>
      <c r="C16" s="45">
        <f t="shared" si="0"/>
        <v>0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5">
      <c r="A17" s="32"/>
      <c r="B17" s="60"/>
      <c r="C17" s="45">
        <f t="shared" si="0"/>
        <v>0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5">
      <c r="A18" s="32"/>
      <c r="B18" s="60"/>
      <c r="C18" s="45">
        <f t="shared" si="0"/>
        <v>0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5">
      <c r="A19" s="32"/>
      <c r="B19" s="60"/>
      <c r="C19" s="45">
        <f t="shared" si="0"/>
        <v>0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5">
      <c r="A20" s="32"/>
      <c r="B20" s="60"/>
      <c r="C20" s="45">
        <f t="shared" si="0"/>
        <v>0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5">
      <c r="A21" s="32"/>
      <c r="B21" s="60"/>
      <c r="C21" s="45">
        <f t="shared" si="0"/>
        <v>0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5">
      <c r="A22" s="32"/>
      <c r="B22" s="60"/>
      <c r="C22" s="45">
        <f t="shared" si="0"/>
        <v>0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5">
      <c r="A23" s="32"/>
      <c r="B23" s="60"/>
      <c r="C23" s="45">
        <f t="shared" si="0"/>
        <v>0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5">
      <c r="A24" s="32"/>
      <c r="B24" s="60"/>
      <c r="C24" s="45">
        <f t="shared" si="0"/>
        <v>0</v>
      </c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5">
      <c r="A25" s="32"/>
      <c r="B25" s="60"/>
      <c r="C25" s="45">
        <f t="shared" si="0"/>
        <v>0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5">
      <c r="A26" s="32"/>
      <c r="B26" s="60"/>
      <c r="C26" s="45">
        <f t="shared" si="0"/>
        <v>0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5">
      <c r="A27" s="32"/>
      <c r="B27" s="60"/>
      <c r="C27" s="45">
        <f t="shared" si="0"/>
        <v>0</v>
      </c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5">
      <c r="A28" s="32"/>
      <c r="B28" s="60"/>
      <c r="C28" s="45">
        <f t="shared" si="0"/>
        <v>0</v>
      </c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5">
      <c r="A29" s="32"/>
      <c r="B29" s="60"/>
      <c r="C29" s="45">
        <f t="shared" si="0"/>
        <v>0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5">
      <c r="A30" s="32"/>
      <c r="B30" s="60"/>
      <c r="C30" s="45">
        <f t="shared" si="0"/>
        <v>0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5">
      <c r="A31" s="32"/>
      <c r="B31" s="60"/>
      <c r="C31" s="45">
        <f t="shared" si="0"/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5">
      <c r="A32" s="32"/>
      <c r="B32" s="60"/>
      <c r="C32" s="45">
        <f t="shared" si="0"/>
        <v>0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5">
      <c r="A33" s="32"/>
      <c r="B33" s="60"/>
      <c r="C33" s="45">
        <f t="shared" si="0"/>
        <v>0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5">
      <c r="A34" s="32"/>
      <c r="B34" s="60"/>
      <c r="C34" s="45">
        <f t="shared" si="0"/>
        <v>0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5">
      <c r="A35" s="32"/>
      <c r="B35" s="60"/>
      <c r="C35" s="45">
        <f t="shared" ref="C35:C66" si="2">SUM(D35:L35)</f>
        <v>0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5">
      <c r="A36" s="32"/>
      <c r="B36" s="60"/>
      <c r="C36" s="45">
        <f t="shared" si="2"/>
        <v>0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5">
      <c r="A37" s="32"/>
      <c r="B37" s="60"/>
      <c r="C37" s="45">
        <f t="shared" si="2"/>
        <v>0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5">
      <c r="A38" s="32"/>
      <c r="B38" s="60"/>
      <c r="C38" s="45">
        <f t="shared" si="2"/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5">
      <c r="A39" s="32"/>
      <c r="B39" s="60"/>
      <c r="C39" s="45">
        <f t="shared" si="2"/>
        <v>0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5">
      <c r="A40" s="32"/>
      <c r="B40" s="60"/>
      <c r="C40" s="45">
        <f t="shared" si="2"/>
        <v>0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5">
      <c r="A41" s="32"/>
      <c r="B41" s="60"/>
      <c r="C41" s="45">
        <f t="shared" si="2"/>
        <v>0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5">
      <c r="A42" s="32"/>
      <c r="B42" s="60"/>
      <c r="C42" s="45">
        <f t="shared" si="2"/>
        <v>0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5">
      <c r="A43" s="32"/>
      <c r="B43" s="60"/>
      <c r="C43" s="45">
        <f t="shared" si="2"/>
        <v>0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5">
      <c r="A44" s="32"/>
      <c r="B44" s="60"/>
      <c r="C44" s="45">
        <f t="shared" si="2"/>
        <v>0</v>
      </c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5">
      <c r="A45" s="32"/>
      <c r="B45" s="60"/>
      <c r="C45" s="45">
        <f t="shared" si="2"/>
        <v>0</v>
      </c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5">
      <c r="A46" s="32"/>
      <c r="B46" s="60"/>
      <c r="C46" s="45">
        <f t="shared" si="2"/>
        <v>0</v>
      </c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5">
      <c r="A47" s="32"/>
      <c r="B47" s="60"/>
      <c r="C47" s="45">
        <f t="shared" si="2"/>
        <v>0</v>
      </c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5">
      <c r="A48" s="32"/>
      <c r="B48" s="60"/>
      <c r="C48" s="45">
        <f t="shared" si="2"/>
        <v>0</v>
      </c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5">
      <c r="A49" s="32"/>
      <c r="B49" s="60"/>
      <c r="C49" s="45">
        <f t="shared" si="2"/>
        <v>0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5">
      <c r="A50" s="32"/>
      <c r="B50" s="60"/>
      <c r="C50" s="45">
        <f t="shared" si="2"/>
        <v>0</v>
      </c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5">
      <c r="A51" s="32"/>
      <c r="B51" s="60"/>
      <c r="C51" s="45">
        <f t="shared" si="2"/>
        <v>0</v>
      </c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5">
      <c r="A52" s="32"/>
      <c r="B52" s="60"/>
      <c r="C52" s="45">
        <f t="shared" si="2"/>
        <v>0</v>
      </c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5">
      <c r="A53" s="32"/>
      <c r="B53" s="60"/>
      <c r="C53" s="45">
        <f t="shared" si="2"/>
        <v>0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5">
      <c r="A54" s="32"/>
      <c r="B54" s="60"/>
      <c r="C54" s="45">
        <f t="shared" si="2"/>
        <v>0</v>
      </c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5">
      <c r="A55" s="32"/>
      <c r="B55" s="60"/>
      <c r="C55" s="45">
        <f t="shared" si="2"/>
        <v>0</v>
      </c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5">
      <c r="A56" s="32"/>
      <c r="B56" s="60"/>
      <c r="C56" s="45">
        <f t="shared" si="2"/>
        <v>0</v>
      </c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5">
      <c r="A57" s="32"/>
      <c r="B57" s="60"/>
      <c r="C57" s="45">
        <f t="shared" si="2"/>
        <v>0</v>
      </c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5">
      <c r="A58" s="32"/>
      <c r="B58" s="60"/>
      <c r="C58" s="45">
        <f t="shared" si="2"/>
        <v>0</v>
      </c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5">
      <c r="A59" s="32"/>
      <c r="B59" s="60"/>
      <c r="C59" s="45">
        <f t="shared" si="2"/>
        <v>0</v>
      </c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5">
      <c r="A60" s="32"/>
      <c r="B60" s="60"/>
      <c r="C60" s="45">
        <f t="shared" si="2"/>
        <v>0</v>
      </c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5">
      <c r="A61" s="32"/>
      <c r="B61" s="60"/>
      <c r="C61" s="45">
        <f t="shared" si="2"/>
        <v>0</v>
      </c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5">
      <c r="A62" s="32"/>
      <c r="B62" s="60"/>
      <c r="C62" s="45">
        <f t="shared" si="2"/>
        <v>0</v>
      </c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5">
      <c r="A63" s="32"/>
      <c r="B63" s="60"/>
      <c r="C63" s="45">
        <f t="shared" si="2"/>
        <v>0</v>
      </c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5">
      <c r="A64" s="32"/>
      <c r="B64" s="60"/>
      <c r="C64" s="45">
        <f t="shared" si="2"/>
        <v>0</v>
      </c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5">
      <c r="A65" s="32"/>
      <c r="B65" s="60"/>
      <c r="C65" s="45">
        <f t="shared" si="2"/>
        <v>0</v>
      </c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5">
      <c r="A66" s="32"/>
      <c r="B66" s="60"/>
      <c r="C66" s="45">
        <f t="shared" si="2"/>
        <v>0</v>
      </c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5">
      <c r="A67" s="32"/>
      <c r="B67" s="60"/>
      <c r="C67" s="45">
        <f t="shared" ref="C67:C68" si="3">SUM(D67:L67)</f>
        <v>0</v>
      </c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5">
      <c r="A68" s="32"/>
      <c r="B68" s="110"/>
      <c r="C68" s="45">
        <f t="shared" si="3"/>
        <v>0</v>
      </c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5">
      <c r="A69" s="5"/>
      <c r="B69" s="107"/>
      <c r="C69" s="5"/>
      <c r="D69" s="107"/>
      <c r="E69" s="107"/>
      <c r="F69" s="107"/>
      <c r="G69" s="107"/>
      <c r="H69" s="107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5">
      <c r="A70" s="5"/>
      <c r="B70" s="107"/>
      <c r="C70" s="5"/>
      <c r="D70" s="107"/>
      <c r="E70" s="107"/>
      <c r="F70" s="107"/>
      <c r="G70" s="107"/>
      <c r="H70" s="107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5">
      <c r="A71" s="5"/>
      <c r="B71" s="107"/>
      <c r="C71" s="5"/>
      <c r="D71" s="107"/>
      <c r="E71" s="107"/>
      <c r="F71" s="107"/>
      <c r="G71" s="107"/>
      <c r="H71" s="107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5">
      <c r="A72" s="5"/>
      <c r="B72" s="107"/>
      <c r="C72" s="5"/>
      <c r="D72" s="107"/>
      <c r="E72" s="107"/>
      <c r="F72" s="107"/>
      <c r="G72" s="107"/>
      <c r="H72" s="107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5">
      <c r="A73" s="5"/>
      <c r="B73" s="107"/>
      <c r="C73" s="5"/>
      <c r="D73" s="107"/>
      <c r="E73" s="107"/>
      <c r="F73" s="107"/>
      <c r="G73" s="107"/>
      <c r="H73" s="107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5">
      <c r="A74" s="5"/>
      <c r="B74" s="107"/>
      <c r="C74" s="5"/>
      <c r="D74" s="107"/>
      <c r="E74" s="107"/>
      <c r="F74" s="107"/>
      <c r="G74" s="107"/>
      <c r="H74" s="107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5">
      <c r="A75" s="5"/>
      <c r="B75" s="107"/>
      <c r="C75" s="5"/>
      <c r="D75" s="107"/>
      <c r="E75" s="107"/>
      <c r="F75" s="107"/>
      <c r="G75" s="107"/>
      <c r="H75" s="107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5">
      <c r="A76" s="5"/>
      <c r="B76" s="107"/>
      <c r="C76" s="5"/>
      <c r="D76" s="107"/>
      <c r="E76" s="107"/>
      <c r="F76" s="107"/>
      <c r="G76" s="107"/>
      <c r="H76" s="107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5">
      <c r="A77" s="5"/>
      <c r="B77" s="107"/>
      <c r="C77" s="5"/>
      <c r="D77" s="107"/>
      <c r="E77" s="107"/>
      <c r="F77" s="107"/>
      <c r="G77" s="107"/>
      <c r="H77" s="107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5">
      <c r="A78" s="5"/>
      <c r="B78" s="107"/>
      <c r="C78" s="5"/>
      <c r="D78" s="107"/>
      <c r="E78" s="107"/>
      <c r="F78" s="107"/>
      <c r="G78" s="107"/>
      <c r="H78" s="107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5">
      <c r="A79" s="5"/>
      <c r="B79" s="107"/>
      <c r="C79" s="5"/>
      <c r="D79" s="107"/>
      <c r="E79" s="107"/>
      <c r="F79" s="107"/>
      <c r="G79" s="107"/>
      <c r="H79" s="107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5">
      <c r="A80" s="5"/>
      <c r="B80" s="107"/>
      <c r="C80" s="5"/>
      <c r="D80" s="107"/>
      <c r="E80" s="107"/>
      <c r="F80" s="107"/>
      <c r="G80" s="107"/>
      <c r="H80" s="107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5">
      <c r="A81" s="5"/>
      <c r="B81" s="107"/>
      <c r="C81" s="5"/>
      <c r="D81" s="107"/>
      <c r="E81" s="107"/>
      <c r="F81" s="107"/>
      <c r="G81" s="107"/>
      <c r="H81" s="107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5">
      <c r="A82" s="5"/>
      <c r="B82" s="107"/>
      <c r="C82" s="5"/>
      <c r="D82" s="107"/>
      <c r="E82" s="107"/>
      <c r="F82" s="107"/>
      <c r="G82" s="107"/>
      <c r="H82" s="107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5">
      <c r="A83" s="5"/>
      <c r="B83" s="107"/>
      <c r="C83" s="5"/>
      <c r="D83" s="107"/>
      <c r="E83" s="107"/>
      <c r="F83" s="107"/>
      <c r="G83" s="107"/>
      <c r="H83" s="107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5">
      <c r="A84" s="5"/>
      <c r="B84" s="107"/>
      <c r="C84" s="5"/>
      <c r="D84" s="107"/>
      <c r="E84" s="107"/>
      <c r="F84" s="107"/>
      <c r="G84" s="107"/>
      <c r="H84" s="107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5">
      <c r="A85" s="5"/>
      <c r="B85" s="107"/>
      <c r="C85" s="5"/>
      <c r="D85" s="107"/>
      <c r="E85" s="107"/>
      <c r="F85" s="107"/>
      <c r="G85" s="107"/>
      <c r="H85" s="107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5">
      <c r="A86" s="5"/>
      <c r="B86" s="107"/>
      <c r="C86" s="5"/>
      <c r="D86" s="107"/>
      <c r="E86" s="107"/>
      <c r="F86" s="107"/>
      <c r="G86" s="107"/>
      <c r="H86" s="107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5">
      <c r="A87" s="5"/>
      <c r="B87" s="107"/>
      <c r="C87" s="5"/>
      <c r="D87" s="107"/>
      <c r="E87" s="107"/>
      <c r="F87" s="107"/>
      <c r="G87" s="107"/>
      <c r="H87" s="107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5">
      <c r="A88" s="5"/>
      <c r="B88" s="107"/>
      <c r="C88" s="5"/>
      <c r="D88" s="107"/>
      <c r="E88" s="107"/>
      <c r="F88" s="107"/>
      <c r="G88" s="107"/>
      <c r="H88" s="107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5">
      <c r="A89" s="5"/>
      <c r="B89" s="107"/>
      <c r="C89" s="5"/>
      <c r="D89" s="107"/>
      <c r="E89" s="107"/>
      <c r="F89" s="107"/>
      <c r="G89" s="107"/>
      <c r="H89" s="107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5">
      <c r="A90" s="5"/>
      <c r="B90" s="107"/>
      <c r="C90" s="5"/>
      <c r="D90" s="107"/>
      <c r="E90" s="107"/>
      <c r="F90" s="107"/>
      <c r="G90" s="107"/>
      <c r="H90" s="107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5">
      <c r="A91" s="5"/>
      <c r="B91" s="107"/>
      <c r="C91" s="5"/>
      <c r="D91" s="107"/>
      <c r="E91" s="107"/>
      <c r="F91" s="107"/>
      <c r="G91" s="107"/>
      <c r="H91" s="107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5">
      <c r="A92" s="5"/>
      <c r="B92" s="107"/>
      <c r="C92" s="5"/>
      <c r="D92" s="107"/>
      <c r="E92" s="107"/>
      <c r="F92" s="107"/>
      <c r="G92" s="107"/>
      <c r="H92" s="107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5">
      <c r="A93" s="5"/>
      <c r="B93" s="107"/>
      <c r="C93" s="5"/>
      <c r="D93" s="107"/>
      <c r="E93" s="107"/>
      <c r="F93" s="107"/>
      <c r="G93" s="107"/>
      <c r="H93" s="107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5">
      <c r="A94" s="5"/>
      <c r="B94" s="107"/>
      <c r="C94" s="5"/>
      <c r="D94" s="107"/>
      <c r="E94" s="107"/>
      <c r="F94" s="107"/>
      <c r="G94" s="107"/>
      <c r="H94" s="107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5">
      <c r="A95" s="5"/>
      <c r="B95" s="107"/>
      <c r="C95" s="5"/>
      <c r="D95" s="107"/>
      <c r="E95" s="107"/>
      <c r="F95" s="107"/>
      <c r="G95" s="107"/>
      <c r="H95" s="107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5">
      <c r="A96" s="5"/>
      <c r="B96" s="107"/>
      <c r="C96" s="5"/>
      <c r="D96" s="107"/>
      <c r="E96" s="107"/>
      <c r="F96" s="107"/>
      <c r="G96" s="107"/>
      <c r="H96" s="107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5">
      <c r="A97" s="5"/>
      <c r="B97" s="107"/>
      <c r="C97" s="5"/>
      <c r="D97" s="107"/>
      <c r="E97" s="107"/>
      <c r="F97" s="107"/>
      <c r="G97" s="107"/>
      <c r="H97" s="107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5">
      <c r="A98" s="5"/>
      <c r="B98" s="107"/>
      <c r="C98" s="5"/>
      <c r="D98" s="107"/>
      <c r="E98" s="107"/>
      <c r="F98" s="107"/>
      <c r="G98" s="107"/>
      <c r="H98" s="107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5">
      <c r="A99" s="5"/>
      <c r="B99" s="107"/>
      <c r="C99" s="5"/>
      <c r="D99" s="107"/>
      <c r="E99" s="107"/>
      <c r="F99" s="107"/>
      <c r="G99" s="107"/>
      <c r="H99" s="107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5">
      <c r="A100" s="5"/>
      <c r="B100" s="107"/>
      <c r="C100" s="5"/>
      <c r="D100" s="107"/>
      <c r="E100" s="107"/>
      <c r="F100" s="107"/>
      <c r="G100" s="107"/>
      <c r="H100" s="107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5">
      <c r="A101" s="5"/>
      <c r="B101" s="107"/>
      <c r="C101" s="5"/>
      <c r="D101" s="107"/>
      <c r="E101" s="107"/>
      <c r="F101" s="107"/>
      <c r="G101" s="107"/>
      <c r="H101" s="107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5">
      <c r="A102" s="5"/>
      <c r="B102" s="107"/>
      <c r="C102" s="5"/>
      <c r="D102" s="107"/>
      <c r="E102" s="107"/>
      <c r="F102" s="107"/>
      <c r="G102" s="107"/>
      <c r="H102" s="107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5">
      <c r="A103" s="5"/>
      <c r="B103" s="107"/>
      <c r="C103" s="5"/>
      <c r="D103" s="107"/>
      <c r="E103" s="107"/>
      <c r="F103" s="107"/>
      <c r="G103" s="107"/>
      <c r="H103" s="107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5">
      <c r="A104" s="5"/>
      <c r="B104" s="107"/>
      <c r="C104" s="5"/>
      <c r="D104" s="107"/>
      <c r="E104" s="107"/>
      <c r="F104" s="107"/>
      <c r="G104" s="107"/>
      <c r="H104" s="107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5">
      <c r="A105" s="5"/>
      <c r="B105" s="107"/>
      <c r="C105" s="5"/>
      <c r="D105" s="107"/>
      <c r="E105" s="107"/>
      <c r="F105" s="107"/>
      <c r="G105" s="107"/>
      <c r="H105" s="107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5">
      <c r="A106" s="5"/>
      <c r="B106" s="107"/>
      <c r="C106" s="5"/>
      <c r="D106" s="107"/>
      <c r="E106" s="107"/>
      <c r="F106" s="107"/>
      <c r="G106" s="107"/>
      <c r="H106" s="107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5">
      <c r="A107" s="5"/>
      <c r="B107" s="107"/>
      <c r="C107" s="5"/>
      <c r="D107" s="107"/>
      <c r="E107" s="107"/>
      <c r="F107" s="107"/>
      <c r="G107" s="107"/>
      <c r="H107" s="107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5">
      <c r="A108" s="5"/>
      <c r="B108" s="107"/>
      <c r="C108" s="5"/>
      <c r="D108" s="107"/>
      <c r="E108" s="107"/>
      <c r="F108" s="107"/>
      <c r="G108" s="107"/>
      <c r="H108" s="107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5">
      <c r="A109" s="5"/>
      <c r="B109" s="107"/>
      <c r="C109" s="5"/>
      <c r="D109" s="107"/>
      <c r="E109" s="107"/>
      <c r="F109" s="107"/>
      <c r="G109" s="107"/>
      <c r="H109" s="107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5">
      <c r="A110" s="5"/>
      <c r="B110" s="107"/>
      <c r="C110" s="5"/>
      <c r="D110" s="107"/>
      <c r="E110" s="107"/>
      <c r="F110" s="107"/>
      <c r="G110" s="107"/>
      <c r="H110" s="107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5">
      <c r="A111" s="5"/>
      <c r="B111" s="107"/>
      <c r="C111" s="5"/>
      <c r="D111" s="107"/>
      <c r="E111" s="107"/>
      <c r="F111" s="107"/>
      <c r="G111" s="107"/>
      <c r="H111" s="107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5">
      <c r="A112" s="5"/>
      <c r="B112" s="107"/>
      <c r="C112" s="5"/>
      <c r="D112" s="107"/>
      <c r="E112" s="107"/>
      <c r="F112" s="107"/>
      <c r="G112" s="107"/>
      <c r="H112" s="107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5">
      <c r="A113" s="5"/>
      <c r="B113" s="107"/>
      <c r="C113" s="5"/>
      <c r="D113" s="107"/>
      <c r="E113" s="107"/>
      <c r="F113" s="107"/>
      <c r="G113" s="107"/>
      <c r="H113" s="107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5">
      <c r="A114" s="5"/>
      <c r="B114" s="107"/>
      <c r="C114" s="5"/>
      <c r="D114" s="107"/>
      <c r="E114" s="107"/>
      <c r="F114" s="107"/>
      <c r="G114" s="107"/>
      <c r="H114" s="107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5">
      <c r="A115" s="5"/>
      <c r="B115" s="107"/>
      <c r="C115" s="5"/>
      <c r="D115" s="107"/>
      <c r="E115" s="107"/>
      <c r="F115" s="107"/>
      <c r="G115" s="107"/>
      <c r="H115" s="107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5">
      <c r="A116" s="5"/>
      <c r="B116" s="107"/>
      <c r="C116" s="5"/>
      <c r="D116" s="107"/>
      <c r="E116" s="107"/>
      <c r="F116" s="107"/>
      <c r="G116" s="107"/>
      <c r="H116" s="107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5">
      <c r="A117" s="5"/>
      <c r="B117" s="107"/>
      <c r="C117" s="5"/>
      <c r="D117" s="107"/>
      <c r="E117" s="107"/>
      <c r="F117" s="107"/>
      <c r="G117" s="107"/>
      <c r="H117" s="107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5">
      <c r="A118" s="5"/>
      <c r="B118" s="107"/>
      <c r="C118" s="5"/>
      <c r="D118" s="107"/>
      <c r="E118" s="107"/>
      <c r="F118" s="107"/>
      <c r="G118" s="107"/>
      <c r="H118" s="107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5">
      <c r="A119" s="5"/>
      <c r="B119" s="107"/>
      <c r="C119" s="5"/>
      <c r="D119" s="107"/>
      <c r="E119" s="107"/>
      <c r="F119" s="107"/>
      <c r="G119" s="107"/>
      <c r="H119" s="107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5">
      <c r="A120" s="5"/>
      <c r="B120" s="107"/>
      <c r="C120" s="5"/>
      <c r="D120" s="107"/>
      <c r="E120" s="107"/>
      <c r="F120" s="107"/>
      <c r="G120" s="107"/>
      <c r="H120" s="107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5">
      <c r="A121" s="5"/>
      <c r="B121" s="107"/>
      <c r="C121" s="5"/>
      <c r="D121" s="107"/>
      <c r="E121" s="107"/>
      <c r="F121" s="107"/>
      <c r="G121" s="107"/>
      <c r="H121" s="107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5">
      <c r="A122" s="5"/>
      <c r="B122" s="107"/>
      <c r="C122" s="5"/>
      <c r="D122" s="107"/>
      <c r="E122" s="107"/>
      <c r="F122" s="107"/>
      <c r="G122" s="107"/>
      <c r="H122" s="107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5">
      <c r="A123" s="5"/>
      <c r="B123" s="107"/>
      <c r="C123" s="5"/>
      <c r="D123" s="107"/>
      <c r="E123" s="107"/>
      <c r="F123" s="107"/>
      <c r="G123" s="107"/>
      <c r="H123" s="107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5">
      <c r="A124" s="5"/>
      <c r="B124" s="107"/>
      <c r="C124" s="5"/>
      <c r="D124" s="107"/>
      <c r="E124" s="107"/>
      <c r="F124" s="107"/>
      <c r="G124" s="107"/>
      <c r="H124" s="107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5">
      <c r="A125" s="5"/>
      <c r="B125" s="107"/>
      <c r="C125" s="5"/>
      <c r="D125" s="107"/>
      <c r="E125" s="107"/>
      <c r="F125" s="107"/>
      <c r="G125" s="107"/>
      <c r="H125" s="107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5">
      <c r="A126" s="5"/>
      <c r="B126" s="107"/>
      <c r="C126" s="5"/>
      <c r="D126" s="107"/>
      <c r="E126" s="107"/>
      <c r="F126" s="107"/>
      <c r="G126" s="107"/>
      <c r="H126" s="107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5">
      <c r="A127" s="5"/>
      <c r="B127" s="107"/>
      <c r="C127" s="5"/>
      <c r="D127" s="107"/>
      <c r="E127" s="107"/>
      <c r="F127" s="107"/>
      <c r="G127" s="107"/>
      <c r="H127" s="107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5">
      <c r="A128" s="5"/>
      <c r="B128" s="107"/>
      <c r="C128" s="5"/>
      <c r="D128" s="107"/>
      <c r="E128" s="107"/>
      <c r="F128" s="107"/>
      <c r="G128" s="107"/>
      <c r="H128" s="107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5">
      <c r="A129" s="5"/>
      <c r="B129" s="107"/>
      <c r="C129" s="5"/>
      <c r="D129" s="107"/>
      <c r="E129" s="107"/>
      <c r="F129" s="107"/>
      <c r="G129" s="107"/>
      <c r="H129" s="107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5">
      <c r="A130" s="5"/>
      <c r="B130" s="107"/>
      <c r="C130" s="5"/>
      <c r="D130" s="107"/>
      <c r="E130" s="107"/>
      <c r="F130" s="107"/>
      <c r="G130" s="107"/>
      <c r="H130" s="107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5">
      <c r="A131" s="5"/>
      <c r="B131" s="107"/>
      <c r="C131" s="5"/>
      <c r="D131" s="107"/>
      <c r="E131" s="107"/>
      <c r="F131" s="107"/>
      <c r="G131" s="107"/>
      <c r="H131" s="107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5">
      <c r="A132" s="5"/>
      <c r="B132" s="107"/>
      <c r="C132" s="5"/>
      <c r="D132" s="107"/>
      <c r="E132" s="107"/>
      <c r="F132" s="107"/>
      <c r="G132" s="107"/>
      <c r="H132" s="107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5">
      <c r="A133" s="5"/>
      <c r="B133" s="107"/>
      <c r="C133" s="5"/>
      <c r="D133" s="107"/>
      <c r="E133" s="107"/>
      <c r="F133" s="107"/>
      <c r="G133" s="107"/>
      <c r="H133" s="107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5">
      <c r="A134" s="5"/>
      <c r="B134" s="107"/>
      <c r="C134" s="5"/>
      <c r="D134" s="107"/>
      <c r="E134" s="107"/>
      <c r="F134" s="107"/>
      <c r="G134" s="107"/>
      <c r="H134" s="107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5">
      <c r="A135" s="5"/>
      <c r="B135" s="107"/>
      <c r="C135" s="5"/>
      <c r="D135" s="107"/>
      <c r="E135" s="107"/>
      <c r="F135" s="107"/>
      <c r="G135" s="107"/>
      <c r="H135" s="107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5">
      <c r="A136" s="5"/>
      <c r="B136" s="107"/>
      <c r="C136" s="5"/>
      <c r="D136" s="107"/>
      <c r="E136" s="107"/>
      <c r="F136" s="107"/>
      <c r="G136" s="107"/>
      <c r="H136" s="107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5">
      <c r="A137" s="5"/>
      <c r="B137" s="107"/>
      <c r="C137" s="5"/>
      <c r="D137" s="107"/>
      <c r="E137" s="107"/>
      <c r="F137" s="107"/>
      <c r="G137" s="107"/>
      <c r="H137" s="107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5">
      <c r="A138" s="5"/>
      <c r="B138" s="107"/>
      <c r="C138" s="5"/>
      <c r="D138" s="107"/>
      <c r="E138" s="107"/>
      <c r="F138" s="107"/>
      <c r="G138" s="107"/>
      <c r="H138" s="107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5">
      <c r="A139" s="5"/>
      <c r="B139" s="107"/>
      <c r="C139" s="5"/>
      <c r="D139" s="107"/>
      <c r="E139" s="107"/>
      <c r="F139" s="107"/>
      <c r="G139" s="107"/>
      <c r="H139" s="107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5">
      <c r="A140" s="5"/>
      <c r="B140" s="107"/>
      <c r="C140" s="5"/>
      <c r="D140" s="107"/>
      <c r="E140" s="107"/>
      <c r="F140" s="107"/>
      <c r="G140" s="107"/>
      <c r="H140" s="107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5">
      <c r="A141" s="5"/>
      <c r="B141" s="107"/>
      <c r="C141" s="5"/>
      <c r="D141" s="107"/>
      <c r="E141" s="107"/>
      <c r="F141" s="107"/>
      <c r="G141" s="107"/>
      <c r="H141" s="107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5">
      <c r="A142" s="5"/>
      <c r="B142" s="107"/>
      <c r="C142" s="5"/>
      <c r="D142" s="107"/>
      <c r="E142" s="107"/>
      <c r="F142" s="107"/>
      <c r="G142" s="107"/>
      <c r="H142" s="107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5">
      <c r="A143" s="5"/>
      <c r="B143" s="107"/>
      <c r="C143" s="5"/>
      <c r="D143" s="107"/>
      <c r="E143" s="107"/>
      <c r="F143" s="107"/>
      <c r="G143" s="107"/>
      <c r="H143" s="107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5">
      <c r="A144" s="5"/>
      <c r="B144" s="107"/>
      <c r="C144" s="5"/>
      <c r="D144" s="107"/>
      <c r="E144" s="107"/>
      <c r="F144" s="107"/>
      <c r="G144" s="107"/>
      <c r="H144" s="107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5">
      <c r="A145" s="5"/>
      <c r="B145" s="107"/>
      <c r="C145" s="5"/>
      <c r="D145" s="107"/>
      <c r="E145" s="107"/>
      <c r="F145" s="107"/>
      <c r="G145" s="107"/>
      <c r="H145" s="107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5">
      <c r="A146" s="5"/>
      <c r="B146" s="107"/>
      <c r="C146" s="5"/>
      <c r="D146" s="107"/>
      <c r="E146" s="107"/>
      <c r="F146" s="107"/>
      <c r="G146" s="107"/>
      <c r="H146" s="107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5">
      <c r="A147" s="5"/>
      <c r="B147" s="107"/>
      <c r="C147" s="5"/>
      <c r="D147" s="107"/>
      <c r="E147" s="107"/>
      <c r="F147" s="107"/>
      <c r="G147" s="107"/>
      <c r="H147" s="107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5">
      <c r="A148" s="5"/>
      <c r="B148" s="107"/>
      <c r="C148" s="5"/>
      <c r="D148" s="107"/>
      <c r="E148" s="107"/>
      <c r="F148" s="107"/>
      <c r="G148" s="107"/>
      <c r="H148" s="107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5">
      <c r="A149" s="5"/>
      <c r="B149" s="107"/>
      <c r="C149" s="5"/>
      <c r="D149" s="107"/>
      <c r="E149" s="107"/>
      <c r="F149" s="107"/>
      <c r="G149" s="107"/>
      <c r="H149" s="107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5">
      <c r="A150" s="5"/>
      <c r="B150" s="107"/>
      <c r="C150" s="5"/>
      <c r="D150" s="107"/>
      <c r="E150" s="107"/>
      <c r="F150" s="107"/>
      <c r="G150" s="107"/>
      <c r="H150" s="107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5">
      <c r="A151" s="5"/>
      <c r="B151" s="107"/>
      <c r="C151" s="5"/>
      <c r="D151" s="107"/>
      <c r="E151" s="107"/>
      <c r="F151" s="107"/>
      <c r="G151" s="107"/>
      <c r="H151" s="107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5">
      <c r="A152" s="5"/>
      <c r="B152" s="107"/>
      <c r="C152" s="5"/>
      <c r="D152" s="107"/>
      <c r="E152" s="107"/>
      <c r="F152" s="107"/>
      <c r="G152" s="107"/>
      <c r="H152" s="107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5">
      <c r="A153" s="5"/>
      <c r="B153" s="107"/>
      <c r="C153" s="5"/>
      <c r="D153" s="107"/>
      <c r="E153" s="107"/>
      <c r="F153" s="107"/>
      <c r="G153" s="107"/>
      <c r="H153" s="107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5">
      <c r="A154" s="5"/>
      <c r="B154" s="107"/>
      <c r="C154" s="5"/>
      <c r="D154" s="107"/>
      <c r="E154" s="107"/>
      <c r="F154" s="107"/>
      <c r="G154" s="107"/>
      <c r="H154" s="107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5">
      <c r="A155" s="5"/>
      <c r="B155" s="107"/>
      <c r="C155" s="5"/>
      <c r="D155" s="107"/>
      <c r="E155" s="107"/>
      <c r="F155" s="107"/>
      <c r="G155" s="107"/>
      <c r="H155" s="107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5">
      <c r="A156" s="5"/>
      <c r="B156" s="107"/>
      <c r="C156" s="5"/>
      <c r="D156" s="107"/>
      <c r="E156" s="107"/>
      <c r="F156" s="107"/>
      <c r="G156" s="107"/>
      <c r="H156" s="107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5">
      <c r="A157" s="5"/>
      <c r="B157" s="107"/>
      <c r="C157" s="5"/>
      <c r="D157" s="107"/>
      <c r="E157" s="107"/>
      <c r="F157" s="107"/>
      <c r="G157" s="107"/>
      <c r="H157" s="107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5">
      <c r="A158" s="5"/>
      <c r="B158" s="107"/>
      <c r="C158" s="5"/>
      <c r="D158" s="107"/>
      <c r="E158" s="107"/>
      <c r="F158" s="107"/>
      <c r="G158" s="107"/>
      <c r="H158" s="107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5">
      <c r="A159" s="5"/>
      <c r="B159" s="107"/>
      <c r="C159" s="5"/>
      <c r="D159" s="107"/>
      <c r="E159" s="107"/>
      <c r="F159" s="107"/>
      <c r="G159" s="107"/>
      <c r="H159" s="107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5">
      <c r="A160" s="5"/>
      <c r="B160" s="107"/>
      <c r="C160" s="5"/>
      <c r="D160" s="107"/>
      <c r="E160" s="107"/>
      <c r="F160" s="107"/>
      <c r="G160" s="107"/>
      <c r="H160" s="107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5">
      <c r="A161" s="5"/>
      <c r="B161" s="107"/>
      <c r="C161" s="5"/>
      <c r="D161" s="107"/>
      <c r="E161" s="107"/>
      <c r="F161" s="107"/>
      <c r="G161" s="107"/>
      <c r="H161" s="107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5">
      <c r="A162" s="5"/>
      <c r="B162" s="107"/>
      <c r="C162" s="5"/>
      <c r="D162" s="107"/>
      <c r="E162" s="107"/>
      <c r="F162" s="107"/>
      <c r="G162" s="107"/>
      <c r="H162" s="107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5">
      <c r="A163" s="5"/>
      <c r="B163" s="107"/>
      <c r="C163" s="5"/>
      <c r="D163" s="107"/>
      <c r="E163" s="107"/>
      <c r="F163" s="107"/>
      <c r="G163" s="107"/>
      <c r="H163" s="107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5">
      <c r="A164" s="5"/>
      <c r="B164" s="107"/>
      <c r="C164" s="5"/>
      <c r="D164" s="107"/>
      <c r="E164" s="107"/>
      <c r="F164" s="107"/>
      <c r="G164" s="107"/>
      <c r="H164" s="107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5">
      <c r="A165" s="5"/>
      <c r="B165" s="107"/>
      <c r="C165" s="5"/>
      <c r="D165" s="107"/>
      <c r="E165" s="107"/>
      <c r="F165" s="107"/>
      <c r="G165" s="107"/>
      <c r="H165" s="107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5">
      <c r="A166" s="5"/>
      <c r="B166" s="107"/>
      <c r="C166" s="5"/>
      <c r="D166" s="107"/>
      <c r="E166" s="107"/>
      <c r="F166" s="107"/>
      <c r="G166" s="107"/>
      <c r="H166" s="107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5">
      <c r="A167" s="5"/>
      <c r="B167" s="107"/>
      <c r="C167" s="5"/>
      <c r="D167" s="107"/>
      <c r="E167" s="107"/>
      <c r="F167" s="107"/>
      <c r="G167" s="107"/>
      <c r="H167" s="107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5">
      <c r="A168" s="5"/>
      <c r="B168" s="107"/>
      <c r="C168" s="5"/>
      <c r="D168" s="107"/>
      <c r="E168" s="107"/>
      <c r="F168" s="107"/>
      <c r="G168" s="107"/>
      <c r="H168" s="107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5">
      <c r="A169" s="5"/>
      <c r="B169" s="107"/>
      <c r="C169" s="5"/>
      <c r="D169" s="107"/>
      <c r="E169" s="107"/>
      <c r="F169" s="107"/>
      <c r="G169" s="107"/>
      <c r="H169" s="107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5">
      <c r="A170" s="5"/>
      <c r="B170" s="107"/>
      <c r="C170" s="5"/>
      <c r="D170" s="107"/>
      <c r="E170" s="107"/>
      <c r="F170" s="107"/>
      <c r="G170" s="107"/>
      <c r="H170" s="107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5">
      <c r="A171" s="5"/>
      <c r="B171" s="107"/>
      <c r="C171" s="5"/>
      <c r="D171" s="107"/>
      <c r="E171" s="107"/>
      <c r="F171" s="107"/>
      <c r="G171" s="107"/>
      <c r="H171" s="107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5">
      <c r="A172" s="5"/>
      <c r="B172" s="107"/>
      <c r="C172" s="5"/>
      <c r="D172" s="107"/>
      <c r="E172" s="107"/>
      <c r="F172" s="107"/>
      <c r="G172" s="107"/>
      <c r="H172" s="107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5">
      <c r="A173" s="5"/>
      <c r="B173" s="107"/>
      <c r="C173" s="5"/>
      <c r="D173" s="107"/>
      <c r="E173" s="107"/>
      <c r="F173" s="107"/>
      <c r="G173" s="107"/>
      <c r="H173" s="107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5">
      <c r="A174" s="5"/>
      <c r="B174" s="107"/>
      <c r="C174" s="5"/>
      <c r="D174" s="107"/>
      <c r="E174" s="107"/>
      <c r="F174" s="107"/>
      <c r="G174" s="107"/>
      <c r="H174" s="107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5">
      <c r="A175" s="5"/>
      <c r="B175" s="107"/>
      <c r="C175" s="5"/>
      <c r="D175" s="107"/>
      <c r="E175" s="107"/>
      <c r="F175" s="107"/>
      <c r="G175" s="107"/>
      <c r="H175" s="107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5">
      <c r="A176" s="5"/>
      <c r="B176" s="107"/>
      <c r="C176" s="5"/>
      <c r="D176" s="107"/>
      <c r="E176" s="107"/>
      <c r="F176" s="107"/>
      <c r="G176" s="107"/>
      <c r="H176" s="107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5">
      <c r="A177" s="5"/>
      <c r="B177" s="107"/>
      <c r="C177" s="5"/>
      <c r="D177" s="107"/>
      <c r="E177" s="107"/>
      <c r="F177" s="107"/>
      <c r="G177" s="107"/>
      <c r="H177" s="107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5">
      <c r="A178" s="5"/>
      <c r="B178" s="107"/>
      <c r="C178" s="5"/>
      <c r="D178" s="107"/>
      <c r="E178" s="107"/>
      <c r="F178" s="107"/>
      <c r="G178" s="107"/>
      <c r="H178" s="107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5">
      <c r="A179" s="5"/>
      <c r="B179" s="107"/>
      <c r="C179" s="5"/>
      <c r="D179" s="107"/>
      <c r="E179" s="107"/>
      <c r="F179" s="107"/>
      <c r="G179" s="107"/>
      <c r="H179" s="107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5">
      <c r="A180" s="5"/>
      <c r="B180" s="107"/>
      <c r="C180" s="5"/>
      <c r="D180" s="107"/>
      <c r="E180" s="107"/>
      <c r="F180" s="107"/>
      <c r="G180" s="107"/>
      <c r="H180" s="107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5">
      <c r="A181" s="5"/>
      <c r="B181" s="107"/>
      <c r="C181" s="5"/>
      <c r="D181" s="107"/>
      <c r="E181" s="107"/>
      <c r="F181" s="107"/>
      <c r="G181" s="107"/>
      <c r="H181" s="107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5">
      <c r="A182" s="5"/>
      <c r="B182" s="107"/>
      <c r="C182" s="5"/>
      <c r="D182" s="107"/>
      <c r="E182" s="107"/>
      <c r="F182" s="107"/>
      <c r="G182" s="107"/>
      <c r="H182" s="107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5">
      <c r="A183" s="5"/>
      <c r="B183" s="107"/>
      <c r="C183" s="5"/>
      <c r="D183" s="107"/>
      <c r="E183" s="107"/>
      <c r="F183" s="107"/>
      <c r="G183" s="107"/>
      <c r="H183" s="107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5">
      <c r="A184" s="5"/>
      <c r="B184" s="107"/>
      <c r="C184" s="5"/>
      <c r="D184" s="107"/>
      <c r="E184" s="107"/>
      <c r="F184" s="107"/>
      <c r="G184" s="107"/>
      <c r="H184" s="107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5">
      <c r="A185" s="5"/>
      <c r="B185" s="107"/>
      <c r="C185" s="5"/>
      <c r="D185" s="107"/>
      <c r="E185" s="107"/>
      <c r="F185" s="107"/>
      <c r="G185" s="107"/>
      <c r="H185" s="107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5">
      <c r="A186" s="5"/>
      <c r="B186" s="107"/>
      <c r="C186" s="5"/>
      <c r="D186" s="107"/>
      <c r="E186" s="107"/>
      <c r="F186" s="107"/>
      <c r="G186" s="107"/>
      <c r="H186" s="107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5">
      <c r="A187" s="5"/>
      <c r="B187" s="107"/>
      <c r="C187" s="5"/>
      <c r="D187" s="107"/>
      <c r="E187" s="107"/>
      <c r="F187" s="107"/>
      <c r="G187" s="107"/>
      <c r="H187" s="107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5">
      <c r="A188" s="5"/>
      <c r="B188" s="107"/>
      <c r="C188" s="5"/>
      <c r="D188" s="107"/>
      <c r="E188" s="107"/>
      <c r="F188" s="107"/>
      <c r="G188" s="107"/>
      <c r="H188" s="107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5">
      <c r="A189" s="5"/>
      <c r="B189" s="107"/>
      <c r="C189" s="5"/>
      <c r="D189" s="107"/>
      <c r="E189" s="107"/>
      <c r="F189" s="107"/>
      <c r="G189" s="107"/>
      <c r="H189" s="107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5">
      <c r="A190" s="5"/>
      <c r="B190" s="107"/>
      <c r="C190" s="5"/>
      <c r="D190" s="107"/>
      <c r="E190" s="107"/>
      <c r="F190" s="107"/>
      <c r="G190" s="107"/>
      <c r="H190" s="107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5">
      <c r="A191" s="5"/>
      <c r="B191" s="107"/>
      <c r="C191" s="5"/>
      <c r="D191" s="107"/>
      <c r="E191" s="107"/>
      <c r="F191" s="107"/>
      <c r="G191" s="107"/>
      <c r="H191" s="107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5">
      <c r="A192" s="5"/>
      <c r="B192" s="107"/>
      <c r="C192" s="5"/>
      <c r="D192" s="107"/>
      <c r="E192" s="107"/>
      <c r="F192" s="107"/>
      <c r="G192" s="107"/>
      <c r="H192" s="107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5">
      <c r="A193" s="5"/>
      <c r="B193" s="107"/>
      <c r="C193" s="5"/>
      <c r="D193" s="107"/>
      <c r="E193" s="107"/>
      <c r="F193" s="107"/>
      <c r="G193" s="107"/>
      <c r="H193" s="107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5">
      <c r="A194" s="5"/>
      <c r="B194" s="107"/>
      <c r="C194" s="5"/>
      <c r="D194" s="107"/>
      <c r="E194" s="107"/>
      <c r="F194" s="107"/>
      <c r="G194" s="107"/>
      <c r="H194" s="107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5">
      <c r="A195" s="5"/>
      <c r="B195" s="107"/>
      <c r="C195" s="5"/>
      <c r="D195" s="107"/>
      <c r="E195" s="107"/>
      <c r="F195" s="107"/>
      <c r="G195" s="107"/>
      <c r="H195" s="107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5">
      <c r="A196" s="5"/>
      <c r="B196" s="107"/>
      <c r="C196" s="5"/>
      <c r="D196" s="107"/>
      <c r="E196" s="107"/>
      <c r="F196" s="107"/>
      <c r="G196" s="107"/>
      <c r="H196" s="107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5">
      <c r="A197" s="5"/>
      <c r="B197" s="107"/>
      <c r="C197" s="5"/>
      <c r="D197" s="107"/>
      <c r="E197" s="107"/>
      <c r="F197" s="107"/>
      <c r="G197" s="107"/>
      <c r="H197" s="107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5">
      <c r="A198" s="5"/>
      <c r="B198" s="107"/>
      <c r="C198" s="5"/>
      <c r="D198" s="107"/>
      <c r="E198" s="107"/>
      <c r="F198" s="107"/>
      <c r="G198" s="107"/>
      <c r="H198" s="107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5">
      <c r="A199" s="5"/>
      <c r="B199" s="107"/>
      <c r="C199" s="5"/>
      <c r="D199" s="107"/>
      <c r="E199" s="107"/>
      <c r="F199" s="107"/>
      <c r="G199" s="107"/>
      <c r="H199" s="107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5">
      <c r="A200" s="5"/>
      <c r="B200" s="107"/>
      <c r="C200" s="5"/>
      <c r="D200" s="107"/>
      <c r="E200" s="107"/>
      <c r="F200" s="107"/>
      <c r="G200" s="107"/>
      <c r="H200" s="107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5">
      <c r="A201" s="5"/>
      <c r="B201" s="107"/>
      <c r="C201" s="5"/>
      <c r="D201" s="107"/>
      <c r="E201" s="107"/>
      <c r="F201" s="107"/>
      <c r="G201" s="107"/>
      <c r="H201" s="107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5">
      <c r="A202" s="5"/>
      <c r="B202" s="107"/>
      <c r="C202" s="5"/>
      <c r="D202" s="107"/>
      <c r="E202" s="107"/>
      <c r="F202" s="107"/>
      <c r="G202" s="107"/>
      <c r="H202" s="107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5">
      <c r="A203" s="5"/>
      <c r="B203" s="107"/>
      <c r="C203" s="5"/>
      <c r="D203" s="107"/>
      <c r="E203" s="107"/>
      <c r="F203" s="107"/>
      <c r="G203" s="107"/>
      <c r="H203" s="107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5">
      <c r="A204" s="5"/>
      <c r="B204" s="107"/>
      <c r="C204" s="5"/>
      <c r="D204" s="107"/>
      <c r="E204" s="107"/>
      <c r="F204" s="107"/>
      <c r="G204" s="107"/>
      <c r="H204" s="107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5">
      <c r="A205" s="5"/>
      <c r="B205" s="107"/>
      <c r="C205" s="5"/>
      <c r="D205" s="107"/>
      <c r="E205" s="107"/>
      <c r="F205" s="107"/>
      <c r="G205" s="107"/>
      <c r="H205" s="107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5">
      <c r="A206" s="5"/>
      <c r="B206" s="107"/>
      <c r="C206" s="5"/>
      <c r="D206" s="107"/>
      <c r="E206" s="107"/>
      <c r="F206" s="107"/>
      <c r="G206" s="107"/>
      <c r="H206" s="107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5">
      <c r="A207" s="5"/>
      <c r="B207" s="107"/>
      <c r="C207" s="5"/>
      <c r="D207" s="107"/>
      <c r="E207" s="107"/>
      <c r="F207" s="107"/>
      <c r="G207" s="107"/>
      <c r="H207" s="107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5">
      <c r="A208" s="5"/>
      <c r="B208" s="107"/>
      <c r="C208" s="5"/>
      <c r="D208" s="107"/>
      <c r="E208" s="107"/>
      <c r="F208" s="107"/>
      <c r="G208" s="107"/>
      <c r="H208" s="107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5">
      <c r="A209" s="5"/>
      <c r="B209" s="107"/>
      <c r="C209" s="5"/>
      <c r="D209" s="107"/>
      <c r="E209" s="107"/>
      <c r="F209" s="107"/>
      <c r="G209" s="107"/>
      <c r="H209" s="107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5">
      <c r="A210" s="5"/>
      <c r="B210" s="107"/>
      <c r="C210" s="5"/>
      <c r="D210" s="107"/>
      <c r="E210" s="107"/>
      <c r="F210" s="107"/>
      <c r="G210" s="107"/>
      <c r="H210" s="107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5">
      <c r="A211" s="5"/>
      <c r="B211" s="107"/>
      <c r="C211" s="5"/>
      <c r="D211" s="107"/>
      <c r="E211" s="107"/>
      <c r="F211" s="107"/>
      <c r="G211" s="107"/>
      <c r="H211" s="107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5">
      <c r="A212" s="5"/>
      <c r="B212" s="107"/>
      <c r="C212" s="5"/>
      <c r="D212" s="107"/>
      <c r="E212" s="107"/>
      <c r="F212" s="107"/>
      <c r="G212" s="107"/>
      <c r="H212" s="107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5">
      <c r="A213" s="5"/>
      <c r="B213" s="107"/>
      <c r="C213" s="5"/>
      <c r="D213" s="107"/>
      <c r="E213" s="107"/>
      <c r="F213" s="107"/>
      <c r="G213" s="107"/>
      <c r="H213" s="107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5">
      <c r="A214" s="5"/>
      <c r="B214" s="107"/>
      <c r="C214" s="5"/>
      <c r="D214" s="107"/>
      <c r="E214" s="107"/>
      <c r="F214" s="107"/>
      <c r="G214" s="107"/>
      <c r="H214" s="107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5">
      <c r="A215" s="5"/>
      <c r="B215" s="107"/>
      <c r="C215" s="5"/>
      <c r="D215" s="107"/>
      <c r="E215" s="107"/>
      <c r="F215" s="107"/>
      <c r="G215" s="107"/>
      <c r="H215" s="107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5">
      <c r="A216" s="5"/>
      <c r="B216" s="107"/>
      <c r="C216" s="5"/>
      <c r="D216" s="107"/>
      <c r="E216" s="107"/>
      <c r="F216" s="107"/>
      <c r="G216" s="107"/>
      <c r="H216" s="107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5">
      <c r="A217" s="5"/>
      <c r="B217" s="107"/>
      <c r="C217" s="5"/>
      <c r="D217" s="107"/>
      <c r="E217" s="107"/>
      <c r="F217" s="107"/>
      <c r="G217" s="107"/>
      <c r="H217" s="107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5">
      <c r="A218" s="5"/>
      <c r="B218" s="107"/>
      <c r="C218" s="5"/>
      <c r="D218" s="107"/>
      <c r="E218" s="107"/>
      <c r="F218" s="107"/>
      <c r="G218" s="107"/>
      <c r="H218" s="107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5">
      <c r="A219" s="5"/>
      <c r="B219" s="107"/>
      <c r="C219" s="5"/>
      <c r="D219" s="107"/>
      <c r="E219" s="107"/>
      <c r="F219" s="107"/>
      <c r="G219" s="107"/>
      <c r="H219" s="107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5">
      <c r="A220" s="5"/>
      <c r="B220" s="5"/>
      <c r="C220" s="5"/>
      <c r="D220" s="107"/>
      <c r="E220" s="107"/>
      <c r="F220" s="107"/>
      <c r="G220" s="107"/>
      <c r="H220" s="107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5"/>
    <row r="270" spans="1:26" ht="15.75" customHeight="1" x14ac:dyDescent="0.25"/>
    <row r="271" spans="1:26" ht="15.75" customHeight="1" x14ac:dyDescent="0.25"/>
    <row r="272" spans="1:26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D1:L1"/>
  </mergeCell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FF00"/>
  </sheetPr>
  <dimension ref="A1:Z1000"/>
  <sheetViews>
    <sheetView workbookViewId="0">
      <selection activeCell="G13" sqref="G13"/>
    </sheetView>
  </sheetViews>
  <sheetFormatPr defaultColWidth="11.125" defaultRowHeight="15" customHeight="1" x14ac:dyDescent="0.25"/>
  <cols>
    <col min="1" max="1" width="8.875" customWidth="1"/>
    <col min="2" max="2" width="41.125" bestFit="1" customWidth="1"/>
    <col min="3" max="3" width="11.625" customWidth="1"/>
    <col min="4" max="4" width="7.5" bestFit="1" customWidth="1"/>
    <col min="5" max="5" width="8.625" bestFit="1" customWidth="1"/>
    <col min="6" max="6" width="8.625" customWidth="1"/>
    <col min="7" max="7" width="11.625" customWidth="1"/>
    <col min="8" max="8" width="10.625" customWidth="1"/>
    <col min="9" max="9" width="12.625" bestFit="1" customWidth="1"/>
    <col min="10" max="10" width="10.625" bestFit="1" customWidth="1"/>
    <col min="11" max="11" width="11.625" bestFit="1" customWidth="1"/>
    <col min="12" max="12" width="11" customWidth="1"/>
    <col min="13" max="18" width="10.625" bestFit="1" customWidth="1"/>
    <col min="19" max="19" width="8.375" customWidth="1"/>
    <col min="20" max="26" width="11.125" customWidth="1"/>
  </cols>
  <sheetData>
    <row r="1" spans="1:26" ht="18" customHeight="1" x14ac:dyDescent="0.25">
      <c r="A1" s="1"/>
      <c r="B1" s="3"/>
      <c r="C1" s="1"/>
      <c r="D1" s="165">
        <v>2026</v>
      </c>
      <c r="E1" s="164"/>
      <c r="F1" s="164"/>
      <c r="G1" s="164"/>
      <c r="H1" s="164"/>
      <c r="I1" s="164"/>
      <c r="J1" s="164"/>
      <c r="K1" s="164"/>
      <c r="L1" s="164"/>
      <c r="M1" s="151">
        <v>2027</v>
      </c>
      <c r="N1" s="8"/>
      <c r="O1" s="8"/>
      <c r="P1" s="8"/>
      <c r="Q1" s="8"/>
      <c r="R1" s="8"/>
      <c r="S1" s="8"/>
      <c r="T1" s="5"/>
      <c r="U1" s="5"/>
      <c r="V1" s="5"/>
      <c r="W1" s="5"/>
      <c r="X1" s="5"/>
      <c r="Y1" s="5"/>
      <c r="Z1" s="5"/>
    </row>
    <row r="2" spans="1:26" ht="15.75" customHeight="1" x14ac:dyDescent="0.25">
      <c r="A2" s="10" t="s">
        <v>63</v>
      </c>
      <c r="B2" s="3"/>
      <c r="C2" s="1"/>
      <c r="D2" s="12" t="s">
        <v>1</v>
      </c>
      <c r="E2" s="12" t="s">
        <v>2</v>
      </c>
      <c r="F2" s="12" t="s">
        <v>3</v>
      </c>
      <c r="G2" s="12" t="s">
        <v>4</v>
      </c>
      <c r="H2" s="12" t="s">
        <v>5</v>
      </c>
      <c r="I2" s="12" t="s">
        <v>6</v>
      </c>
      <c r="J2" s="12" t="s">
        <v>7</v>
      </c>
      <c r="K2" s="12" t="s">
        <v>8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</v>
      </c>
      <c r="Q2" s="12" t="s">
        <v>2</v>
      </c>
      <c r="R2" s="12" t="s">
        <v>3</v>
      </c>
      <c r="S2" s="8"/>
      <c r="T2" s="5"/>
      <c r="U2" s="5"/>
      <c r="V2" s="5"/>
      <c r="W2" s="5"/>
      <c r="X2" s="5"/>
      <c r="Y2" s="5"/>
      <c r="Z2" s="5"/>
    </row>
    <row r="3" spans="1:26" ht="16.5" customHeight="1" thickBot="1" x14ac:dyDescent="0.3">
      <c r="A3" s="17"/>
      <c r="B3" s="19" t="s">
        <v>28</v>
      </c>
      <c r="C3" s="19">
        <f t="shared" ref="C3:C34" si="0">SUM(D3:L3)</f>
        <v>66034.8</v>
      </c>
      <c r="D3" s="24">
        <f t="shared" ref="D3:R3" si="1">SUM(D4:D134)</f>
        <v>0</v>
      </c>
      <c r="E3" s="24">
        <f t="shared" si="1"/>
        <v>0</v>
      </c>
      <c r="F3" s="24">
        <f t="shared" si="1"/>
        <v>0</v>
      </c>
      <c r="G3" s="24">
        <f t="shared" si="1"/>
        <v>24754.799999999999</v>
      </c>
      <c r="H3" s="24">
        <f t="shared" si="1"/>
        <v>3416</v>
      </c>
      <c r="I3" s="24">
        <f t="shared" si="1"/>
        <v>27616</v>
      </c>
      <c r="J3" s="24">
        <f t="shared" si="1"/>
        <v>3416</v>
      </c>
      <c r="K3" s="24">
        <f t="shared" si="1"/>
        <v>3416</v>
      </c>
      <c r="L3" s="24">
        <f t="shared" si="1"/>
        <v>3416</v>
      </c>
      <c r="M3" s="24">
        <f t="shared" si="1"/>
        <v>3416</v>
      </c>
      <c r="N3" s="24">
        <f t="shared" si="1"/>
        <v>3416</v>
      </c>
      <c r="O3" s="24">
        <f t="shared" si="1"/>
        <v>3416</v>
      </c>
      <c r="P3" s="24">
        <f t="shared" si="1"/>
        <v>3416</v>
      </c>
      <c r="Q3" s="24">
        <f t="shared" si="1"/>
        <v>3416</v>
      </c>
      <c r="R3" s="24">
        <f t="shared" si="1"/>
        <v>3416</v>
      </c>
      <c r="S3" s="27"/>
      <c r="T3" s="5"/>
      <c r="U3" s="5"/>
      <c r="V3" s="5"/>
      <c r="W3" s="5"/>
      <c r="X3" s="5"/>
      <c r="Y3" s="5"/>
      <c r="Z3" s="5"/>
    </row>
    <row r="4" spans="1:26" ht="16.5" customHeight="1" thickTop="1" x14ac:dyDescent="0.25">
      <c r="A4" s="32">
        <v>61010191</v>
      </c>
      <c r="B4" s="33" t="s">
        <v>210</v>
      </c>
      <c r="C4" s="34">
        <f t="shared" si="0"/>
        <v>5992.04</v>
      </c>
      <c r="D4" s="35"/>
      <c r="E4" s="35"/>
      <c r="F4" s="35"/>
      <c r="G4" s="35">
        <v>2292.04</v>
      </c>
      <c r="H4" s="35"/>
      <c r="I4" s="35">
        <v>3700</v>
      </c>
      <c r="J4" s="35"/>
      <c r="K4" s="35">
        <v>0</v>
      </c>
      <c r="L4" s="35"/>
      <c r="M4" s="35"/>
      <c r="N4" s="35"/>
      <c r="O4" s="35"/>
      <c r="P4" s="35"/>
      <c r="Q4" s="35"/>
      <c r="R4" s="3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25">
      <c r="A5" s="32">
        <v>610101</v>
      </c>
      <c r="B5" s="42" t="s">
        <v>211</v>
      </c>
      <c r="C5" s="45">
        <f t="shared" si="0"/>
        <v>10693.6</v>
      </c>
      <c r="D5" s="35"/>
      <c r="E5" s="35"/>
      <c r="F5" s="35"/>
      <c r="G5" s="35">
        <v>5193.6000000000004</v>
      </c>
      <c r="H5" s="35"/>
      <c r="I5" s="47">
        <v>5500</v>
      </c>
      <c r="J5" s="47"/>
      <c r="K5" s="47"/>
      <c r="L5" s="47"/>
      <c r="M5" s="47"/>
      <c r="N5" s="47"/>
      <c r="O5" s="47"/>
      <c r="P5" s="47"/>
      <c r="Q5" s="47"/>
      <c r="R5" s="47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5">
      <c r="A6" s="32">
        <v>610105</v>
      </c>
      <c r="B6" s="42" t="s">
        <v>212</v>
      </c>
      <c r="C6" s="45">
        <f t="shared" si="0"/>
        <v>15000</v>
      </c>
      <c r="D6" s="35"/>
      <c r="E6" s="35"/>
      <c r="F6" s="35"/>
      <c r="G6" s="35">
        <v>0</v>
      </c>
      <c r="H6" s="35">
        <v>0</v>
      </c>
      <c r="I6" s="47">
        <v>15000</v>
      </c>
      <c r="J6" s="59"/>
      <c r="K6" s="47"/>
      <c r="L6" s="47"/>
      <c r="M6" s="47"/>
      <c r="N6" s="47"/>
      <c r="O6" s="47"/>
      <c r="P6" s="47"/>
      <c r="Q6" s="47"/>
      <c r="R6" s="47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5">
      <c r="A7" s="32">
        <v>610107</v>
      </c>
      <c r="B7" s="42" t="s">
        <v>213</v>
      </c>
      <c r="C7" s="45">
        <f t="shared" si="0"/>
        <v>0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5">
      <c r="A8" s="32">
        <v>1549</v>
      </c>
      <c r="B8" s="42" t="s">
        <v>214</v>
      </c>
      <c r="C8" s="45">
        <f t="shared" si="0"/>
        <v>0</v>
      </c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5">
      <c r="A9" s="32">
        <v>630515</v>
      </c>
      <c r="B9" s="42" t="s">
        <v>215</v>
      </c>
      <c r="C9" s="45">
        <f t="shared" si="0"/>
        <v>9000</v>
      </c>
      <c r="D9" s="47"/>
      <c r="E9" s="47"/>
      <c r="F9" s="47"/>
      <c r="G9" s="47">
        <v>9000</v>
      </c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5">
      <c r="A10" s="32"/>
      <c r="B10" s="42" t="s">
        <v>112</v>
      </c>
      <c r="C10" s="45">
        <f t="shared" si="0"/>
        <v>20496</v>
      </c>
      <c r="D10" s="47"/>
      <c r="E10" s="47"/>
      <c r="F10" s="47"/>
      <c r="G10" s="47">
        <v>3416</v>
      </c>
      <c r="H10" s="47">
        <v>3416</v>
      </c>
      <c r="I10" s="47">
        <v>3416</v>
      </c>
      <c r="J10" s="47">
        <v>3416</v>
      </c>
      <c r="K10" s="47">
        <v>3416</v>
      </c>
      <c r="L10" s="47">
        <v>3416</v>
      </c>
      <c r="M10" s="47">
        <v>3416</v>
      </c>
      <c r="N10" s="47">
        <v>3416</v>
      </c>
      <c r="O10" s="47">
        <v>3416</v>
      </c>
      <c r="P10" s="47">
        <v>3416</v>
      </c>
      <c r="Q10" s="47">
        <v>3416</v>
      </c>
      <c r="R10" s="47">
        <v>3416</v>
      </c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5">
      <c r="A11" s="32"/>
      <c r="B11" s="42"/>
      <c r="C11" s="45">
        <f t="shared" si="0"/>
        <v>0</v>
      </c>
      <c r="D11" s="59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5">
      <c r="A12" s="32">
        <v>369</v>
      </c>
      <c r="B12" s="60" t="s">
        <v>216</v>
      </c>
      <c r="C12" s="45">
        <f t="shared" si="0"/>
        <v>3111</v>
      </c>
      <c r="D12" s="47"/>
      <c r="E12" s="47"/>
      <c r="F12" s="47"/>
      <c r="G12" s="47">
        <v>3111</v>
      </c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5">
      <c r="A13" s="32">
        <v>132</v>
      </c>
      <c r="B13" s="60" t="s">
        <v>217</v>
      </c>
      <c r="C13" s="45">
        <f t="shared" si="0"/>
        <v>1742.16</v>
      </c>
      <c r="D13" s="47"/>
      <c r="E13" s="47"/>
      <c r="F13" s="47"/>
      <c r="G13" s="47">
        <v>1742.16</v>
      </c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5">
      <c r="A14" s="32"/>
      <c r="B14" s="60"/>
      <c r="C14" s="45">
        <f t="shared" si="0"/>
        <v>0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5">
      <c r="A15" s="32"/>
      <c r="B15" s="60"/>
      <c r="C15" s="45">
        <f t="shared" si="0"/>
        <v>0</v>
      </c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5">
      <c r="A16" s="32"/>
      <c r="B16" s="60"/>
      <c r="C16" s="45">
        <f t="shared" si="0"/>
        <v>0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5">
      <c r="A17" s="32"/>
      <c r="B17" s="60"/>
      <c r="C17" s="45">
        <f t="shared" si="0"/>
        <v>0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5">
      <c r="A18" s="32"/>
      <c r="B18" s="60"/>
      <c r="C18" s="45">
        <f t="shared" si="0"/>
        <v>0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5">
      <c r="A19" s="32"/>
      <c r="B19" s="60"/>
      <c r="C19" s="45">
        <f t="shared" si="0"/>
        <v>0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5">
      <c r="A20" s="32"/>
      <c r="B20" s="60"/>
      <c r="C20" s="45">
        <f t="shared" si="0"/>
        <v>0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5">
      <c r="A21" s="32"/>
      <c r="B21" s="60"/>
      <c r="C21" s="45">
        <f t="shared" si="0"/>
        <v>0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5">
      <c r="A22" s="32"/>
      <c r="B22" s="60"/>
      <c r="C22" s="45">
        <f t="shared" si="0"/>
        <v>0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5">
      <c r="A23" s="32"/>
      <c r="B23" s="60"/>
      <c r="C23" s="45">
        <f t="shared" si="0"/>
        <v>0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5">
      <c r="A24" s="32"/>
      <c r="B24" s="60"/>
      <c r="C24" s="45">
        <f t="shared" si="0"/>
        <v>0</v>
      </c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5">
      <c r="A25" s="32"/>
      <c r="B25" s="60"/>
      <c r="C25" s="45">
        <f t="shared" si="0"/>
        <v>0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5">
      <c r="A26" s="32"/>
      <c r="B26" s="60"/>
      <c r="C26" s="45">
        <f t="shared" si="0"/>
        <v>0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5">
      <c r="A27" s="32"/>
      <c r="B27" s="60"/>
      <c r="C27" s="45">
        <f t="shared" si="0"/>
        <v>0</v>
      </c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5">
      <c r="A28" s="32"/>
      <c r="B28" s="60"/>
      <c r="C28" s="45">
        <f t="shared" si="0"/>
        <v>0</v>
      </c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5">
      <c r="A29" s="32"/>
      <c r="B29" s="60"/>
      <c r="C29" s="45">
        <f t="shared" si="0"/>
        <v>0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5">
      <c r="A30" s="32"/>
      <c r="B30" s="60"/>
      <c r="C30" s="45">
        <f t="shared" si="0"/>
        <v>0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5">
      <c r="A31" s="32"/>
      <c r="B31" s="60"/>
      <c r="C31" s="45">
        <f t="shared" si="0"/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5">
      <c r="A32" s="32"/>
      <c r="B32" s="60"/>
      <c r="C32" s="45">
        <f t="shared" si="0"/>
        <v>0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5">
      <c r="A33" s="32"/>
      <c r="B33" s="60"/>
      <c r="C33" s="45">
        <f t="shared" si="0"/>
        <v>0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5">
      <c r="A34" s="32"/>
      <c r="B34" s="60"/>
      <c r="C34" s="45">
        <f t="shared" si="0"/>
        <v>0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5">
      <c r="A35" s="32"/>
      <c r="B35" s="60"/>
      <c r="C35" s="45">
        <f t="shared" ref="C35:C66" si="2">SUM(D35:L35)</f>
        <v>0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5">
      <c r="A36" s="32"/>
      <c r="B36" s="60"/>
      <c r="C36" s="45">
        <f t="shared" si="2"/>
        <v>0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5">
      <c r="A37" s="32"/>
      <c r="B37" s="60"/>
      <c r="C37" s="45">
        <f t="shared" si="2"/>
        <v>0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5">
      <c r="A38" s="32"/>
      <c r="B38" s="60"/>
      <c r="C38" s="45">
        <f t="shared" si="2"/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5">
      <c r="A39" s="32"/>
      <c r="B39" s="60"/>
      <c r="C39" s="45">
        <f t="shared" si="2"/>
        <v>0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5">
      <c r="A40" s="32"/>
      <c r="B40" s="60"/>
      <c r="C40" s="45">
        <f t="shared" si="2"/>
        <v>0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5">
      <c r="A41" s="32"/>
      <c r="B41" s="60"/>
      <c r="C41" s="45">
        <f t="shared" si="2"/>
        <v>0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5">
      <c r="A42" s="32"/>
      <c r="B42" s="60"/>
      <c r="C42" s="45">
        <f t="shared" si="2"/>
        <v>0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5">
      <c r="A43" s="32"/>
      <c r="B43" s="60"/>
      <c r="C43" s="45">
        <f t="shared" si="2"/>
        <v>0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5">
      <c r="A44" s="32"/>
      <c r="B44" s="60"/>
      <c r="C44" s="45">
        <f t="shared" si="2"/>
        <v>0</v>
      </c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5">
      <c r="A45" s="32"/>
      <c r="B45" s="60"/>
      <c r="C45" s="45">
        <f t="shared" si="2"/>
        <v>0</v>
      </c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5">
      <c r="A46" s="32"/>
      <c r="B46" s="60"/>
      <c r="C46" s="45">
        <f t="shared" si="2"/>
        <v>0</v>
      </c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5">
      <c r="A47" s="32"/>
      <c r="B47" s="60"/>
      <c r="C47" s="45">
        <f t="shared" si="2"/>
        <v>0</v>
      </c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5">
      <c r="A48" s="32"/>
      <c r="B48" s="60"/>
      <c r="C48" s="45">
        <f t="shared" si="2"/>
        <v>0</v>
      </c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5">
      <c r="A49" s="32"/>
      <c r="B49" s="60"/>
      <c r="C49" s="45">
        <f t="shared" si="2"/>
        <v>0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5">
      <c r="A50" s="32"/>
      <c r="B50" s="60"/>
      <c r="C50" s="45">
        <f t="shared" si="2"/>
        <v>0</v>
      </c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5">
      <c r="A51" s="32"/>
      <c r="B51" s="60"/>
      <c r="C51" s="45">
        <f t="shared" si="2"/>
        <v>0</v>
      </c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5">
      <c r="A52" s="32"/>
      <c r="B52" s="60"/>
      <c r="C52" s="45">
        <f t="shared" si="2"/>
        <v>0</v>
      </c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5">
      <c r="A53" s="32"/>
      <c r="B53" s="60"/>
      <c r="C53" s="45">
        <f t="shared" si="2"/>
        <v>0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5">
      <c r="A54" s="32"/>
      <c r="B54" s="60"/>
      <c r="C54" s="45">
        <f t="shared" si="2"/>
        <v>0</v>
      </c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5">
      <c r="A55" s="32"/>
      <c r="B55" s="60"/>
      <c r="C55" s="45">
        <f t="shared" si="2"/>
        <v>0</v>
      </c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5">
      <c r="A56" s="32"/>
      <c r="B56" s="60"/>
      <c r="C56" s="45">
        <f t="shared" si="2"/>
        <v>0</v>
      </c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5">
      <c r="A57" s="32"/>
      <c r="B57" s="60"/>
      <c r="C57" s="45">
        <f t="shared" si="2"/>
        <v>0</v>
      </c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5">
      <c r="A58" s="32"/>
      <c r="B58" s="60"/>
      <c r="C58" s="45">
        <f t="shared" si="2"/>
        <v>0</v>
      </c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5">
      <c r="A59" s="32"/>
      <c r="B59" s="60"/>
      <c r="C59" s="45">
        <f t="shared" si="2"/>
        <v>0</v>
      </c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5">
      <c r="A60" s="32"/>
      <c r="B60" s="60"/>
      <c r="C60" s="45">
        <f t="shared" si="2"/>
        <v>0</v>
      </c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5">
      <c r="A61" s="32"/>
      <c r="B61" s="60"/>
      <c r="C61" s="45">
        <f t="shared" si="2"/>
        <v>0</v>
      </c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5">
      <c r="A62" s="32"/>
      <c r="B62" s="60"/>
      <c r="C62" s="45">
        <f t="shared" si="2"/>
        <v>0</v>
      </c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5">
      <c r="A63" s="32"/>
      <c r="B63" s="60"/>
      <c r="C63" s="45">
        <f t="shared" si="2"/>
        <v>0</v>
      </c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5">
      <c r="A64" s="32"/>
      <c r="B64" s="60"/>
      <c r="C64" s="45">
        <f t="shared" si="2"/>
        <v>0</v>
      </c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5">
      <c r="A65" s="32"/>
      <c r="B65" s="60"/>
      <c r="C65" s="45">
        <f t="shared" si="2"/>
        <v>0</v>
      </c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5">
      <c r="A66" s="32"/>
      <c r="B66" s="60"/>
      <c r="C66" s="45">
        <f t="shared" si="2"/>
        <v>0</v>
      </c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5">
      <c r="A67" s="32"/>
      <c r="B67" s="60"/>
      <c r="C67" s="45">
        <f t="shared" ref="C67:C68" si="3">SUM(D67:L67)</f>
        <v>0</v>
      </c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5">
      <c r="A68" s="32"/>
      <c r="B68" s="110"/>
      <c r="C68" s="45">
        <f t="shared" si="3"/>
        <v>0</v>
      </c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5">
      <c r="A69" s="5"/>
      <c r="B69" s="107"/>
      <c r="C69" s="5"/>
      <c r="D69" s="107"/>
      <c r="E69" s="107"/>
      <c r="F69" s="107"/>
      <c r="G69" s="107"/>
      <c r="H69" s="107"/>
      <c r="I69" s="107"/>
      <c r="J69" s="107"/>
      <c r="K69" s="107"/>
      <c r="L69" s="107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5">
      <c r="A70" s="5"/>
      <c r="B70" s="107"/>
      <c r="C70" s="5"/>
      <c r="D70" s="107"/>
      <c r="E70" s="107"/>
      <c r="F70" s="107"/>
      <c r="G70" s="107"/>
      <c r="H70" s="107"/>
      <c r="I70" s="107"/>
      <c r="J70" s="107"/>
      <c r="K70" s="107"/>
      <c r="L70" s="107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5">
      <c r="A71" s="5"/>
      <c r="B71" s="107"/>
      <c r="C71" s="5"/>
      <c r="D71" s="107"/>
      <c r="E71" s="107"/>
      <c r="F71" s="107"/>
      <c r="G71" s="107"/>
      <c r="H71" s="107"/>
      <c r="I71" s="107"/>
      <c r="J71" s="107"/>
      <c r="K71" s="107"/>
      <c r="L71" s="107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5">
      <c r="A72" s="5"/>
      <c r="B72" s="107"/>
      <c r="C72" s="5"/>
      <c r="D72" s="107"/>
      <c r="E72" s="107"/>
      <c r="F72" s="107"/>
      <c r="G72" s="107"/>
      <c r="H72" s="107"/>
      <c r="I72" s="107"/>
      <c r="J72" s="107"/>
      <c r="K72" s="107"/>
      <c r="L72" s="107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5">
      <c r="A73" s="5"/>
      <c r="B73" s="107"/>
      <c r="C73" s="5"/>
      <c r="D73" s="107"/>
      <c r="E73" s="107"/>
      <c r="F73" s="107"/>
      <c r="G73" s="107"/>
      <c r="H73" s="107"/>
      <c r="I73" s="107"/>
      <c r="J73" s="107"/>
      <c r="K73" s="107"/>
      <c r="L73" s="107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5">
      <c r="A74" s="5"/>
      <c r="B74" s="107"/>
      <c r="C74" s="5"/>
      <c r="D74" s="107"/>
      <c r="E74" s="107"/>
      <c r="F74" s="107"/>
      <c r="G74" s="107"/>
      <c r="H74" s="107"/>
      <c r="I74" s="107"/>
      <c r="J74" s="107"/>
      <c r="K74" s="107"/>
      <c r="L74" s="107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5">
      <c r="A75" s="5"/>
      <c r="B75" s="107"/>
      <c r="C75" s="5"/>
      <c r="D75" s="107"/>
      <c r="E75" s="107"/>
      <c r="F75" s="107"/>
      <c r="G75" s="107"/>
      <c r="H75" s="107"/>
      <c r="I75" s="107"/>
      <c r="J75" s="107"/>
      <c r="K75" s="107"/>
      <c r="L75" s="107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5">
      <c r="A76" s="5"/>
      <c r="B76" s="107"/>
      <c r="C76" s="5"/>
      <c r="D76" s="107"/>
      <c r="E76" s="107"/>
      <c r="F76" s="107"/>
      <c r="G76" s="107"/>
      <c r="H76" s="107"/>
      <c r="I76" s="107"/>
      <c r="J76" s="107"/>
      <c r="K76" s="107"/>
      <c r="L76" s="107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5">
      <c r="A77" s="5"/>
      <c r="B77" s="107"/>
      <c r="C77" s="5"/>
      <c r="D77" s="107"/>
      <c r="E77" s="107"/>
      <c r="F77" s="107"/>
      <c r="G77" s="107"/>
      <c r="H77" s="107"/>
      <c r="I77" s="107"/>
      <c r="J77" s="107"/>
      <c r="K77" s="107"/>
      <c r="L77" s="107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5">
      <c r="A78" s="5"/>
      <c r="B78" s="107"/>
      <c r="C78" s="5"/>
      <c r="D78" s="107"/>
      <c r="E78" s="107"/>
      <c r="F78" s="107"/>
      <c r="G78" s="107"/>
      <c r="H78" s="107"/>
      <c r="I78" s="107"/>
      <c r="J78" s="107"/>
      <c r="K78" s="107"/>
      <c r="L78" s="107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5">
      <c r="A79" s="5"/>
      <c r="B79" s="107"/>
      <c r="C79" s="5"/>
      <c r="D79" s="107"/>
      <c r="E79" s="107"/>
      <c r="F79" s="107"/>
      <c r="G79" s="107"/>
      <c r="H79" s="107"/>
      <c r="I79" s="107"/>
      <c r="J79" s="107"/>
      <c r="K79" s="107"/>
      <c r="L79" s="107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5">
      <c r="A80" s="5"/>
      <c r="B80" s="107"/>
      <c r="C80" s="5"/>
      <c r="D80" s="107"/>
      <c r="E80" s="107"/>
      <c r="F80" s="107"/>
      <c r="G80" s="107"/>
      <c r="H80" s="107"/>
      <c r="I80" s="107"/>
      <c r="J80" s="107"/>
      <c r="K80" s="107"/>
      <c r="L80" s="107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5">
      <c r="A81" s="5"/>
      <c r="B81" s="107"/>
      <c r="C81" s="5"/>
      <c r="D81" s="107"/>
      <c r="E81" s="107"/>
      <c r="F81" s="107"/>
      <c r="G81" s="107"/>
      <c r="H81" s="107"/>
      <c r="I81" s="107"/>
      <c r="J81" s="107"/>
      <c r="K81" s="107"/>
      <c r="L81" s="107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5">
      <c r="A82" s="5"/>
      <c r="B82" s="107"/>
      <c r="C82" s="5"/>
      <c r="D82" s="107"/>
      <c r="E82" s="107"/>
      <c r="F82" s="107"/>
      <c r="G82" s="107"/>
      <c r="H82" s="107"/>
      <c r="I82" s="107"/>
      <c r="J82" s="107"/>
      <c r="K82" s="107"/>
      <c r="L82" s="107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5">
      <c r="A83" s="5"/>
      <c r="B83" s="107"/>
      <c r="C83" s="5"/>
      <c r="D83" s="107"/>
      <c r="E83" s="107"/>
      <c r="F83" s="107"/>
      <c r="G83" s="107"/>
      <c r="H83" s="107"/>
      <c r="I83" s="107"/>
      <c r="J83" s="107"/>
      <c r="K83" s="107"/>
      <c r="L83" s="107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5">
      <c r="A84" s="5"/>
      <c r="B84" s="107"/>
      <c r="C84" s="5"/>
      <c r="D84" s="107"/>
      <c r="E84" s="107"/>
      <c r="F84" s="107"/>
      <c r="G84" s="107"/>
      <c r="H84" s="107"/>
      <c r="I84" s="107"/>
      <c r="J84" s="107"/>
      <c r="K84" s="107"/>
      <c r="L84" s="107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5">
      <c r="A85" s="5"/>
      <c r="B85" s="107"/>
      <c r="C85" s="5"/>
      <c r="D85" s="107"/>
      <c r="E85" s="107"/>
      <c r="F85" s="107"/>
      <c r="G85" s="107"/>
      <c r="H85" s="107"/>
      <c r="I85" s="107"/>
      <c r="J85" s="107"/>
      <c r="K85" s="107"/>
      <c r="L85" s="107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5">
      <c r="A86" s="5"/>
      <c r="B86" s="107"/>
      <c r="C86" s="5"/>
      <c r="D86" s="107"/>
      <c r="E86" s="107"/>
      <c r="F86" s="107"/>
      <c r="G86" s="107"/>
      <c r="H86" s="107"/>
      <c r="I86" s="107"/>
      <c r="J86" s="107"/>
      <c r="K86" s="107"/>
      <c r="L86" s="107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5">
      <c r="A87" s="5"/>
      <c r="B87" s="107"/>
      <c r="C87" s="5"/>
      <c r="D87" s="107"/>
      <c r="E87" s="107"/>
      <c r="F87" s="107"/>
      <c r="G87" s="107"/>
      <c r="H87" s="107"/>
      <c r="I87" s="107"/>
      <c r="J87" s="107"/>
      <c r="K87" s="107"/>
      <c r="L87" s="107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5">
      <c r="A88" s="5"/>
      <c r="B88" s="107"/>
      <c r="C88" s="5"/>
      <c r="D88" s="107"/>
      <c r="E88" s="107"/>
      <c r="F88" s="107"/>
      <c r="G88" s="107"/>
      <c r="H88" s="107"/>
      <c r="I88" s="107"/>
      <c r="J88" s="107"/>
      <c r="K88" s="107"/>
      <c r="L88" s="107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5">
      <c r="A89" s="5"/>
      <c r="B89" s="107"/>
      <c r="C89" s="5"/>
      <c r="D89" s="107"/>
      <c r="E89" s="107"/>
      <c r="F89" s="107"/>
      <c r="G89" s="107"/>
      <c r="H89" s="107"/>
      <c r="I89" s="107"/>
      <c r="J89" s="107"/>
      <c r="K89" s="107"/>
      <c r="L89" s="107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5">
      <c r="A90" s="5"/>
      <c r="B90" s="107"/>
      <c r="C90" s="5"/>
      <c r="D90" s="107"/>
      <c r="E90" s="107"/>
      <c r="F90" s="107"/>
      <c r="G90" s="107"/>
      <c r="H90" s="107"/>
      <c r="I90" s="107"/>
      <c r="J90" s="107"/>
      <c r="K90" s="107"/>
      <c r="L90" s="107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5">
      <c r="A91" s="5"/>
      <c r="B91" s="107"/>
      <c r="C91" s="5"/>
      <c r="D91" s="107"/>
      <c r="E91" s="107"/>
      <c r="F91" s="107"/>
      <c r="G91" s="107"/>
      <c r="H91" s="107"/>
      <c r="I91" s="107"/>
      <c r="J91" s="107"/>
      <c r="K91" s="107"/>
      <c r="L91" s="107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5">
      <c r="A92" s="5"/>
      <c r="B92" s="107"/>
      <c r="C92" s="5"/>
      <c r="D92" s="107"/>
      <c r="E92" s="107"/>
      <c r="F92" s="107"/>
      <c r="G92" s="107"/>
      <c r="H92" s="107"/>
      <c r="I92" s="107"/>
      <c r="J92" s="107"/>
      <c r="K92" s="107"/>
      <c r="L92" s="107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5">
      <c r="A93" s="5"/>
      <c r="B93" s="107"/>
      <c r="C93" s="5"/>
      <c r="D93" s="107"/>
      <c r="E93" s="107"/>
      <c r="F93" s="107"/>
      <c r="G93" s="107"/>
      <c r="H93" s="107"/>
      <c r="I93" s="107"/>
      <c r="J93" s="107"/>
      <c r="K93" s="107"/>
      <c r="L93" s="107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5">
      <c r="A94" s="5"/>
      <c r="B94" s="107"/>
      <c r="C94" s="5"/>
      <c r="D94" s="107"/>
      <c r="E94" s="107"/>
      <c r="F94" s="107"/>
      <c r="G94" s="107"/>
      <c r="H94" s="107"/>
      <c r="I94" s="107"/>
      <c r="J94" s="107"/>
      <c r="K94" s="107"/>
      <c r="L94" s="107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5">
      <c r="A95" s="5"/>
      <c r="B95" s="107"/>
      <c r="C95" s="5"/>
      <c r="D95" s="107"/>
      <c r="E95" s="107"/>
      <c r="F95" s="107"/>
      <c r="G95" s="107"/>
      <c r="H95" s="107"/>
      <c r="I95" s="107"/>
      <c r="J95" s="107"/>
      <c r="K95" s="107"/>
      <c r="L95" s="107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5">
      <c r="A96" s="5"/>
      <c r="B96" s="107"/>
      <c r="C96" s="5"/>
      <c r="D96" s="107"/>
      <c r="E96" s="107"/>
      <c r="F96" s="107"/>
      <c r="G96" s="107"/>
      <c r="H96" s="107"/>
      <c r="I96" s="107"/>
      <c r="J96" s="107"/>
      <c r="K96" s="107"/>
      <c r="L96" s="107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5">
      <c r="A97" s="5"/>
      <c r="B97" s="107"/>
      <c r="C97" s="5"/>
      <c r="D97" s="107"/>
      <c r="E97" s="107"/>
      <c r="F97" s="107"/>
      <c r="G97" s="107"/>
      <c r="H97" s="107"/>
      <c r="I97" s="107"/>
      <c r="J97" s="107"/>
      <c r="K97" s="107"/>
      <c r="L97" s="107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5">
      <c r="A98" s="5"/>
      <c r="B98" s="107"/>
      <c r="C98" s="5"/>
      <c r="D98" s="107"/>
      <c r="E98" s="107"/>
      <c r="F98" s="107"/>
      <c r="G98" s="107"/>
      <c r="H98" s="107"/>
      <c r="I98" s="107"/>
      <c r="J98" s="107"/>
      <c r="K98" s="107"/>
      <c r="L98" s="107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5">
      <c r="A99" s="5"/>
      <c r="B99" s="107"/>
      <c r="C99" s="5"/>
      <c r="D99" s="107"/>
      <c r="E99" s="107"/>
      <c r="F99" s="107"/>
      <c r="G99" s="107"/>
      <c r="H99" s="107"/>
      <c r="I99" s="107"/>
      <c r="J99" s="107"/>
      <c r="K99" s="107"/>
      <c r="L99" s="107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5">
      <c r="A100" s="5"/>
      <c r="B100" s="107"/>
      <c r="C100" s="5"/>
      <c r="D100" s="107"/>
      <c r="E100" s="107"/>
      <c r="F100" s="107"/>
      <c r="G100" s="107"/>
      <c r="H100" s="107"/>
      <c r="I100" s="107"/>
      <c r="J100" s="107"/>
      <c r="K100" s="107"/>
      <c r="L100" s="107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5">
      <c r="A101" s="5"/>
      <c r="B101" s="107"/>
      <c r="C101" s="5"/>
      <c r="D101" s="107"/>
      <c r="E101" s="107"/>
      <c r="F101" s="107"/>
      <c r="G101" s="107"/>
      <c r="H101" s="107"/>
      <c r="I101" s="107"/>
      <c r="J101" s="107"/>
      <c r="K101" s="107"/>
      <c r="L101" s="107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5">
      <c r="A102" s="5"/>
      <c r="B102" s="107"/>
      <c r="C102" s="5"/>
      <c r="D102" s="107"/>
      <c r="E102" s="107"/>
      <c r="F102" s="107"/>
      <c r="G102" s="107"/>
      <c r="H102" s="107"/>
      <c r="I102" s="107"/>
      <c r="J102" s="107"/>
      <c r="K102" s="107"/>
      <c r="L102" s="107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5">
      <c r="A103" s="5"/>
      <c r="B103" s="107"/>
      <c r="C103" s="5"/>
      <c r="D103" s="107"/>
      <c r="E103" s="107"/>
      <c r="F103" s="107"/>
      <c r="G103" s="107"/>
      <c r="H103" s="107"/>
      <c r="I103" s="107"/>
      <c r="J103" s="107"/>
      <c r="K103" s="107"/>
      <c r="L103" s="107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5">
      <c r="A104" s="5"/>
      <c r="B104" s="107"/>
      <c r="C104" s="5"/>
      <c r="D104" s="107"/>
      <c r="E104" s="107"/>
      <c r="F104" s="107"/>
      <c r="G104" s="107"/>
      <c r="H104" s="107"/>
      <c r="I104" s="107"/>
      <c r="J104" s="107"/>
      <c r="K104" s="107"/>
      <c r="L104" s="107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5">
      <c r="A105" s="5"/>
      <c r="B105" s="107"/>
      <c r="C105" s="5"/>
      <c r="D105" s="107"/>
      <c r="E105" s="107"/>
      <c r="F105" s="107"/>
      <c r="G105" s="107"/>
      <c r="H105" s="107"/>
      <c r="I105" s="107"/>
      <c r="J105" s="107"/>
      <c r="K105" s="107"/>
      <c r="L105" s="107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5">
      <c r="A106" s="5"/>
      <c r="B106" s="107"/>
      <c r="C106" s="5"/>
      <c r="D106" s="107"/>
      <c r="E106" s="107"/>
      <c r="F106" s="107"/>
      <c r="G106" s="107"/>
      <c r="H106" s="107"/>
      <c r="I106" s="107"/>
      <c r="J106" s="107"/>
      <c r="K106" s="107"/>
      <c r="L106" s="107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5">
      <c r="A107" s="5"/>
      <c r="B107" s="107"/>
      <c r="C107" s="5"/>
      <c r="D107" s="107"/>
      <c r="E107" s="107"/>
      <c r="F107" s="107"/>
      <c r="G107" s="107"/>
      <c r="H107" s="107"/>
      <c r="I107" s="107"/>
      <c r="J107" s="107"/>
      <c r="K107" s="107"/>
      <c r="L107" s="107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5">
      <c r="A108" s="5"/>
      <c r="B108" s="107"/>
      <c r="C108" s="5"/>
      <c r="D108" s="107"/>
      <c r="E108" s="107"/>
      <c r="F108" s="107"/>
      <c r="G108" s="107"/>
      <c r="H108" s="107"/>
      <c r="I108" s="107"/>
      <c r="J108" s="107"/>
      <c r="K108" s="107"/>
      <c r="L108" s="107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5">
      <c r="A109" s="5"/>
      <c r="B109" s="107"/>
      <c r="C109" s="5"/>
      <c r="D109" s="107"/>
      <c r="E109" s="107"/>
      <c r="F109" s="107"/>
      <c r="G109" s="107"/>
      <c r="H109" s="107"/>
      <c r="I109" s="107"/>
      <c r="J109" s="107"/>
      <c r="K109" s="107"/>
      <c r="L109" s="107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5">
      <c r="A110" s="5"/>
      <c r="B110" s="107"/>
      <c r="C110" s="5"/>
      <c r="D110" s="107"/>
      <c r="E110" s="107"/>
      <c r="F110" s="107"/>
      <c r="G110" s="107"/>
      <c r="H110" s="107"/>
      <c r="I110" s="107"/>
      <c r="J110" s="107"/>
      <c r="K110" s="107"/>
      <c r="L110" s="107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5">
      <c r="A111" s="5"/>
      <c r="B111" s="107"/>
      <c r="C111" s="5"/>
      <c r="D111" s="107"/>
      <c r="E111" s="107"/>
      <c r="F111" s="107"/>
      <c r="G111" s="107"/>
      <c r="H111" s="107"/>
      <c r="I111" s="107"/>
      <c r="J111" s="107"/>
      <c r="K111" s="107"/>
      <c r="L111" s="107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5">
      <c r="A112" s="5"/>
      <c r="B112" s="107"/>
      <c r="C112" s="5"/>
      <c r="D112" s="107"/>
      <c r="E112" s="107"/>
      <c r="F112" s="107"/>
      <c r="G112" s="107"/>
      <c r="H112" s="107"/>
      <c r="I112" s="107"/>
      <c r="J112" s="107"/>
      <c r="K112" s="107"/>
      <c r="L112" s="107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5">
      <c r="A113" s="5"/>
      <c r="B113" s="107"/>
      <c r="C113" s="5"/>
      <c r="D113" s="107"/>
      <c r="E113" s="107"/>
      <c r="F113" s="107"/>
      <c r="G113" s="107"/>
      <c r="H113" s="107"/>
      <c r="I113" s="107"/>
      <c r="J113" s="107"/>
      <c r="K113" s="107"/>
      <c r="L113" s="107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5">
      <c r="A114" s="5"/>
      <c r="B114" s="107"/>
      <c r="C114" s="5"/>
      <c r="D114" s="107"/>
      <c r="E114" s="107"/>
      <c r="F114" s="107"/>
      <c r="G114" s="107"/>
      <c r="H114" s="107"/>
      <c r="I114" s="107"/>
      <c r="J114" s="107"/>
      <c r="K114" s="107"/>
      <c r="L114" s="107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5">
      <c r="A115" s="5"/>
      <c r="B115" s="107"/>
      <c r="C115" s="5"/>
      <c r="D115" s="107"/>
      <c r="E115" s="107"/>
      <c r="F115" s="107"/>
      <c r="G115" s="107"/>
      <c r="H115" s="107"/>
      <c r="I115" s="107"/>
      <c r="J115" s="107"/>
      <c r="K115" s="107"/>
      <c r="L115" s="107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5">
      <c r="A116" s="5"/>
      <c r="B116" s="107"/>
      <c r="C116" s="5"/>
      <c r="D116" s="107"/>
      <c r="E116" s="107"/>
      <c r="F116" s="107"/>
      <c r="G116" s="107"/>
      <c r="H116" s="107"/>
      <c r="I116" s="107"/>
      <c r="J116" s="107"/>
      <c r="K116" s="107"/>
      <c r="L116" s="107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5">
      <c r="A117" s="5"/>
      <c r="B117" s="107"/>
      <c r="C117" s="5"/>
      <c r="D117" s="107"/>
      <c r="E117" s="107"/>
      <c r="F117" s="107"/>
      <c r="G117" s="107"/>
      <c r="H117" s="107"/>
      <c r="I117" s="107"/>
      <c r="J117" s="107"/>
      <c r="K117" s="107"/>
      <c r="L117" s="107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5">
      <c r="A118" s="5"/>
      <c r="B118" s="107"/>
      <c r="C118" s="5"/>
      <c r="D118" s="107"/>
      <c r="E118" s="107"/>
      <c r="F118" s="107"/>
      <c r="G118" s="107"/>
      <c r="H118" s="107"/>
      <c r="I118" s="107"/>
      <c r="J118" s="107"/>
      <c r="K118" s="107"/>
      <c r="L118" s="107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5">
      <c r="A119" s="5"/>
      <c r="B119" s="107"/>
      <c r="C119" s="5"/>
      <c r="D119" s="107"/>
      <c r="E119" s="107"/>
      <c r="F119" s="107"/>
      <c r="G119" s="107"/>
      <c r="H119" s="107"/>
      <c r="I119" s="107"/>
      <c r="J119" s="107"/>
      <c r="K119" s="107"/>
      <c r="L119" s="107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5">
      <c r="A120" s="5"/>
      <c r="B120" s="107"/>
      <c r="C120" s="5"/>
      <c r="D120" s="107"/>
      <c r="E120" s="107"/>
      <c r="F120" s="107"/>
      <c r="G120" s="107"/>
      <c r="H120" s="107"/>
      <c r="I120" s="107"/>
      <c r="J120" s="107"/>
      <c r="K120" s="107"/>
      <c r="L120" s="107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5">
      <c r="A121" s="5"/>
      <c r="B121" s="107"/>
      <c r="C121" s="5"/>
      <c r="D121" s="107"/>
      <c r="E121" s="107"/>
      <c r="F121" s="107"/>
      <c r="G121" s="107"/>
      <c r="H121" s="107"/>
      <c r="I121" s="107"/>
      <c r="J121" s="107"/>
      <c r="K121" s="107"/>
      <c r="L121" s="107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5">
      <c r="A122" s="5"/>
      <c r="B122" s="107"/>
      <c r="C122" s="5"/>
      <c r="D122" s="107"/>
      <c r="E122" s="107"/>
      <c r="F122" s="107"/>
      <c r="G122" s="107"/>
      <c r="H122" s="107"/>
      <c r="I122" s="107"/>
      <c r="J122" s="107"/>
      <c r="K122" s="107"/>
      <c r="L122" s="107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5">
      <c r="A123" s="5"/>
      <c r="B123" s="107"/>
      <c r="C123" s="5"/>
      <c r="D123" s="107"/>
      <c r="E123" s="107"/>
      <c r="F123" s="107"/>
      <c r="G123" s="107"/>
      <c r="H123" s="107"/>
      <c r="I123" s="107"/>
      <c r="J123" s="107"/>
      <c r="K123" s="107"/>
      <c r="L123" s="107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5">
      <c r="A124" s="5"/>
      <c r="B124" s="107"/>
      <c r="C124" s="5"/>
      <c r="D124" s="107"/>
      <c r="E124" s="107"/>
      <c r="F124" s="107"/>
      <c r="G124" s="107"/>
      <c r="H124" s="107"/>
      <c r="I124" s="107"/>
      <c r="J124" s="107"/>
      <c r="K124" s="107"/>
      <c r="L124" s="107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5">
      <c r="A125" s="5"/>
      <c r="B125" s="107"/>
      <c r="C125" s="5"/>
      <c r="D125" s="107"/>
      <c r="E125" s="107"/>
      <c r="F125" s="107"/>
      <c r="G125" s="107"/>
      <c r="H125" s="107"/>
      <c r="I125" s="107"/>
      <c r="J125" s="107"/>
      <c r="K125" s="107"/>
      <c r="L125" s="107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5">
      <c r="A126" s="5"/>
      <c r="B126" s="107"/>
      <c r="C126" s="5"/>
      <c r="D126" s="107"/>
      <c r="E126" s="107"/>
      <c r="F126" s="107"/>
      <c r="G126" s="107"/>
      <c r="H126" s="107"/>
      <c r="I126" s="107"/>
      <c r="J126" s="107"/>
      <c r="K126" s="107"/>
      <c r="L126" s="107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5">
      <c r="A127" s="5"/>
      <c r="B127" s="107"/>
      <c r="C127" s="5"/>
      <c r="D127" s="107"/>
      <c r="E127" s="107"/>
      <c r="F127" s="107"/>
      <c r="G127" s="107"/>
      <c r="H127" s="107"/>
      <c r="I127" s="107"/>
      <c r="J127" s="107"/>
      <c r="K127" s="107"/>
      <c r="L127" s="107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5">
      <c r="A128" s="5"/>
      <c r="B128" s="107"/>
      <c r="C128" s="5"/>
      <c r="D128" s="107"/>
      <c r="E128" s="107"/>
      <c r="F128" s="107"/>
      <c r="G128" s="107"/>
      <c r="H128" s="107"/>
      <c r="I128" s="107"/>
      <c r="J128" s="107"/>
      <c r="K128" s="107"/>
      <c r="L128" s="107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5">
      <c r="A129" s="5"/>
      <c r="B129" s="107"/>
      <c r="C129" s="5"/>
      <c r="D129" s="107"/>
      <c r="E129" s="107"/>
      <c r="F129" s="107"/>
      <c r="G129" s="107"/>
      <c r="H129" s="107"/>
      <c r="I129" s="107"/>
      <c r="J129" s="107"/>
      <c r="K129" s="107"/>
      <c r="L129" s="107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5">
      <c r="A130" s="5"/>
      <c r="B130" s="107"/>
      <c r="C130" s="5"/>
      <c r="D130" s="107"/>
      <c r="E130" s="107"/>
      <c r="F130" s="107"/>
      <c r="G130" s="107"/>
      <c r="H130" s="107"/>
      <c r="I130" s="107"/>
      <c r="J130" s="107"/>
      <c r="K130" s="107"/>
      <c r="L130" s="107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5">
      <c r="A131" s="5"/>
      <c r="B131" s="107"/>
      <c r="C131" s="5"/>
      <c r="D131" s="107"/>
      <c r="E131" s="107"/>
      <c r="F131" s="107"/>
      <c r="G131" s="107"/>
      <c r="H131" s="107"/>
      <c r="I131" s="107"/>
      <c r="J131" s="107"/>
      <c r="K131" s="107"/>
      <c r="L131" s="107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5">
      <c r="A132" s="5"/>
      <c r="B132" s="107"/>
      <c r="C132" s="5"/>
      <c r="D132" s="107"/>
      <c r="E132" s="107"/>
      <c r="F132" s="107"/>
      <c r="G132" s="107"/>
      <c r="H132" s="107"/>
      <c r="I132" s="107"/>
      <c r="J132" s="107"/>
      <c r="K132" s="107"/>
      <c r="L132" s="107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5">
      <c r="A133" s="5"/>
      <c r="B133" s="107"/>
      <c r="C133" s="5"/>
      <c r="D133" s="107"/>
      <c r="E133" s="107"/>
      <c r="F133" s="107"/>
      <c r="G133" s="107"/>
      <c r="H133" s="107"/>
      <c r="I133" s="107"/>
      <c r="J133" s="107"/>
      <c r="K133" s="107"/>
      <c r="L133" s="107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5">
      <c r="A134" s="5"/>
      <c r="B134" s="107"/>
      <c r="C134" s="5"/>
      <c r="D134" s="107"/>
      <c r="E134" s="107"/>
      <c r="F134" s="107"/>
      <c r="G134" s="107"/>
      <c r="H134" s="107"/>
      <c r="I134" s="107"/>
      <c r="J134" s="107"/>
      <c r="K134" s="107"/>
      <c r="L134" s="107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5">
      <c r="A135" s="5"/>
      <c r="B135" s="107"/>
      <c r="C135" s="5"/>
      <c r="D135" s="107"/>
      <c r="E135" s="107"/>
      <c r="F135" s="107"/>
      <c r="G135" s="107"/>
      <c r="H135" s="107"/>
      <c r="I135" s="107"/>
      <c r="J135" s="107"/>
      <c r="K135" s="107"/>
      <c r="L135" s="107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5">
      <c r="A136" s="5"/>
      <c r="B136" s="107"/>
      <c r="C136" s="5"/>
      <c r="D136" s="107"/>
      <c r="E136" s="107"/>
      <c r="F136" s="107"/>
      <c r="G136" s="107"/>
      <c r="H136" s="107"/>
      <c r="I136" s="107"/>
      <c r="J136" s="107"/>
      <c r="K136" s="107"/>
      <c r="L136" s="107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5">
      <c r="A137" s="5"/>
      <c r="B137" s="107"/>
      <c r="C137" s="5"/>
      <c r="D137" s="107"/>
      <c r="E137" s="107"/>
      <c r="F137" s="107"/>
      <c r="G137" s="107"/>
      <c r="H137" s="107"/>
      <c r="I137" s="107"/>
      <c r="J137" s="107"/>
      <c r="K137" s="107"/>
      <c r="L137" s="107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5">
      <c r="A138" s="5"/>
      <c r="B138" s="107"/>
      <c r="C138" s="5"/>
      <c r="D138" s="107"/>
      <c r="E138" s="107"/>
      <c r="F138" s="107"/>
      <c r="G138" s="107"/>
      <c r="H138" s="107"/>
      <c r="I138" s="107"/>
      <c r="J138" s="107"/>
      <c r="K138" s="107"/>
      <c r="L138" s="107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5">
      <c r="A139" s="5"/>
      <c r="B139" s="107"/>
      <c r="C139" s="5"/>
      <c r="D139" s="107"/>
      <c r="E139" s="107"/>
      <c r="F139" s="107"/>
      <c r="G139" s="107"/>
      <c r="H139" s="107"/>
      <c r="I139" s="107"/>
      <c r="J139" s="107"/>
      <c r="K139" s="107"/>
      <c r="L139" s="107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5">
      <c r="A140" s="5"/>
      <c r="B140" s="107"/>
      <c r="C140" s="5"/>
      <c r="D140" s="107"/>
      <c r="E140" s="107"/>
      <c r="F140" s="107"/>
      <c r="G140" s="107"/>
      <c r="H140" s="107"/>
      <c r="I140" s="107"/>
      <c r="J140" s="107"/>
      <c r="K140" s="107"/>
      <c r="L140" s="107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5">
      <c r="A141" s="5"/>
      <c r="B141" s="107"/>
      <c r="C141" s="5"/>
      <c r="D141" s="107"/>
      <c r="E141" s="107"/>
      <c r="F141" s="107"/>
      <c r="G141" s="107"/>
      <c r="H141" s="107"/>
      <c r="I141" s="107"/>
      <c r="J141" s="107"/>
      <c r="K141" s="107"/>
      <c r="L141" s="107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5">
      <c r="A142" s="5"/>
      <c r="B142" s="107"/>
      <c r="C142" s="5"/>
      <c r="D142" s="107"/>
      <c r="E142" s="107"/>
      <c r="F142" s="107"/>
      <c r="G142" s="107"/>
      <c r="H142" s="107"/>
      <c r="I142" s="107"/>
      <c r="J142" s="107"/>
      <c r="K142" s="107"/>
      <c r="L142" s="107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5">
      <c r="A143" s="5"/>
      <c r="B143" s="107"/>
      <c r="C143" s="5"/>
      <c r="D143" s="107"/>
      <c r="E143" s="107"/>
      <c r="F143" s="107"/>
      <c r="G143" s="107"/>
      <c r="H143" s="107"/>
      <c r="I143" s="107"/>
      <c r="J143" s="107"/>
      <c r="K143" s="107"/>
      <c r="L143" s="107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5">
      <c r="A144" s="5"/>
      <c r="B144" s="107"/>
      <c r="C144" s="5"/>
      <c r="D144" s="107"/>
      <c r="E144" s="107"/>
      <c r="F144" s="107"/>
      <c r="G144" s="107"/>
      <c r="H144" s="107"/>
      <c r="I144" s="107"/>
      <c r="J144" s="107"/>
      <c r="K144" s="107"/>
      <c r="L144" s="107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5">
      <c r="A145" s="5"/>
      <c r="B145" s="107"/>
      <c r="C145" s="5"/>
      <c r="D145" s="107"/>
      <c r="E145" s="107"/>
      <c r="F145" s="107"/>
      <c r="G145" s="107"/>
      <c r="H145" s="107"/>
      <c r="I145" s="107"/>
      <c r="J145" s="107"/>
      <c r="K145" s="107"/>
      <c r="L145" s="107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5">
      <c r="A146" s="5"/>
      <c r="B146" s="107"/>
      <c r="C146" s="5"/>
      <c r="D146" s="107"/>
      <c r="E146" s="107"/>
      <c r="F146" s="107"/>
      <c r="G146" s="107"/>
      <c r="H146" s="107"/>
      <c r="I146" s="107"/>
      <c r="J146" s="107"/>
      <c r="K146" s="107"/>
      <c r="L146" s="107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5">
      <c r="A147" s="5"/>
      <c r="B147" s="107"/>
      <c r="C147" s="5"/>
      <c r="D147" s="107"/>
      <c r="E147" s="107"/>
      <c r="F147" s="107"/>
      <c r="G147" s="107"/>
      <c r="H147" s="107"/>
      <c r="I147" s="107"/>
      <c r="J147" s="107"/>
      <c r="K147" s="107"/>
      <c r="L147" s="107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5">
      <c r="A148" s="5"/>
      <c r="B148" s="107"/>
      <c r="C148" s="5"/>
      <c r="D148" s="107"/>
      <c r="E148" s="107"/>
      <c r="F148" s="107"/>
      <c r="G148" s="107"/>
      <c r="H148" s="107"/>
      <c r="I148" s="107"/>
      <c r="J148" s="107"/>
      <c r="K148" s="107"/>
      <c r="L148" s="107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5">
      <c r="A149" s="5"/>
      <c r="B149" s="107"/>
      <c r="C149" s="5"/>
      <c r="D149" s="107"/>
      <c r="E149" s="107"/>
      <c r="F149" s="107"/>
      <c r="G149" s="107"/>
      <c r="H149" s="107"/>
      <c r="I149" s="107"/>
      <c r="J149" s="107"/>
      <c r="K149" s="107"/>
      <c r="L149" s="107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5">
      <c r="A150" s="5"/>
      <c r="B150" s="107"/>
      <c r="C150" s="5"/>
      <c r="D150" s="107"/>
      <c r="E150" s="107"/>
      <c r="F150" s="107"/>
      <c r="G150" s="107"/>
      <c r="H150" s="107"/>
      <c r="I150" s="107"/>
      <c r="J150" s="107"/>
      <c r="K150" s="107"/>
      <c r="L150" s="107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5">
      <c r="A151" s="5"/>
      <c r="B151" s="107"/>
      <c r="C151" s="5"/>
      <c r="D151" s="107"/>
      <c r="E151" s="107"/>
      <c r="F151" s="107"/>
      <c r="G151" s="107"/>
      <c r="H151" s="107"/>
      <c r="I151" s="107"/>
      <c r="J151" s="107"/>
      <c r="K151" s="107"/>
      <c r="L151" s="107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5">
      <c r="A152" s="5"/>
      <c r="B152" s="107"/>
      <c r="C152" s="5"/>
      <c r="D152" s="107"/>
      <c r="E152" s="107"/>
      <c r="F152" s="107"/>
      <c r="G152" s="107"/>
      <c r="H152" s="107"/>
      <c r="I152" s="107"/>
      <c r="J152" s="107"/>
      <c r="K152" s="107"/>
      <c r="L152" s="107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5">
      <c r="A153" s="5"/>
      <c r="B153" s="107"/>
      <c r="C153" s="5"/>
      <c r="D153" s="107"/>
      <c r="E153" s="107"/>
      <c r="F153" s="107"/>
      <c r="G153" s="107"/>
      <c r="H153" s="107"/>
      <c r="I153" s="107"/>
      <c r="J153" s="107"/>
      <c r="K153" s="107"/>
      <c r="L153" s="107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5">
      <c r="A154" s="5"/>
      <c r="B154" s="107"/>
      <c r="C154" s="5"/>
      <c r="D154" s="107"/>
      <c r="E154" s="107"/>
      <c r="F154" s="107"/>
      <c r="G154" s="107"/>
      <c r="H154" s="107"/>
      <c r="I154" s="107"/>
      <c r="J154" s="107"/>
      <c r="K154" s="107"/>
      <c r="L154" s="107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5">
      <c r="A155" s="5"/>
      <c r="B155" s="107"/>
      <c r="C155" s="5"/>
      <c r="D155" s="107"/>
      <c r="E155" s="107"/>
      <c r="F155" s="107"/>
      <c r="G155" s="107"/>
      <c r="H155" s="107"/>
      <c r="I155" s="107"/>
      <c r="J155" s="107"/>
      <c r="K155" s="107"/>
      <c r="L155" s="107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5">
      <c r="A156" s="5"/>
      <c r="B156" s="107"/>
      <c r="C156" s="5"/>
      <c r="D156" s="107"/>
      <c r="E156" s="107"/>
      <c r="F156" s="107"/>
      <c r="G156" s="107"/>
      <c r="H156" s="107"/>
      <c r="I156" s="107"/>
      <c r="J156" s="107"/>
      <c r="K156" s="107"/>
      <c r="L156" s="107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5">
      <c r="A157" s="5"/>
      <c r="B157" s="107"/>
      <c r="C157" s="5"/>
      <c r="D157" s="107"/>
      <c r="E157" s="107"/>
      <c r="F157" s="107"/>
      <c r="G157" s="107"/>
      <c r="H157" s="107"/>
      <c r="I157" s="107"/>
      <c r="J157" s="107"/>
      <c r="K157" s="107"/>
      <c r="L157" s="107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5">
      <c r="A158" s="5"/>
      <c r="B158" s="107"/>
      <c r="C158" s="5"/>
      <c r="D158" s="107"/>
      <c r="E158" s="107"/>
      <c r="F158" s="107"/>
      <c r="G158" s="107"/>
      <c r="H158" s="107"/>
      <c r="I158" s="107"/>
      <c r="J158" s="107"/>
      <c r="K158" s="107"/>
      <c r="L158" s="107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5">
      <c r="A159" s="5"/>
      <c r="B159" s="107"/>
      <c r="C159" s="5"/>
      <c r="D159" s="107"/>
      <c r="E159" s="107"/>
      <c r="F159" s="107"/>
      <c r="G159" s="107"/>
      <c r="H159" s="107"/>
      <c r="I159" s="107"/>
      <c r="J159" s="107"/>
      <c r="K159" s="107"/>
      <c r="L159" s="107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5">
      <c r="A160" s="5"/>
      <c r="B160" s="107"/>
      <c r="C160" s="5"/>
      <c r="D160" s="107"/>
      <c r="E160" s="107"/>
      <c r="F160" s="107"/>
      <c r="G160" s="107"/>
      <c r="H160" s="107"/>
      <c r="I160" s="107"/>
      <c r="J160" s="107"/>
      <c r="K160" s="107"/>
      <c r="L160" s="107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5">
      <c r="A161" s="5"/>
      <c r="B161" s="107"/>
      <c r="C161" s="5"/>
      <c r="D161" s="107"/>
      <c r="E161" s="107"/>
      <c r="F161" s="107"/>
      <c r="G161" s="107"/>
      <c r="H161" s="107"/>
      <c r="I161" s="107"/>
      <c r="J161" s="107"/>
      <c r="K161" s="107"/>
      <c r="L161" s="107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5">
      <c r="A162" s="5"/>
      <c r="B162" s="107"/>
      <c r="C162" s="5"/>
      <c r="D162" s="107"/>
      <c r="E162" s="107"/>
      <c r="F162" s="107"/>
      <c r="G162" s="107"/>
      <c r="H162" s="107"/>
      <c r="I162" s="107"/>
      <c r="J162" s="107"/>
      <c r="K162" s="107"/>
      <c r="L162" s="107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5">
      <c r="A163" s="5"/>
      <c r="B163" s="107"/>
      <c r="C163" s="5"/>
      <c r="D163" s="107"/>
      <c r="E163" s="107"/>
      <c r="F163" s="107"/>
      <c r="G163" s="107"/>
      <c r="H163" s="107"/>
      <c r="I163" s="107"/>
      <c r="J163" s="107"/>
      <c r="K163" s="107"/>
      <c r="L163" s="107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5">
      <c r="A164" s="5"/>
      <c r="B164" s="107"/>
      <c r="C164" s="5"/>
      <c r="D164" s="107"/>
      <c r="E164" s="107"/>
      <c r="F164" s="107"/>
      <c r="G164" s="107"/>
      <c r="H164" s="107"/>
      <c r="I164" s="107"/>
      <c r="J164" s="107"/>
      <c r="K164" s="107"/>
      <c r="L164" s="107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5">
      <c r="A165" s="5"/>
      <c r="B165" s="107"/>
      <c r="C165" s="5"/>
      <c r="D165" s="107"/>
      <c r="E165" s="107"/>
      <c r="F165" s="107"/>
      <c r="G165" s="107"/>
      <c r="H165" s="107"/>
      <c r="I165" s="107"/>
      <c r="J165" s="107"/>
      <c r="K165" s="107"/>
      <c r="L165" s="107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5">
      <c r="A166" s="5"/>
      <c r="B166" s="107"/>
      <c r="C166" s="5"/>
      <c r="D166" s="107"/>
      <c r="E166" s="107"/>
      <c r="F166" s="107"/>
      <c r="G166" s="107"/>
      <c r="H166" s="107"/>
      <c r="I166" s="107"/>
      <c r="J166" s="107"/>
      <c r="K166" s="107"/>
      <c r="L166" s="107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5">
      <c r="A167" s="5"/>
      <c r="B167" s="107"/>
      <c r="C167" s="5"/>
      <c r="D167" s="107"/>
      <c r="E167" s="107"/>
      <c r="F167" s="107"/>
      <c r="G167" s="107"/>
      <c r="H167" s="107"/>
      <c r="I167" s="107"/>
      <c r="J167" s="107"/>
      <c r="K167" s="107"/>
      <c r="L167" s="107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5">
      <c r="A168" s="5"/>
      <c r="B168" s="107"/>
      <c r="C168" s="5"/>
      <c r="D168" s="107"/>
      <c r="E168" s="107"/>
      <c r="F168" s="107"/>
      <c r="G168" s="107"/>
      <c r="H168" s="107"/>
      <c r="I168" s="107"/>
      <c r="J168" s="107"/>
      <c r="K168" s="107"/>
      <c r="L168" s="107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5">
      <c r="A169" s="5"/>
      <c r="B169" s="107"/>
      <c r="C169" s="5"/>
      <c r="D169" s="107"/>
      <c r="E169" s="107"/>
      <c r="F169" s="107"/>
      <c r="G169" s="107"/>
      <c r="H169" s="107"/>
      <c r="I169" s="107"/>
      <c r="J169" s="107"/>
      <c r="K169" s="107"/>
      <c r="L169" s="107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5">
      <c r="A170" s="5"/>
      <c r="B170" s="107"/>
      <c r="C170" s="5"/>
      <c r="D170" s="107"/>
      <c r="E170" s="107"/>
      <c r="F170" s="107"/>
      <c r="G170" s="107"/>
      <c r="H170" s="107"/>
      <c r="I170" s="107"/>
      <c r="J170" s="107"/>
      <c r="K170" s="107"/>
      <c r="L170" s="107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5">
      <c r="A171" s="5"/>
      <c r="B171" s="107"/>
      <c r="C171" s="5"/>
      <c r="D171" s="107"/>
      <c r="E171" s="107"/>
      <c r="F171" s="107"/>
      <c r="G171" s="107"/>
      <c r="H171" s="107"/>
      <c r="I171" s="107"/>
      <c r="J171" s="107"/>
      <c r="K171" s="107"/>
      <c r="L171" s="107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5">
      <c r="A172" s="5"/>
      <c r="B172" s="107"/>
      <c r="C172" s="5"/>
      <c r="D172" s="107"/>
      <c r="E172" s="107"/>
      <c r="F172" s="107"/>
      <c r="G172" s="107"/>
      <c r="H172" s="107"/>
      <c r="I172" s="107"/>
      <c r="J172" s="107"/>
      <c r="K172" s="107"/>
      <c r="L172" s="107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5">
      <c r="A173" s="5"/>
      <c r="B173" s="107"/>
      <c r="C173" s="5"/>
      <c r="D173" s="107"/>
      <c r="E173" s="107"/>
      <c r="F173" s="107"/>
      <c r="G173" s="107"/>
      <c r="H173" s="107"/>
      <c r="I173" s="107"/>
      <c r="J173" s="107"/>
      <c r="K173" s="107"/>
      <c r="L173" s="107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5">
      <c r="A174" s="5"/>
      <c r="B174" s="107"/>
      <c r="C174" s="5"/>
      <c r="D174" s="107"/>
      <c r="E174" s="107"/>
      <c r="F174" s="107"/>
      <c r="G174" s="107"/>
      <c r="H174" s="107"/>
      <c r="I174" s="107"/>
      <c r="J174" s="107"/>
      <c r="K174" s="107"/>
      <c r="L174" s="107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5">
      <c r="A175" s="5"/>
      <c r="B175" s="107"/>
      <c r="C175" s="5"/>
      <c r="D175" s="107"/>
      <c r="E175" s="107"/>
      <c r="F175" s="107"/>
      <c r="G175" s="107"/>
      <c r="H175" s="107"/>
      <c r="I175" s="107"/>
      <c r="J175" s="107"/>
      <c r="K175" s="107"/>
      <c r="L175" s="107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5">
      <c r="A176" s="5"/>
      <c r="B176" s="107"/>
      <c r="C176" s="5"/>
      <c r="D176" s="107"/>
      <c r="E176" s="107"/>
      <c r="F176" s="107"/>
      <c r="G176" s="107"/>
      <c r="H176" s="107"/>
      <c r="I176" s="107"/>
      <c r="J176" s="107"/>
      <c r="K176" s="107"/>
      <c r="L176" s="107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5">
      <c r="A177" s="5"/>
      <c r="B177" s="107"/>
      <c r="C177" s="5"/>
      <c r="D177" s="107"/>
      <c r="E177" s="107"/>
      <c r="F177" s="107"/>
      <c r="G177" s="107"/>
      <c r="H177" s="107"/>
      <c r="I177" s="107"/>
      <c r="J177" s="107"/>
      <c r="K177" s="107"/>
      <c r="L177" s="107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5">
      <c r="A178" s="5"/>
      <c r="B178" s="107"/>
      <c r="C178" s="5"/>
      <c r="D178" s="107"/>
      <c r="E178" s="107"/>
      <c r="F178" s="107"/>
      <c r="G178" s="107"/>
      <c r="H178" s="107"/>
      <c r="I178" s="107"/>
      <c r="J178" s="107"/>
      <c r="K178" s="107"/>
      <c r="L178" s="107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5">
      <c r="A179" s="5"/>
      <c r="B179" s="107"/>
      <c r="C179" s="5"/>
      <c r="D179" s="107"/>
      <c r="E179" s="107"/>
      <c r="F179" s="107"/>
      <c r="G179" s="107"/>
      <c r="H179" s="107"/>
      <c r="I179" s="107"/>
      <c r="J179" s="107"/>
      <c r="K179" s="107"/>
      <c r="L179" s="107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5">
      <c r="A180" s="5"/>
      <c r="B180" s="107"/>
      <c r="C180" s="5"/>
      <c r="D180" s="107"/>
      <c r="E180" s="107"/>
      <c r="F180" s="107"/>
      <c r="G180" s="107"/>
      <c r="H180" s="107"/>
      <c r="I180" s="107"/>
      <c r="J180" s="107"/>
      <c r="K180" s="107"/>
      <c r="L180" s="107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5">
      <c r="A181" s="5"/>
      <c r="B181" s="107"/>
      <c r="C181" s="5"/>
      <c r="D181" s="107"/>
      <c r="E181" s="107"/>
      <c r="F181" s="107"/>
      <c r="G181" s="107"/>
      <c r="H181" s="107"/>
      <c r="I181" s="107"/>
      <c r="J181" s="107"/>
      <c r="K181" s="107"/>
      <c r="L181" s="107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5">
      <c r="A182" s="5"/>
      <c r="B182" s="107"/>
      <c r="C182" s="5"/>
      <c r="D182" s="107"/>
      <c r="E182" s="107"/>
      <c r="F182" s="107"/>
      <c r="G182" s="107"/>
      <c r="H182" s="107"/>
      <c r="I182" s="107"/>
      <c r="J182" s="107"/>
      <c r="K182" s="107"/>
      <c r="L182" s="107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5">
      <c r="A183" s="5"/>
      <c r="B183" s="107"/>
      <c r="C183" s="5"/>
      <c r="D183" s="107"/>
      <c r="E183" s="107"/>
      <c r="F183" s="107"/>
      <c r="G183" s="107"/>
      <c r="H183" s="107"/>
      <c r="I183" s="107"/>
      <c r="J183" s="107"/>
      <c r="K183" s="107"/>
      <c r="L183" s="107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5">
      <c r="A184" s="5"/>
      <c r="B184" s="107"/>
      <c r="C184" s="5"/>
      <c r="D184" s="107"/>
      <c r="E184" s="107"/>
      <c r="F184" s="107"/>
      <c r="G184" s="107"/>
      <c r="H184" s="107"/>
      <c r="I184" s="107"/>
      <c r="J184" s="107"/>
      <c r="K184" s="107"/>
      <c r="L184" s="107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5">
      <c r="A185" s="5"/>
      <c r="B185" s="107"/>
      <c r="C185" s="5"/>
      <c r="D185" s="107"/>
      <c r="E185" s="107"/>
      <c r="F185" s="107"/>
      <c r="G185" s="107"/>
      <c r="H185" s="107"/>
      <c r="I185" s="107"/>
      <c r="J185" s="107"/>
      <c r="K185" s="107"/>
      <c r="L185" s="107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5">
      <c r="A186" s="5"/>
      <c r="B186" s="107"/>
      <c r="C186" s="5"/>
      <c r="D186" s="107"/>
      <c r="E186" s="107"/>
      <c r="F186" s="107"/>
      <c r="G186" s="107"/>
      <c r="H186" s="107"/>
      <c r="I186" s="107"/>
      <c r="J186" s="107"/>
      <c r="K186" s="107"/>
      <c r="L186" s="107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5">
      <c r="A187" s="5"/>
      <c r="B187" s="107"/>
      <c r="C187" s="5"/>
      <c r="D187" s="107"/>
      <c r="E187" s="107"/>
      <c r="F187" s="107"/>
      <c r="G187" s="107"/>
      <c r="H187" s="107"/>
      <c r="I187" s="107"/>
      <c r="J187" s="107"/>
      <c r="K187" s="107"/>
      <c r="L187" s="107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5">
      <c r="A188" s="5"/>
      <c r="B188" s="107"/>
      <c r="C188" s="5"/>
      <c r="D188" s="107"/>
      <c r="E188" s="107"/>
      <c r="F188" s="107"/>
      <c r="G188" s="107"/>
      <c r="H188" s="107"/>
      <c r="I188" s="107"/>
      <c r="J188" s="107"/>
      <c r="K188" s="107"/>
      <c r="L188" s="107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5">
      <c r="A189" s="5"/>
      <c r="B189" s="107"/>
      <c r="C189" s="5"/>
      <c r="D189" s="107"/>
      <c r="E189" s="107"/>
      <c r="F189" s="107"/>
      <c r="G189" s="107"/>
      <c r="H189" s="107"/>
      <c r="I189" s="107"/>
      <c r="J189" s="107"/>
      <c r="K189" s="107"/>
      <c r="L189" s="107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5">
      <c r="A190" s="5"/>
      <c r="B190" s="107"/>
      <c r="C190" s="5"/>
      <c r="D190" s="107"/>
      <c r="E190" s="107"/>
      <c r="F190" s="107"/>
      <c r="G190" s="107"/>
      <c r="H190" s="107"/>
      <c r="I190" s="107"/>
      <c r="J190" s="107"/>
      <c r="K190" s="107"/>
      <c r="L190" s="107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5">
      <c r="A191" s="5"/>
      <c r="B191" s="107"/>
      <c r="C191" s="5"/>
      <c r="D191" s="107"/>
      <c r="E191" s="107"/>
      <c r="F191" s="107"/>
      <c r="G191" s="107"/>
      <c r="H191" s="107"/>
      <c r="I191" s="107"/>
      <c r="J191" s="107"/>
      <c r="K191" s="107"/>
      <c r="L191" s="107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5">
      <c r="A192" s="5"/>
      <c r="B192" s="107"/>
      <c r="C192" s="5"/>
      <c r="D192" s="107"/>
      <c r="E192" s="107"/>
      <c r="F192" s="107"/>
      <c r="G192" s="107"/>
      <c r="H192" s="107"/>
      <c r="I192" s="107"/>
      <c r="J192" s="107"/>
      <c r="K192" s="107"/>
      <c r="L192" s="107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5">
      <c r="A193" s="5"/>
      <c r="B193" s="107"/>
      <c r="C193" s="5"/>
      <c r="D193" s="107"/>
      <c r="E193" s="107"/>
      <c r="F193" s="107"/>
      <c r="G193" s="107"/>
      <c r="H193" s="107"/>
      <c r="I193" s="107"/>
      <c r="J193" s="107"/>
      <c r="K193" s="107"/>
      <c r="L193" s="107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5">
      <c r="A194" s="5"/>
      <c r="B194" s="107"/>
      <c r="C194" s="5"/>
      <c r="D194" s="107"/>
      <c r="E194" s="107"/>
      <c r="F194" s="107"/>
      <c r="G194" s="107"/>
      <c r="H194" s="107"/>
      <c r="I194" s="107"/>
      <c r="J194" s="107"/>
      <c r="K194" s="107"/>
      <c r="L194" s="107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5">
      <c r="A195" s="5"/>
      <c r="B195" s="107"/>
      <c r="C195" s="5"/>
      <c r="D195" s="107"/>
      <c r="E195" s="107"/>
      <c r="F195" s="107"/>
      <c r="G195" s="107"/>
      <c r="H195" s="107"/>
      <c r="I195" s="107"/>
      <c r="J195" s="107"/>
      <c r="K195" s="107"/>
      <c r="L195" s="107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5">
      <c r="A196" s="5"/>
      <c r="B196" s="107"/>
      <c r="C196" s="5"/>
      <c r="D196" s="107"/>
      <c r="E196" s="107"/>
      <c r="F196" s="107"/>
      <c r="G196" s="107"/>
      <c r="H196" s="107"/>
      <c r="I196" s="107"/>
      <c r="J196" s="107"/>
      <c r="K196" s="107"/>
      <c r="L196" s="107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5">
      <c r="A197" s="5"/>
      <c r="B197" s="107"/>
      <c r="C197" s="5"/>
      <c r="D197" s="107"/>
      <c r="E197" s="107"/>
      <c r="F197" s="107"/>
      <c r="G197" s="107"/>
      <c r="H197" s="107"/>
      <c r="I197" s="107"/>
      <c r="J197" s="107"/>
      <c r="K197" s="107"/>
      <c r="L197" s="107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5">
      <c r="A198" s="5"/>
      <c r="B198" s="107"/>
      <c r="C198" s="5"/>
      <c r="D198" s="107"/>
      <c r="E198" s="107"/>
      <c r="F198" s="107"/>
      <c r="G198" s="107"/>
      <c r="H198" s="107"/>
      <c r="I198" s="107"/>
      <c r="J198" s="107"/>
      <c r="K198" s="107"/>
      <c r="L198" s="107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5">
      <c r="A199" s="5"/>
      <c r="B199" s="107"/>
      <c r="C199" s="5"/>
      <c r="D199" s="107"/>
      <c r="E199" s="107"/>
      <c r="F199" s="107"/>
      <c r="G199" s="107"/>
      <c r="H199" s="107"/>
      <c r="I199" s="107"/>
      <c r="J199" s="107"/>
      <c r="K199" s="107"/>
      <c r="L199" s="107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5">
      <c r="A200" s="5"/>
      <c r="B200" s="107"/>
      <c r="C200" s="5"/>
      <c r="D200" s="107"/>
      <c r="E200" s="107"/>
      <c r="F200" s="107"/>
      <c r="G200" s="107"/>
      <c r="H200" s="107"/>
      <c r="I200" s="107"/>
      <c r="J200" s="107"/>
      <c r="K200" s="107"/>
      <c r="L200" s="107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5">
      <c r="A201" s="5"/>
      <c r="B201" s="107"/>
      <c r="C201" s="5"/>
      <c r="D201" s="107"/>
      <c r="E201" s="107"/>
      <c r="F201" s="107"/>
      <c r="G201" s="107"/>
      <c r="H201" s="107"/>
      <c r="I201" s="107"/>
      <c r="J201" s="107"/>
      <c r="K201" s="107"/>
      <c r="L201" s="107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5">
      <c r="A202" s="5"/>
      <c r="B202" s="107"/>
      <c r="C202" s="5"/>
      <c r="D202" s="107"/>
      <c r="E202" s="107"/>
      <c r="F202" s="107"/>
      <c r="G202" s="107"/>
      <c r="H202" s="107"/>
      <c r="I202" s="107"/>
      <c r="J202" s="107"/>
      <c r="K202" s="107"/>
      <c r="L202" s="107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5">
      <c r="A203" s="5"/>
      <c r="B203" s="107"/>
      <c r="C203" s="5"/>
      <c r="D203" s="107"/>
      <c r="E203" s="107"/>
      <c r="F203" s="107"/>
      <c r="G203" s="107"/>
      <c r="H203" s="107"/>
      <c r="I203" s="107"/>
      <c r="J203" s="107"/>
      <c r="K203" s="107"/>
      <c r="L203" s="107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5">
      <c r="A204" s="5"/>
      <c r="B204" s="107"/>
      <c r="C204" s="5"/>
      <c r="D204" s="107"/>
      <c r="E204" s="107"/>
      <c r="F204" s="107"/>
      <c r="G204" s="107"/>
      <c r="H204" s="107"/>
      <c r="I204" s="107"/>
      <c r="J204" s="107"/>
      <c r="K204" s="107"/>
      <c r="L204" s="107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5">
      <c r="A205" s="5"/>
      <c r="B205" s="107"/>
      <c r="C205" s="5"/>
      <c r="D205" s="107"/>
      <c r="E205" s="107"/>
      <c r="F205" s="107"/>
      <c r="G205" s="107"/>
      <c r="H205" s="107"/>
      <c r="I205" s="107"/>
      <c r="J205" s="107"/>
      <c r="K205" s="107"/>
      <c r="L205" s="107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5">
      <c r="A206" s="5"/>
      <c r="B206" s="107"/>
      <c r="C206" s="5"/>
      <c r="D206" s="107"/>
      <c r="E206" s="107"/>
      <c r="F206" s="107"/>
      <c r="G206" s="107"/>
      <c r="H206" s="107"/>
      <c r="I206" s="107"/>
      <c r="J206" s="107"/>
      <c r="K206" s="107"/>
      <c r="L206" s="107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5">
      <c r="A207" s="5"/>
      <c r="B207" s="107"/>
      <c r="C207" s="5"/>
      <c r="D207" s="107"/>
      <c r="E207" s="107"/>
      <c r="F207" s="107"/>
      <c r="G207" s="107"/>
      <c r="H207" s="107"/>
      <c r="I207" s="107"/>
      <c r="J207" s="107"/>
      <c r="K207" s="107"/>
      <c r="L207" s="107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5">
      <c r="A208" s="5"/>
      <c r="B208" s="107"/>
      <c r="C208" s="5"/>
      <c r="D208" s="107"/>
      <c r="E208" s="107"/>
      <c r="F208" s="107"/>
      <c r="G208" s="107"/>
      <c r="H208" s="107"/>
      <c r="I208" s="107"/>
      <c r="J208" s="107"/>
      <c r="K208" s="107"/>
      <c r="L208" s="107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5">
      <c r="A209" s="5"/>
      <c r="B209" s="107"/>
      <c r="C209" s="5"/>
      <c r="D209" s="107"/>
      <c r="E209" s="107"/>
      <c r="F209" s="107"/>
      <c r="G209" s="107"/>
      <c r="H209" s="107"/>
      <c r="I209" s="107"/>
      <c r="J209" s="107"/>
      <c r="K209" s="107"/>
      <c r="L209" s="107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5">
      <c r="A210" s="5"/>
      <c r="B210" s="107"/>
      <c r="C210" s="5"/>
      <c r="D210" s="107"/>
      <c r="E210" s="107"/>
      <c r="F210" s="107"/>
      <c r="G210" s="107"/>
      <c r="H210" s="107"/>
      <c r="I210" s="107"/>
      <c r="J210" s="107"/>
      <c r="K210" s="107"/>
      <c r="L210" s="107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5">
      <c r="A211" s="5"/>
      <c r="B211" s="107"/>
      <c r="C211" s="5"/>
      <c r="D211" s="107"/>
      <c r="E211" s="107"/>
      <c r="F211" s="107"/>
      <c r="G211" s="107"/>
      <c r="H211" s="107"/>
      <c r="I211" s="107"/>
      <c r="J211" s="107"/>
      <c r="K211" s="107"/>
      <c r="L211" s="107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5">
      <c r="A212" s="5"/>
      <c r="B212" s="107"/>
      <c r="C212" s="5"/>
      <c r="D212" s="107"/>
      <c r="E212" s="107"/>
      <c r="F212" s="107"/>
      <c r="G212" s="107"/>
      <c r="H212" s="107"/>
      <c r="I212" s="107"/>
      <c r="J212" s="107"/>
      <c r="K212" s="107"/>
      <c r="L212" s="107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5">
      <c r="A213" s="5"/>
      <c r="B213" s="107"/>
      <c r="C213" s="5"/>
      <c r="D213" s="107"/>
      <c r="E213" s="107"/>
      <c r="F213" s="107"/>
      <c r="G213" s="107"/>
      <c r="H213" s="107"/>
      <c r="I213" s="107"/>
      <c r="J213" s="107"/>
      <c r="K213" s="107"/>
      <c r="L213" s="107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5">
      <c r="A214" s="5"/>
      <c r="B214" s="107"/>
      <c r="C214" s="5"/>
      <c r="D214" s="107"/>
      <c r="E214" s="107"/>
      <c r="F214" s="107"/>
      <c r="G214" s="107"/>
      <c r="H214" s="107"/>
      <c r="I214" s="107"/>
      <c r="J214" s="107"/>
      <c r="K214" s="107"/>
      <c r="L214" s="107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5">
      <c r="A215" s="5"/>
      <c r="B215" s="107"/>
      <c r="C215" s="5"/>
      <c r="D215" s="107"/>
      <c r="E215" s="107"/>
      <c r="F215" s="107"/>
      <c r="G215" s="107"/>
      <c r="H215" s="107"/>
      <c r="I215" s="107"/>
      <c r="J215" s="107"/>
      <c r="K215" s="107"/>
      <c r="L215" s="107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5">
      <c r="A216" s="5"/>
      <c r="B216" s="107"/>
      <c r="C216" s="5"/>
      <c r="D216" s="107"/>
      <c r="E216" s="107"/>
      <c r="F216" s="107"/>
      <c r="G216" s="107"/>
      <c r="H216" s="107"/>
      <c r="I216" s="107"/>
      <c r="J216" s="107"/>
      <c r="K216" s="107"/>
      <c r="L216" s="107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5">
      <c r="A217" s="5"/>
      <c r="B217" s="107"/>
      <c r="C217" s="5"/>
      <c r="D217" s="107"/>
      <c r="E217" s="107"/>
      <c r="F217" s="107"/>
      <c r="G217" s="107"/>
      <c r="H217" s="107"/>
      <c r="I217" s="107"/>
      <c r="J217" s="107"/>
      <c r="K217" s="107"/>
      <c r="L217" s="107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5">
      <c r="A218" s="5"/>
      <c r="B218" s="107"/>
      <c r="C218" s="5"/>
      <c r="D218" s="107"/>
      <c r="E218" s="107"/>
      <c r="F218" s="107"/>
      <c r="G218" s="107"/>
      <c r="H218" s="107"/>
      <c r="I218" s="107"/>
      <c r="J218" s="107"/>
      <c r="K218" s="107"/>
      <c r="L218" s="107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5">
      <c r="A219" s="5"/>
      <c r="B219" s="107"/>
      <c r="C219" s="5"/>
      <c r="D219" s="107"/>
      <c r="E219" s="107"/>
      <c r="F219" s="107"/>
      <c r="G219" s="107"/>
      <c r="H219" s="107"/>
      <c r="I219" s="107"/>
      <c r="J219" s="107"/>
      <c r="K219" s="107"/>
      <c r="L219" s="107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5">
      <c r="A220" s="5"/>
      <c r="B220" s="5"/>
      <c r="C220" s="5"/>
      <c r="D220" s="107"/>
      <c r="E220" s="107"/>
      <c r="F220" s="107"/>
      <c r="G220" s="107"/>
      <c r="H220" s="107"/>
      <c r="I220" s="107"/>
      <c r="J220" s="107"/>
      <c r="K220" s="107"/>
      <c r="L220" s="107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5"/>
    <row r="270" spans="1:26" ht="15.75" customHeight="1" x14ac:dyDescent="0.25"/>
    <row r="271" spans="1:26" ht="15.75" customHeight="1" x14ac:dyDescent="0.25"/>
    <row r="272" spans="1:26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D1:L1"/>
  </mergeCells>
  <pageMargins left="0.7" right="0.7" top="0.75" bottom="0.75" header="0" footer="0"/>
  <pageSetup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00"/>
  </sheetPr>
  <dimension ref="A1:Z1000"/>
  <sheetViews>
    <sheetView tabSelected="1" workbookViewId="0">
      <selection activeCell="G7" sqref="G7:K7"/>
    </sheetView>
  </sheetViews>
  <sheetFormatPr defaultColWidth="11.125" defaultRowHeight="15" customHeight="1" x14ac:dyDescent="0.25"/>
  <cols>
    <col min="1" max="1" width="8.625" customWidth="1"/>
    <col min="2" max="2" width="23" customWidth="1"/>
    <col min="3" max="3" width="14.625" bestFit="1" customWidth="1"/>
    <col min="4" max="4" width="7.5" customWidth="1"/>
    <col min="5" max="5" width="8.625" customWidth="1"/>
    <col min="6" max="11" width="12.625" customWidth="1"/>
    <col min="12" max="12" width="13.125" bestFit="1" customWidth="1"/>
    <col min="13" max="17" width="8.375" customWidth="1"/>
    <col min="18" max="18" width="12.625" bestFit="1" customWidth="1"/>
    <col min="19" max="19" width="8.375" customWidth="1"/>
    <col min="20" max="26" width="11.125" customWidth="1"/>
  </cols>
  <sheetData>
    <row r="1" spans="1:26" ht="18" customHeight="1" x14ac:dyDescent="0.25">
      <c r="A1" s="1"/>
      <c r="B1" s="3"/>
      <c r="C1" s="1"/>
      <c r="D1" s="165">
        <v>2026</v>
      </c>
      <c r="E1" s="164"/>
      <c r="F1" s="164"/>
      <c r="G1" s="164"/>
      <c r="H1" s="164"/>
      <c r="I1" s="164"/>
      <c r="J1" s="164"/>
      <c r="K1" s="164"/>
      <c r="L1" s="164"/>
      <c r="M1" s="151">
        <v>2027</v>
      </c>
      <c r="N1" s="8"/>
      <c r="O1" s="8"/>
      <c r="P1" s="8"/>
      <c r="Q1" s="8"/>
      <c r="R1" s="8"/>
      <c r="S1" s="8"/>
      <c r="T1" s="5"/>
      <c r="U1" s="5"/>
      <c r="V1" s="5"/>
      <c r="W1" s="5"/>
      <c r="X1" s="5"/>
      <c r="Y1" s="5"/>
      <c r="Z1" s="5"/>
    </row>
    <row r="2" spans="1:26" ht="15.75" customHeight="1" x14ac:dyDescent="0.25">
      <c r="A2" s="10" t="s">
        <v>63</v>
      </c>
      <c r="B2" s="3"/>
      <c r="C2" s="1"/>
      <c r="D2" s="111" t="s">
        <v>1</v>
      </c>
      <c r="E2" s="111" t="s">
        <v>2</v>
      </c>
      <c r="F2" s="111" t="s">
        <v>3</v>
      </c>
      <c r="G2" s="111" t="s">
        <v>4</v>
      </c>
      <c r="H2" s="111" t="s">
        <v>5</v>
      </c>
      <c r="I2" s="111" t="s">
        <v>6</v>
      </c>
      <c r="J2" s="111" t="s">
        <v>7</v>
      </c>
      <c r="K2" s="111" t="s">
        <v>8</v>
      </c>
      <c r="L2" s="111" t="s">
        <v>9</v>
      </c>
      <c r="M2" s="111" t="s">
        <v>10</v>
      </c>
      <c r="N2" s="111" t="s">
        <v>11</v>
      </c>
      <c r="O2" s="111" t="s">
        <v>12</v>
      </c>
      <c r="P2" s="111" t="s">
        <v>1</v>
      </c>
      <c r="Q2" s="111" t="s">
        <v>2</v>
      </c>
      <c r="R2" s="111" t="s">
        <v>3</v>
      </c>
      <c r="S2" s="8"/>
      <c r="T2" s="5"/>
      <c r="U2" s="5"/>
      <c r="V2" s="5"/>
      <c r="W2" s="5"/>
      <c r="X2" s="5"/>
      <c r="Y2" s="5"/>
      <c r="Z2" s="5"/>
    </row>
    <row r="3" spans="1:26" ht="15.75" customHeight="1" x14ac:dyDescent="0.25">
      <c r="A3" s="1"/>
      <c r="B3" s="3"/>
      <c r="C3" s="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8"/>
      <c r="T3" s="5"/>
      <c r="U3" s="5"/>
      <c r="V3" s="5"/>
      <c r="W3" s="5"/>
      <c r="X3" s="5"/>
      <c r="Y3" s="5"/>
      <c r="Z3" s="5"/>
    </row>
    <row r="4" spans="1:26" ht="16.5" customHeight="1" thickBot="1" x14ac:dyDescent="0.3">
      <c r="A4" s="17"/>
      <c r="B4" s="19" t="s">
        <v>218</v>
      </c>
      <c r="C4" s="19">
        <f t="shared" ref="C4:C35" si="0">SUM(D4:L4)</f>
        <v>1490000</v>
      </c>
      <c r="D4" s="29">
        <f t="shared" ref="D4:R4" si="1">SUM(D5:D135)</f>
        <v>0</v>
      </c>
      <c r="E4" s="29">
        <f t="shared" si="1"/>
        <v>0</v>
      </c>
      <c r="F4" s="29">
        <f t="shared" si="1"/>
        <v>0</v>
      </c>
      <c r="G4" s="29">
        <f t="shared" si="1"/>
        <v>648000</v>
      </c>
      <c r="H4" s="29">
        <f t="shared" si="1"/>
        <v>60000</v>
      </c>
      <c r="I4" s="29">
        <f t="shared" si="1"/>
        <v>0</v>
      </c>
      <c r="J4" s="29">
        <f t="shared" si="1"/>
        <v>244000</v>
      </c>
      <c r="K4" s="29">
        <f t="shared" si="1"/>
        <v>50000</v>
      </c>
      <c r="L4" s="29">
        <f t="shared" si="1"/>
        <v>488000</v>
      </c>
      <c r="M4" s="29">
        <f t="shared" si="1"/>
        <v>0</v>
      </c>
      <c r="N4" s="29">
        <f t="shared" si="1"/>
        <v>0</v>
      </c>
      <c r="O4" s="29">
        <f t="shared" si="1"/>
        <v>0</v>
      </c>
      <c r="P4" s="29">
        <f t="shared" si="1"/>
        <v>0</v>
      </c>
      <c r="Q4" s="29">
        <f t="shared" si="1"/>
        <v>0</v>
      </c>
      <c r="R4" s="29">
        <f t="shared" si="1"/>
        <v>379000</v>
      </c>
      <c r="S4" s="27"/>
      <c r="T4" s="5"/>
      <c r="U4" s="5"/>
      <c r="V4" s="5"/>
      <c r="W4" s="5"/>
      <c r="X4" s="5"/>
      <c r="Y4" s="5"/>
      <c r="Z4" s="5"/>
    </row>
    <row r="5" spans="1:26" ht="16.5" customHeight="1" thickTop="1" x14ac:dyDescent="0.25">
      <c r="A5" s="32">
        <v>651101</v>
      </c>
      <c r="B5" s="33" t="s">
        <v>219</v>
      </c>
      <c r="C5" s="34">
        <f t="shared" si="0"/>
        <v>1220000</v>
      </c>
      <c r="D5" s="35"/>
      <c r="E5" s="35"/>
      <c r="F5" s="35"/>
      <c r="G5" s="35">
        <v>488000</v>
      </c>
      <c r="H5" s="35">
        <v>0</v>
      </c>
      <c r="I5" s="35"/>
      <c r="J5" s="35">
        <v>244000</v>
      </c>
      <c r="K5" s="35"/>
      <c r="L5" s="35">
        <v>488000</v>
      </c>
      <c r="M5" s="35"/>
      <c r="N5" s="35"/>
      <c r="O5" s="35"/>
      <c r="P5" s="35"/>
      <c r="Q5" s="35"/>
      <c r="R5" s="35">
        <v>244000</v>
      </c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5">
      <c r="A6" s="32">
        <v>651101</v>
      </c>
      <c r="B6" s="42" t="s">
        <v>220</v>
      </c>
      <c r="C6" s="45">
        <f t="shared" si="0"/>
        <v>120000</v>
      </c>
      <c r="D6" s="47"/>
      <c r="E6" s="47"/>
      <c r="F6" s="47"/>
      <c r="G6" s="47">
        <v>60000</v>
      </c>
      <c r="H6" s="47">
        <v>60000</v>
      </c>
      <c r="I6" s="47"/>
      <c r="J6" s="47"/>
      <c r="K6" s="47"/>
      <c r="L6" s="47"/>
      <c r="M6" s="47"/>
      <c r="N6" s="47"/>
      <c r="O6" s="47"/>
      <c r="P6" s="47"/>
      <c r="Q6" s="47"/>
      <c r="R6" s="47">
        <v>120000</v>
      </c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5">
      <c r="A7" s="32">
        <v>651101</v>
      </c>
      <c r="B7" s="42" t="s">
        <v>221</v>
      </c>
      <c r="C7" s="45">
        <f t="shared" si="0"/>
        <v>150000</v>
      </c>
      <c r="D7" s="47"/>
      <c r="E7" s="47"/>
      <c r="F7" s="47"/>
      <c r="G7" s="47">
        <v>100000</v>
      </c>
      <c r="H7" s="47"/>
      <c r="I7" s="47"/>
      <c r="J7" s="47"/>
      <c r="K7" s="47">
        <v>50000</v>
      </c>
      <c r="L7" s="47"/>
      <c r="M7" s="47"/>
      <c r="N7" s="47"/>
      <c r="O7" s="47"/>
      <c r="P7" s="47"/>
      <c r="Q7" s="47"/>
      <c r="R7" s="47">
        <v>15000</v>
      </c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5">
      <c r="A8" s="32"/>
      <c r="B8" s="42"/>
      <c r="C8" s="45">
        <f t="shared" si="0"/>
        <v>0</v>
      </c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5">
      <c r="A9" s="32"/>
      <c r="B9" s="60"/>
      <c r="C9" s="45">
        <f t="shared" si="0"/>
        <v>0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5">
      <c r="A10" s="32"/>
      <c r="B10" s="60"/>
      <c r="C10" s="45">
        <f t="shared" si="0"/>
        <v>0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5">
      <c r="A11" s="32"/>
      <c r="B11" s="60"/>
      <c r="C11" s="45">
        <f t="shared" si="0"/>
        <v>0</v>
      </c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5">
      <c r="A12" s="32"/>
      <c r="B12" s="60"/>
      <c r="C12" s="45">
        <f t="shared" si="0"/>
        <v>0</v>
      </c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5">
      <c r="A13" s="32"/>
      <c r="B13" s="60"/>
      <c r="C13" s="45">
        <f t="shared" si="0"/>
        <v>0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5">
      <c r="A14" s="32"/>
      <c r="B14" s="60"/>
      <c r="C14" s="45">
        <f t="shared" si="0"/>
        <v>0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5">
      <c r="A15" s="32"/>
      <c r="B15" s="60"/>
      <c r="C15" s="45">
        <f t="shared" si="0"/>
        <v>0</v>
      </c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5">
      <c r="A16" s="32"/>
      <c r="B16" s="60"/>
      <c r="C16" s="45">
        <f t="shared" si="0"/>
        <v>0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5">
      <c r="A17" s="32"/>
      <c r="B17" s="60"/>
      <c r="C17" s="45">
        <f t="shared" si="0"/>
        <v>0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5">
      <c r="A18" s="32"/>
      <c r="B18" s="60"/>
      <c r="C18" s="45">
        <f t="shared" si="0"/>
        <v>0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5">
      <c r="A19" s="32"/>
      <c r="B19" s="60"/>
      <c r="C19" s="45">
        <f t="shared" si="0"/>
        <v>0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5">
      <c r="A20" s="32"/>
      <c r="B20" s="60"/>
      <c r="C20" s="45">
        <f t="shared" si="0"/>
        <v>0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5">
      <c r="A21" s="32"/>
      <c r="B21" s="60"/>
      <c r="C21" s="45">
        <f t="shared" si="0"/>
        <v>0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5">
      <c r="A22" s="32"/>
      <c r="B22" s="60"/>
      <c r="C22" s="45">
        <f t="shared" si="0"/>
        <v>0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5">
      <c r="A23" s="32"/>
      <c r="B23" s="60"/>
      <c r="C23" s="45">
        <f t="shared" si="0"/>
        <v>0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5">
      <c r="A24" s="32"/>
      <c r="B24" s="60"/>
      <c r="C24" s="45">
        <f t="shared" si="0"/>
        <v>0</v>
      </c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5">
      <c r="A25" s="32"/>
      <c r="B25" s="60"/>
      <c r="C25" s="45">
        <f t="shared" si="0"/>
        <v>0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5">
      <c r="A26" s="32"/>
      <c r="B26" s="60"/>
      <c r="C26" s="45">
        <f t="shared" si="0"/>
        <v>0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5">
      <c r="A27" s="32"/>
      <c r="B27" s="60"/>
      <c r="C27" s="45">
        <f t="shared" si="0"/>
        <v>0</v>
      </c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5">
      <c r="A28" s="32"/>
      <c r="B28" s="60"/>
      <c r="C28" s="45">
        <f t="shared" si="0"/>
        <v>0</v>
      </c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5">
      <c r="A29" s="32"/>
      <c r="B29" s="60"/>
      <c r="C29" s="45">
        <f t="shared" si="0"/>
        <v>0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5">
      <c r="A30" s="32"/>
      <c r="B30" s="60"/>
      <c r="C30" s="45">
        <f t="shared" si="0"/>
        <v>0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5">
      <c r="A31" s="32"/>
      <c r="B31" s="60"/>
      <c r="C31" s="45">
        <f t="shared" si="0"/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5">
      <c r="A32" s="32"/>
      <c r="B32" s="60"/>
      <c r="C32" s="45">
        <f t="shared" si="0"/>
        <v>0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5">
      <c r="A33" s="32"/>
      <c r="B33" s="60"/>
      <c r="C33" s="45">
        <f t="shared" si="0"/>
        <v>0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5">
      <c r="A34" s="32"/>
      <c r="B34" s="60"/>
      <c r="C34" s="45">
        <f t="shared" si="0"/>
        <v>0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5">
      <c r="A35" s="32"/>
      <c r="B35" s="60"/>
      <c r="C35" s="45">
        <f t="shared" si="0"/>
        <v>0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5">
      <c r="A36" s="32"/>
      <c r="B36" s="60"/>
      <c r="C36" s="45">
        <f t="shared" ref="C36:C67" si="2">SUM(D36:L36)</f>
        <v>0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5">
      <c r="A37" s="32"/>
      <c r="B37" s="60"/>
      <c r="C37" s="45">
        <f t="shared" si="2"/>
        <v>0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5">
      <c r="A38" s="32"/>
      <c r="B38" s="60"/>
      <c r="C38" s="45">
        <f t="shared" si="2"/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5">
      <c r="A39" s="32"/>
      <c r="B39" s="60"/>
      <c r="C39" s="45">
        <f t="shared" si="2"/>
        <v>0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5">
      <c r="A40" s="32"/>
      <c r="B40" s="60"/>
      <c r="C40" s="45">
        <f t="shared" si="2"/>
        <v>0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5">
      <c r="A41" s="32"/>
      <c r="B41" s="60"/>
      <c r="C41" s="45">
        <f t="shared" si="2"/>
        <v>0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5">
      <c r="A42" s="32"/>
      <c r="B42" s="60"/>
      <c r="C42" s="45">
        <f t="shared" si="2"/>
        <v>0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5">
      <c r="A43" s="32"/>
      <c r="B43" s="60"/>
      <c r="C43" s="45">
        <f t="shared" si="2"/>
        <v>0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5">
      <c r="A44" s="32"/>
      <c r="B44" s="60"/>
      <c r="C44" s="45">
        <f t="shared" si="2"/>
        <v>0</v>
      </c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5">
      <c r="A45" s="32"/>
      <c r="B45" s="60"/>
      <c r="C45" s="45">
        <f t="shared" si="2"/>
        <v>0</v>
      </c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5">
      <c r="A46" s="32"/>
      <c r="B46" s="60"/>
      <c r="C46" s="45">
        <f t="shared" si="2"/>
        <v>0</v>
      </c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5">
      <c r="A47" s="32"/>
      <c r="B47" s="60"/>
      <c r="C47" s="45">
        <f t="shared" si="2"/>
        <v>0</v>
      </c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5">
      <c r="A48" s="32"/>
      <c r="B48" s="60"/>
      <c r="C48" s="45">
        <f t="shared" si="2"/>
        <v>0</v>
      </c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5">
      <c r="A49" s="32"/>
      <c r="B49" s="60"/>
      <c r="C49" s="45">
        <f t="shared" si="2"/>
        <v>0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5">
      <c r="A50" s="32"/>
      <c r="B50" s="60"/>
      <c r="C50" s="45">
        <f t="shared" si="2"/>
        <v>0</v>
      </c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5">
      <c r="A51" s="32"/>
      <c r="B51" s="60"/>
      <c r="C51" s="45">
        <f t="shared" si="2"/>
        <v>0</v>
      </c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5">
      <c r="A52" s="32"/>
      <c r="B52" s="60"/>
      <c r="C52" s="45">
        <f t="shared" si="2"/>
        <v>0</v>
      </c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5">
      <c r="A53" s="32"/>
      <c r="B53" s="60"/>
      <c r="C53" s="45">
        <f t="shared" si="2"/>
        <v>0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5">
      <c r="A54" s="32"/>
      <c r="B54" s="60"/>
      <c r="C54" s="45">
        <f t="shared" si="2"/>
        <v>0</v>
      </c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5">
      <c r="A55" s="32"/>
      <c r="B55" s="60"/>
      <c r="C55" s="45">
        <f t="shared" si="2"/>
        <v>0</v>
      </c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5">
      <c r="A56" s="32"/>
      <c r="B56" s="60"/>
      <c r="C56" s="45">
        <f t="shared" si="2"/>
        <v>0</v>
      </c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5">
      <c r="A57" s="32"/>
      <c r="B57" s="60"/>
      <c r="C57" s="45">
        <f t="shared" si="2"/>
        <v>0</v>
      </c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5">
      <c r="A58" s="32"/>
      <c r="B58" s="60"/>
      <c r="C58" s="45">
        <f t="shared" si="2"/>
        <v>0</v>
      </c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5">
      <c r="A59" s="32"/>
      <c r="B59" s="60"/>
      <c r="C59" s="45">
        <f t="shared" si="2"/>
        <v>0</v>
      </c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5">
      <c r="A60" s="32"/>
      <c r="B60" s="60"/>
      <c r="C60" s="45">
        <f t="shared" si="2"/>
        <v>0</v>
      </c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5">
      <c r="A61" s="32"/>
      <c r="B61" s="60"/>
      <c r="C61" s="45">
        <f t="shared" si="2"/>
        <v>0</v>
      </c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5">
      <c r="A62" s="32"/>
      <c r="B62" s="60"/>
      <c r="C62" s="45">
        <f t="shared" si="2"/>
        <v>0</v>
      </c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5">
      <c r="A63" s="32"/>
      <c r="B63" s="60"/>
      <c r="C63" s="45">
        <f t="shared" si="2"/>
        <v>0</v>
      </c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5">
      <c r="A64" s="32"/>
      <c r="B64" s="60"/>
      <c r="C64" s="45">
        <f t="shared" si="2"/>
        <v>0</v>
      </c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5">
      <c r="A65" s="32"/>
      <c r="B65" s="60"/>
      <c r="C65" s="45">
        <f t="shared" si="2"/>
        <v>0</v>
      </c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5">
      <c r="A66" s="32"/>
      <c r="B66" s="60"/>
      <c r="C66" s="45">
        <f t="shared" si="2"/>
        <v>0</v>
      </c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5">
      <c r="A67" s="32"/>
      <c r="B67" s="60"/>
      <c r="C67" s="45">
        <f t="shared" si="2"/>
        <v>0</v>
      </c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5">
      <c r="A68" s="32"/>
      <c r="B68" s="60"/>
      <c r="C68" s="45">
        <f t="shared" ref="C68:C69" si="3">SUM(D68:L68)</f>
        <v>0</v>
      </c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5">
      <c r="A69" s="32"/>
      <c r="B69" s="110"/>
      <c r="C69" s="45">
        <f t="shared" si="3"/>
        <v>0</v>
      </c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5">
      <c r="A70" s="5"/>
      <c r="B70" s="107"/>
      <c r="C70" s="5"/>
      <c r="D70" s="107"/>
      <c r="E70" s="107"/>
      <c r="F70" s="107"/>
      <c r="G70" s="107"/>
      <c r="H70" s="107"/>
      <c r="I70" s="107"/>
      <c r="J70" s="107"/>
      <c r="K70" s="107"/>
      <c r="L70" s="107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5">
      <c r="A71" s="5"/>
      <c r="B71" s="107"/>
      <c r="C71" s="5"/>
      <c r="D71" s="107"/>
      <c r="E71" s="107"/>
      <c r="F71" s="107"/>
      <c r="G71" s="107"/>
      <c r="H71" s="107"/>
      <c r="I71" s="107"/>
      <c r="J71" s="107"/>
      <c r="K71" s="107"/>
      <c r="L71" s="107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5">
      <c r="A72" s="5"/>
      <c r="B72" s="107"/>
      <c r="C72" s="5"/>
      <c r="D72" s="107"/>
      <c r="E72" s="107"/>
      <c r="F72" s="107"/>
      <c r="G72" s="107"/>
      <c r="H72" s="107"/>
      <c r="I72" s="107"/>
      <c r="J72" s="107"/>
      <c r="K72" s="107"/>
      <c r="L72" s="107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5">
      <c r="A73" s="5"/>
      <c r="B73" s="107"/>
      <c r="C73" s="5"/>
      <c r="D73" s="107"/>
      <c r="E73" s="107"/>
      <c r="F73" s="107"/>
      <c r="G73" s="107"/>
      <c r="H73" s="107"/>
      <c r="I73" s="107"/>
      <c r="J73" s="107"/>
      <c r="K73" s="107"/>
      <c r="L73" s="107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5">
      <c r="A74" s="5"/>
      <c r="B74" s="107"/>
      <c r="C74" s="5"/>
      <c r="D74" s="107"/>
      <c r="E74" s="107"/>
      <c r="F74" s="107"/>
      <c r="G74" s="107"/>
      <c r="H74" s="107"/>
      <c r="I74" s="107"/>
      <c r="J74" s="107"/>
      <c r="K74" s="107"/>
      <c r="L74" s="107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5">
      <c r="A75" s="5"/>
      <c r="B75" s="107"/>
      <c r="C75" s="5"/>
      <c r="D75" s="107"/>
      <c r="E75" s="107"/>
      <c r="F75" s="107"/>
      <c r="G75" s="107"/>
      <c r="H75" s="107"/>
      <c r="I75" s="107"/>
      <c r="J75" s="107"/>
      <c r="K75" s="107"/>
      <c r="L75" s="107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5">
      <c r="A76" s="5"/>
      <c r="B76" s="107"/>
      <c r="C76" s="5"/>
      <c r="D76" s="107"/>
      <c r="E76" s="107"/>
      <c r="F76" s="107"/>
      <c r="G76" s="107"/>
      <c r="H76" s="107"/>
      <c r="I76" s="107"/>
      <c r="J76" s="107"/>
      <c r="K76" s="107"/>
      <c r="L76" s="107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5">
      <c r="A77" s="5"/>
      <c r="B77" s="107"/>
      <c r="C77" s="5"/>
      <c r="D77" s="107"/>
      <c r="E77" s="107"/>
      <c r="F77" s="107"/>
      <c r="G77" s="107"/>
      <c r="H77" s="107"/>
      <c r="I77" s="107"/>
      <c r="J77" s="107"/>
      <c r="K77" s="107"/>
      <c r="L77" s="107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5">
      <c r="A78" s="5"/>
      <c r="B78" s="107"/>
      <c r="C78" s="5"/>
      <c r="D78" s="107"/>
      <c r="E78" s="107"/>
      <c r="F78" s="107"/>
      <c r="G78" s="107"/>
      <c r="H78" s="107"/>
      <c r="I78" s="107"/>
      <c r="J78" s="107"/>
      <c r="K78" s="107"/>
      <c r="L78" s="107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5">
      <c r="A79" s="5"/>
      <c r="B79" s="107"/>
      <c r="C79" s="5"/>
      <c r="D79" s="107"/>
      <c r="E79" s="107"/>
      <c r="F79" s="107"/>
      <c r="G79" s="107"/>
      <c r="H79" s="107"/>
      <c r="I79" s="107"/>
      <c r="J79" s="107"/>
      <c r="K79" s="107"/>
      <c r="L79" s="107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5">
      <c r="A80" s="5"/>
      <c r="B80" s="107"/>
      <c r="C80" s="5"/>
      <c r="D80" s="107"/>
      <c r="E80" s="107"/>
      <c r="F80" s="107"/>
      <c r="G80" s="107"/>
      <c r="H80" s="107"/>
      <c r="I80" s="107"/>
      <c r="J80" s="107"/>
      <c r="K80" s="107"/>
      <c r="L80" s="107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5">
      <c r="A81" s="5"/>
      <c r="B81" s="107"/>
      <c r="C81" s="5"/>
      <c r="D81" s="107"/>
      <c r="E81" s="107"/>
      <c r="F81" s="107"/>
      <c r="G81" s="107"/>
      <c r="H81" s="107"/>
      <c r="I81" s="107"/>
      <c r="J81" s="107"/>
      <c r="K81" s="107"/>
      <c r="L81" s="107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5">
      <c r="A82" s="5"/>
      <c r="B82" s="107"/>
      <c r="C82" s="5"/>
      <c r="D82" s="107"/>
      <c r="E82" s="107"/>
      <c r="F82" s="107"/>
      <c r="G82" s="107"/>
      <c r="H82" s="107"/>
      <c r="I82" s="107"/>
      <c r="J82" s="107"/>
      <c r="K82" s="107"/>
      <c r="L82" s="107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5">
      <c r="A83" s="5"/>
      <c r="B83" s="107"/>
      <c r="C83" s="5"/>
      <c r="D83" s="107"/>
      <c r="E83" s="107"/>
      <c r="F83" s="107"/>
      <c r="G83" s="107"/>
      <c r="H83" s="107"/>
      <c r="I83" s="107"/>
      <c r="J83" s="107"/>
      <c r="K83" s="107"/>
      <c r="L83" s="107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5">
      <c r="A84" s="5"/>
      <c r="B84" s="107"/>
      <c r="C84" s="5"/>
      <c r="D84" s="107"/>
      <c r="E84" s="107"/>
      <c r="F84" s="107"/>
      <c r="G84" s="107"/>
      <c r="H84" s="107"/>
      <c r="I84" s="107"/>
      <c r="J84" s="107"/>
      <c r="K84" s="107"/>
      <c r="L84" s="107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5">
      <c r="A85" s="5"/>
      <c r="B85" s="107"/>
      <c r="C85" s="5"/>
      <c r="D85" s="107"/>
      <c r="E85" s="107"/>
      <c r="F85" s="107"/>
      <c r="G85" s="107"/>
      <c r="H85" s="107"/>
      <c r="I85" s="107"/>
      <c r="J85" s="107"/>
      <c r="K85" s="107"/>
      <c r="L85" s="107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5">
      <c r="A86" s="5"/>
      <c r="B86" s="107"/>
      <c r="C86" s="5"/>
      <c r="D86" s="107"/>
      <c r="E86" s="107"/>
      <c r="F86" s="107"/>
      <c r="G86" s="107"/>
      <c r="H86" s="107"/>
      <c r="I86" s="107"/>
      <c r="J86" s="107"/>
      <c r="K86" s="107"/>
      <c r="L86" s="107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5">
      <c r="A87" s="5"/>
      <c r="B87" s="107"/>
      <c r="C87" s="5"/>
      <c r="D87" s="107"/>
      <c r="E87" s="107"/>
      <c r="F87" s="107"/>
      <c r="G87" s="107"/>
      <c r="H87" s="107"/>
      <c r="I87" s="107"/>
      <c r="J87" s="107"/>
      <c r="K87" s="107"/>
      <c r="L87" s="107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5">
      <c r="A88" s="5"/>
      <c r="B88" s="107"/>
      <c r="C88" s="5"/>
      <c r="D88" s="107"/>
      <c r="E88" s="107"/>
      <c r="F88" s="107"/>
      <c r="G88" s="107"/>
      <c r="H88" s="107"/>
      <c r="I88" s="107"/>
      <c r="J88" s="107"/>
      <c r="K88" s="107"/>
      <c r="L88" s="107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5">
      <c r="A89" s="5"/>
      <c r="B89" s="107"/>
      <c r="C89" s="5"/>
      <c r="D89" s="107"/>
      <c r="E89" s="107"/>
      <c r="F89" s="107"/>
      <c r="G89" s="107"/>
      <c r="H89" s="107"/>
      <c r="I89" s="107"/>
      <c r="J89" s="107"/>
      <c r="K89" s="107"/>
      <c r="L89" s="107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5">
      <c r="A90" s="5"/>
      <c r="B90" s="107"/>
      <c r="C90" s="5"/>
      <c r="D90" s="107"/>
      <c r="E90" s="107"/>
      <c r="F90" s="107"/>
      <c r="G90" s="107"/>
      <c r="H90" s="107"/>
      <c r="I90" s="107"/>
      <c r="J90" s="107"/>
      <c r="K90" s="107"/>
      <c r="L90" s="107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5">
      <c r="A91" s="5"/>
      <c r="B91" s="107"/>
      <c r="C91" s="5"/>
      <c r="D91" s="107"/>
      <c r="E91" s="107"/>
      <c r="F91" s="107"/>
      <c r="G91" s="107"/>
      <c r="H91" s="107"/>
      <c r="I91" s="107"/>
      <c r="J91" s="107"/>
      <c r="K91" s="107"/>
      <c r="L91" s="107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5">
      <c r="A92" s="5"/>
      <c r="B92" s="107"/>
      <c r="C92" s="5"/>
      <c r="D92" s="107"/>
      <c r="E92" s="107"/>
      <c r="F92" s="107"/>
      <c r="G92" s="107"/>
      <c r="H92" s="107"/>
      <c r="I92" s="107"/>
      <c r="J92" s="107"/>
      <c r="K92" s="107"/>
      <c r="L92" s="107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5">
      <c r="A93" s="5"/>
      <c r="B93" s="107"/>
      <c r="C93" s="5"/>
      <c r="D93" s="107"/>
      <c r="E93" s="107"/>
      <c r="F93" s="107"/>
      <c r="G93" s="107"/>
      <c r="H93" s="107"/>
      <c r="I93" s="107"/>
      <c r="J93" s="107"/>
      <c r="K93" s="107"/>
      <c r="L93" s="107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5">
      <c r="A94" s="5"/>
      <c r="B94" s="107"/>
      <c r="C94" s="5"/>
      <c r="D94" s="107"/>
      <c r="E94" s="107"/>
      <c r="F94" s="107"/>
      <c r="G94" s="107"/>
      <c r="H94" s="107"/>
      <c r="I94" s="107"/>
      <c r="J94" s="107"/>
      <c r="K94" s="107"/>
      <c r="L94" s="107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5">
      <c r="A95" s="5"/>
      <c r="B95" s="107"/>
      <c r="C95" s="5"/>
      <c r="D95" s="107"/>
      <c r="E95" s="107"/>
      <c r="F95" s="107"/>
      <c r="G95" s="107"/>
      <c r="H95" s="107"/>
      <c r="I95" s="107"/>
      <c r="J95" s="107"/>
      <c r="K95" s="107"/>
      <c r="L95" s="107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5">
      <c r="A96" s="5"/>
      <c r="B96" s="107"/>
      <c r="C96" s="5"/>
      <c r="D96" s="107"/>
      <c r="E96" s="107"/>
      <c r="F96" s="107"/>
      <c r="G96" s="107"/>
      <c r="H96" s="107"/>
      <c r="I96" s="107"/>
      <c r="J96" s="107"/>
      <c r="K96" s="107"/>
      <c r="L96" s="107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5">
      <c r="A97" s="5"/>
      <c r="B97" s="107"/>
      <c r="C97" s="5"/>
      <c r="D97" s="107"/>
      <c r="E97" s="107"/>
      <c r="F97" s="107"/>
      <c r="G97" s="107"/>
      <c r="H97" s="107"/>
      <c r="I97" s="107"/>
      <c r="J97" s="107"/>
      <c r="K97" s="107"/>
      <c r="L97" s="107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5">
      <c r="A98" s="5"/>
      <c r="B98" s="107"/>
      <c r="C98" s="5"/>
      <c r="D98" s="107"/>
      <c r="E98" s="107"/>
      <c r="F98" s="107"/>
      <c r="G98" s="107"/>
      <c r="H98" s="107"/>
      <c r="I98" s="107"/>
      <c r="J98" s="107"/>
      <c r="K98" s="107"/>
      <c r="L98" s="107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5">
      <c r="A99" s="5"/>
      <c r="B99" s="107"/>
      <c r="C99" s="5"/>
      <c r="D99" s="107"/>
      <c r="E99" s="107"/>
      <c r="F99" s="107"/>
      <c r="G99" s="107"/>
      <c r="H99" s="107"/>
      <c r="I99" s="107"/>
      <c r="J99" s="107"/>
      <c r="K99" s="107"/>
      <c r="L99" s="107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5">
      <c r="A100" s="5"/>
      <c r="B100" s="107"/>
      <c r="C100" s="5"/>
      <c r="D100" s="107"/>
      <c r="E100" s="107"/>
      <c r="F100" s="107"/>
      <c r="G100" s="107"/>
      <c r="H100" s="107"/>
      <c r="I100" s="107"/>
      <c r="J100" s="107"/>
      <c r="K100" s="107"/>
      <c r="L100" s="107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5">
      <c r="A101" s="5"/>
      <c r="B101" s="107"/>
      <c r="C101" s="5"/>
      <c r="D101" s="107"/>
      <c r="E101" s="107"/>
      <c r="F101" s="107"/>
      <c r="G101" s="107"/>
      <c r="H101" s="107"/>
      <c r="I101" s="107"/>
      <c r="J101" s="107"/>
      <c r="K101" s="107"/>
      <c r="L101" s="107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5">
      <c r="A102" s="5"/>
      <c r="B102" s="107"/>
      <c r="C102" s="5"/>
      <c r="D102" s="107"/>
      <c r="E102" s="107"/>
      <c r="F102" s="107"/>
      <c r="G102" s="107"/>
      <c r="H102" s="107"/>
      <c r="I102" s="107"/>
      <c r="J102" s="107"/>
      <c r="K102" s="107"/>
      <c r="L102" s="107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5">
      <c r="A103" s="5"/>
      <c r="B103" s="107"/>
      <c r="C103" s="5"/>
      <c r="D103" s="107"/>
      <c r="E103" s="107"/>
      <c r="F103" s="107"/>
      <c r="G103" s="107"/>
      <c r="H103" s="107"/>
      <c r="I103" s="107"/>
      <c r="J103" s="107"/>
      <c r="K103" s="107"/>
      <c r="L103" s="107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5">
      <c r="A104" s="5"/>
      <c r="B104" s="107"/>
      <c r="C104" s="5"/>
      <c r="D104" s="107"/>
      <c r="E104" s="107"/>
      <c r="F104" s="107"/>
      <c r="G104" s="107"/>
      <c r="H104" s="107"/>
      <c r="I104" s="107"/>
      <c r="J104" s="107"/>
      <c r="K104" s="107"/>
      <c r="L104" s="107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5">
      <c r="A105" s="5"/>
      <c r="B105" s="107"/>
      <c r="C105" s="5"/>
      <c r="D105" s="107"/>
      <c r="E105" s="107"/>
      <c r="F105" s="107"/>
      <c r="G105" s="107"/>
      <c r="H105" s="107"/>
      <c r="I105" s="107"/>
      <c r="J105" s="107"/>
      <c r="K105" s="107"/>
      <c r="L105" s="107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5">
      <c r="A106" s="5"/>
      <c r="B106" s="107"/>
      <c r="C106" s="5"/>
      <c r="D106" s="107"/>
      <c r="E106" s="107"/>
      <c r="F106" s="107"/>
      <c r="G106" s="107"/>
      <c r="H106" s="107"/>
      <c r="I106" s="107"/>
      <c r="J106" s="107"/>
      <c r="K106" s="107"/>
      <c r="L106" s="107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5">
      <c r="A107" s="5"/>
      <c r="B107" s="107"/>
      <c r="C107" s="5"/>
      <c r="D107" s="107"/>
      <c r="E107" s="107"/>
      <c r="F107" s="107"/>
      <c r="G107" s="107"/>
      <c r="H107" s="107"/>
      <c r="I107" s="107"/>
      <c r="J107" s="107"/>
      <c r="K107" s="107"/>
      <c r="L107" s="107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5">
      <c r="A108" s="5"/>
      <c r="B108" s="107"/>
      <c r="C108" s="5"/>
      <c r="D108" s="107"/>
      <c r="E108" s="107"/>
      <c r="F108" s="107"/>
      <c r="G108" s="107"/>
      <c r="H108" s="107"/>
      <c r="I108" s="107"/>
      <c r="J108" s="107"/>
      <c r="K108" s="107"/>
      <c r="L108" s="107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5">
      <c r="A109" s="5"/>
      <c r="B109" s="107"/>
      <c r="C109" s="5"/>
      <c r="D109" s="107"/>
      <c r="E109" s="107"/>
      <c r="F109" s="107"/>
      <c r="G109" s="107"/>
      <c r="H109" s="107"/>
      <c r="I109" s="107"/>
      <c r="J109" s="107"/>
      <c r="K109" s="107"/>
      <c r="L109" s="107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5">
      <c r="A110" s="5"/>
      <c r="B110" s="107"/>
      <c r="C110" s="5"/>
      <c r="D110" s="107"/>
      <c r="E110" s="107"/>
      <c r="F110" s="107"/>
      <c r="G110" s="107"/>
      <c r="H110" s="107"/>
      <c r="I110" s="107"/>
      <c r="J110" s="107"/>
      <c r="K110" s="107"/>
      <c r="L110" s="107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5">
      <c r="A111" s="5"/>
      <c r="B111" s="107"/>
      <c r="C111" s="5"/>
      <c r="D111" s="107"/>
      <c r="E111" s="107"/>
      <c r="F111" s="107"/>
      <c r="G111" s="107"/>
      <c r="H111" s="107"/>
      <c r="I111" s="107"/>
      <c r="J111" s="107"/>
      <c r="K111" s="107"/>
      <c r="L111" s="107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5">
      <c r="A112" s="5"/>
      <c r="B112" s="107"/>
      <c r="C112" s="5"/>
      <c r="D112" s="107"/>
      <c r="E112" s="107"/>
      <c r="F112" s="107"/>
      <c r="G112" s="107"/>
      <c r="H112" s="107"/>
      <c r="I112" s="107"/>
      <c r="J112" s="107"/>
      <c r="K112" s="107"/>
      <c r="L112" s="107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5">
      <c r="A113" s="5"/>
      <c r="B113" s="107"/>
      <c r="C113" s="5"/>
      <c r="D113" s="107"/>
      <c r="E113" s="107"/>
      <c r="F113" s="107"/>
      <c r="G113" s="107"/>
      <c r="H113" s="107"/>
      <c r="I113" s="107"/>
      <c r="J113" s="107"/>
      <c r="K113" s="107"/>
      <c r="L113" s="107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5">
      <c r="A114" s="5"/>
      <c r="B114" s="107"/>
      <c r="C114" s="5"/>
      <c r="D114" s="107"/>
      <c r="E114" s="107"/>
      <c r="F114" s="107"/>
      <c r="G114" s="107"/>
      <c r="H114" s="107"/>
      <c r="I114" s="107"/>
      <c r="J114" s="107"/>
      <c r="K114" s="107"/>
      <c r="L114" s="107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5">
      <c r="A115" s="5"/>
      <c r="B115" s="107"/>
      <c r="C115" s="5"/>
      <c r="D115" s="107"/>
      <c r="E115" s="107"/>
      <c r="F115" s="107"/>
      <c r="G115" s="107"/>
      <c r="H115" s="107"/>
      <c r="I115" s="107"/>
      <c r="J115" s="107"/>
      <c r="K115" s="107"/>
      <c r="L115" s="107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5">
      <c r="A116" s="5"/>
      <c r="B116" s="107"/>
      <c r="C116" s="5"/>
      <c r="D116" s="107"/>
      <c r="E116" s="107"/>
      <c r="F116" s="107"/>
      <c r="G116" s="107"/>
      <c r="H116" s="107"/>
      <c r="I116" s="107"/>
      <c r="J116" s="107"/>
      <c r="K116" s="107"/>
      <c r="L116" s="107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5">
      <c r="A117" s="5"/>
      <c r="B117" s="107"/>
      <c r="C117" s="5"/>
      <c r="D117" s="107"/>
      <c r="E117" s="107"/>
      <c r="F117" s="107"/>
      <c r="G117" s="107"/>
      <c r="H117" s="107"/>
      <c r="I117" s="107"/>
      <c r="J117" s="107"/>
      <c r="K117" s="107"/>
      <c r="L117" s="107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5">
      <c r="A118" s="5"/>
      <c r="B118" s="107"/>
      <c r="C118" s="5"/>
      <c r="D118" s="107"/>
      <c r="E118" s="107"/>
      <c r="F118" s="107"/>
      <c r="G118" s="107"/>
      <c r="H118" s="107"/>
      <c r="I118" s="107"/>
      <c r="J118" s="107"/>
      <c r="K118" s="107"/>
      <c r="L118" s="107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5">
      <c r="A119" s="5"/>
      <c r="B119" s="107"/>
      <c r="C119" s="5"/>
      <c r="D119" s="107"/>
      <c r="E119" s="107"/>
      <c r="F119" s="107"/>
      <c r="G119" s="107"/>
      <c r="H119" s="107"/>
      <c r="I119" s="107"/>
      <c r="J119" s="107"/>
      <c r="K119" s="107"/>
      <c r="L119" s="107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5">
      <c r="A120" s="5"/>
      <c r="B120" s="107"/>
      <c r="C120" s="5"/>
      <c r="D120" s="107"/>
      <c r="E120" s="107"/>
      <c r="F120" s="107"/>
      <c r="G120" s="107"/>
      <c r="H120" s="107"/>
      <c r="I120" s="107"/>
      <c r="J120" s="107"/>
      <c r="K120" s="107"/>
      <c r="L120" s="107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5">
      <c r="A121" s="5"/>
      <c r="B121" s="107"/>
      <c r="C121" s="5"/>
      <c r="D121" s="107"/>
      <c r="E121" s="107"/>
      <c r="F121" s="107"/>
      <c r="G121" s="107"/>
      <c r="H121" s="107"/>
      <c r="I121" s="107"/>
      <c r="J121" s="107"/>
      <c r="K121" s="107"/>
      <c r="L121" s="107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5">
      <c r="A122" s="5"/>
      <c r="B122" s="107"/>
      <c r="C122" s="5"/>
      <c r="D122" s="107"/>
      <c r="E122" s="107"/>
      <c r="F122" s="107"/>
      <c r="G122" s="107"/>
      <c r="H122" s="107"/>
      <c r="I122" s="107"/>
      <c r="J122" s="107"/>
      <c r="K122" s="107"/>
      <c r="L122" s="107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5">
      <c r="A123" s="5"/>
      <c r="B123" s="107"/>
      <c r="C123" s="5"/>
      <c r="D123" s="107"/>
      <c r="E123" s="107"/>
      <c r="F123" s="107"/>
      <c r="G123" s="107"/>
      <c r="H123" s="107"/>
      <c r="I123" s="107"/>
      <c r="J123" s="107"/>
      <c r="K123" s="107"/>
      <c r="L123" s="107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5">
      <c r="A124" s="5"/>
      <c r="B124" s="107"/>
      <c r="C124" s="5"/>
      <c r="D124" s="107"/>
      <c r="E124" s="107"/>
      <c r="F124" s="107"/>
      <c r="G124" s="107"/>
      <c r="H124" s="107"/>
      <c r="I124" s="107"/>
      <c r="J124" s="107"/>
      <c r="K124" s="107"/>
      <c r="L124" s="107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5">
      <c r="A125" s="5"/>
      <c r="B125" s="107"/>
      <c r="C125" s="5"/>
      <c r="D125" s="107"/>
      <c r="E125" s="107"/>
      <c r="F125" s="107"/>
      <c r="G125" s="107"/>
      <c r="H125" s="107"/>
      <c r="I125" s="107"/>
      <c r="J125" s="107"/>
      <c r="K125" s="107"/>
      <c r="L125" s="107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5">
      <c r="A126" s="5"/>
      <c r="B126" s="107"/>
      <c r="C126" s="5"/>
      <c r="D126" s="107"/>
      <c r="E126" s="107"/>
      <c r="F126" s="107"/>
      <c r="G126" s="107"/>
      <c r="H126" s="107"/>
      <c r="I126" s="107"/>
      <c r="J126" s="107"/>
      <c r="K126" s="107"/>
      <c r="L126" s="107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5">
      <c r="A127" s="5"/>
      <c r="B127" s="107"/>
      <c r="C127" s="5"/>
      <c r="D127" s="107"/>
      <c r="E127" s="107"/>
      <c r="F127" s="107"/>
      <c r="G127" s="107"/>
      <c r="H127" s="107"/>
      <c r="I127" s="107"/>
      <c r="J127" s="107"/>
      <c r="K127" s="107"/>
      <c r="L127" s="107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5">
      <c r="A128" s="5"/>
      <c r="B128" s="107"/>
      <c r="C128" s="5"/>
      <c r="D128" s="107"/>
      <c r="E128" s="107"/>
      <c r="F128" s="107"/>
      <c r="G128" s="107"/>
      <c r="H128" s="107"/>
      <c r="I128" s="107"/>
      <c r="J128" s="107"/>
      <c r="K128" s="107"/>
      <c r="L128" s="107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5">
      <c r="A129" s="5"/>
      <c r="B129" s="107"/>
      <c r="C129" s="5"/>
      <c r="D129" s="107"/>
      <c r="E129" s="107"/>
      <c r="F129" s="107"/>
      <c r="G129" s="107"/>
      <c r="H129" s="107"/>
      <c r="I129" s="107"/>
      <c r="J129" s="107"/>
      <c r="K129" s="107"/>
      <c r="L129" s="107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5">
      <c r="A130" s="5"/>
      <c r="B130" s="107"/>
      <c r="C130" s="5"/>
      <c r="D130" s="107"/>
      <c r="E130" s="107"/>
      <c r="F130" s="107"/>
      <c r="G130" s="107"/>
      <c r="H130" s="107"/>
      <c r="I130" s="107"/>
      <c r="J130" s="107"/>
      <c r="K130" s="107"/>
      <c r="L130" s="107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5">
      <c r="A131" s="5"/>
      <c r="B131" s="107"/>
      <c r="C131" s="5"/>
      <c r="D131" s="107"/>
      <c r="E131" s="107"/>
      <c r="F131" s="107"/>
      <c r="G131" s="107"/>
      <c r="H131" s="107"/>
      <c r="I131" s="107"/>
      <c r="J131" s="107"/>
      <c r="K131" s="107"/>
      <c r="L131" s="107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5">
      <c r="A132" s="5"/>
      <c r="B132" s="107"/>
      <c r="C132" s="5"/>
      <c r="D132" s="107"/>
      <c r="E132" s="107"/>
      <c r="F132" s="107"/>
      <c r="G132" s="107"/>
      <c r="H132" s="107"/>
      <c r="I132" s="107"/>
      <c r="J132" s="107"/>
      <c r="K132" s="107"/>
      <c r="L132" s="107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5">
      <c r="A133" s="5"/>
      <c r="B133" s="107"/>
      <c r="C133" s="5"/>
      <c r="D133" s="107"/>
      <c r="E133" s="107"/>
      <c r="F133" s="107"/>
      <c r="G133" s="107"/>
      <c r="H133" s="107"/>
      <c r="I133" s="107"/>
      <c r="J133" s="107"/>
      <c r="K133" s="107"/>
      <c r="L133" s="107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5">
      <c r="A134" s="5"/>
      <c r="B134" s="107"/>
      <c r="C134" s="5"/>
      <c r="D134" s="107"/>
      <c r="E134" s="107"/>
      <c r="F134" s="107"/>
      <c r="G134" s="107"/>
      <c r="H134" s="107"/>
      <c r="I134" s="107"/>
      <c r="J134" s="107"/>
      <c r="K134" s="107"/>
      <c r="L134" s="107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5">
      <c r="A135" s="5"/>
      <c r="B135" s="107"/>
      <c r="C135" s="5"/>
      <c r="D135" s="107"/>
      <c r="E135" s="107"/>
      <c r="F135" s="107"/>
      <c r="G135" s="107"/>
      <c r="H135" s="107"/>
      <c r="I135" s="107"/>
      <c r="J135" s="107"/>
      <c r="K135" s="107"/>
      <c r="L135" s="107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5">
      <c r="A136" s="5"/>
      <c r="B136" s="107"/>
      <c r="C136" s="5"/>
      <c r="D136" s="107"/>
      <c r="E136" s="107"/>
      <c r="F136" s="107"/>
      <c r="G136" s="107"/>
      <c r="H136" s="107"/>
      <c r="I136" s="107"/>
      <c r="J136" s="107"/>
      <c r="K136" s="107"/>
      <c r="L136" s="107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5">
      <c r="A137" s="5"/>
      <c r="B137" s="107"/>
      <c r="C137" s="5"/>
      <c r="D137" s="107"/>
      <c r="E137" s="107"/>
      <c r="F137" s="107"/>
      <c r="G137" s="107"/>
      <c r="H137" s="107"/>
      <c r="I137" s="107"/>
      <c r="J137" s="107"/>
      <c r="K137" s="107"/>
      <c r="L137" s="107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5">
      <c r="A138" s="5"/>
      <c r="B138" s="107"/>
      <c r="C138" s="5"/>
      <c r="D138" s="107"/>
      <c r="E138" s="107"/>
      <c r="F138" s="107"/>
      <c r="G138" s="107"/>
      <c r="H138" s="107"/>
      <c r="I138" s="107"/>
      <c r="J138" s="107"/>
      <c r="K138" s="107"/>
      <c r="L138" s="107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5">
      <c r="A139" s="5"/>
      <c r="B139" s="107"/>
      <c r="C139" s="5"/>
      <c r="D139" s="107"/>
      <c r="E139" s="107"/>
      <c r="F139" s="107"/>
      <c r="G139" s="107"/>
      <c r="H139" s="107"/>
      <c r="I139" s="107"/>
      <c r="J139" s="107"/>
      <c r="K139" s="107"/>
      <c r="L139" s="107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5">
      <c r="A140" s="5"/>
      <c r="B140" s="107"/>
      <c r="C140" s="5"/>
      <c r="D140" s="107"/>
      <c r="E140" s="107"/>
      <c r="F140" s="107"/>
      <c r="G140" s="107"/>
      <c r="H140" s="107"/>
      <c r="I140" s="107"/>
      <c r="J140" s="107"/>
      <c r="K140" s="107"/>
      <c r="L140" s="107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5">
      <c r="A141" s="5"/>
      <c r="B141" s="107"/>
      <c r="C141" s="5"/>
      <c r="D141" s="107"/>
      <c r="E141" s="107"/>
      <c r="F141" s="107"/>
      <c r="G141" s="107"/>
      <c r="H141" s="107"/>
      <c r="I141" s="107"/>
      <c r="J141" s="107"/>
      <c r="K141" s="107"/>
      <c r="L141" s="107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5">
      <c r="A142" s="5"/>
      <c r="B142" s="107"/>
      <c r="C142" s="5"/>
      <c r="D142" s="107"/>
      <c r="E142" s="107"/>
      <c r="F142" s="107"/>
      <c r="G142" s="107"/>
      <c r="H142" s="107"/>
      <c r="I142" s="107"/>
      <c r="J142" s="107"/>
      <c r="K142" s="107"/>
      <c r="L142" s="107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5">
      <c r="A143" s="5"/>
      <c r="B143" s="107"/>
      <c r="C143" s="5"/>
      <c r="D143" s="107"/>
      <c r="E143" s="107"/>
      <c r="F143" s="107"/>
      <c r="G143" s="107"/>
      <c r="H143" s="107"/>
      <c r="I143" s="107"/>
      <c r="J143" s="107"/>
      <c r="K143" s="107"/>
      <c r="L143" s="107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5">
      <c r="A144" s="5"/>
      <c r="B144" s="107"/>
      <c r="C144" s="5"/>
      <c r="D144" s="107"/>
      <c r="E144" s="107"/>
      <c r="F144" s="107"/>
      <c r="G144" s="107"/>
      <c r="H144" s="107"/>
      <c r="I144" s="107"/>
      <c r="J144" s="107"/>
      <c r="K144" s="107"/>
      <c r="L144" s="107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5">
      <c r="A145" s="5"/>
      <c r="B145" s="107"/>
      <c r="C145" s="5"/>
      <c r="D145" s="107"/>
      <c r="E145" s="107"/>
      <c r="F145" s="107"/>
      <c r="G145" s="107"/>
      <c r="H145" s="107"/>
      <c r="I145" s="107"/>
      <c r="J145" s="107"/>
      <c r="K145" s="107"/>
      <c r="L145" s="107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5">
      <c r="A146" s="5"/>
      <c r="B146" s="107"/>
      <c r="C146" s="5"/>
      <c r="D146" s="107"/>
      <c r="E146" s="107"/>
      <c r="F146" s="107"/>
      <c r="G146" s="107"/>
      <c r="H146" s="107"/>
      <c r="I146" s="107"/>
      <c r="J146" s="107"/>
      <c r="K146" s="107"/>
      <c r="L146" s="107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5">
      <c r="A147" s="5"/>
      <c r="B147" s="107"/>
      <c r="C147" s="5"/>
      <c r="D147" s="107"/>
      <c r="E147" s="107"/>
      <c r="F147" s="107"/>
      <c r="G147" s="107"/>
      <c r="H147" s="107"/>
      <c r="I147" s="107"/>
      <c r="J147" s="107"/>
      <c r="K147" s="107"/>
      <c r="L147" s="107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5">
      <c r="A148" s="5"/>
      <c r="B148" s="107"/>
      <c r="C148" s="5"/>
      <c r="D148" s="107"/>
      <c r="E148" s="107"/>
      <c r="F148" s="107"/>
      <c r="G148" s="107"/>
      <c r="H148" s="107"/>
      <c r="I148" s="107"/>
      <c r="J148" s="107"/>
      <c r="K148" s="107"/>
      <c r="L148" s="107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5">
      <c r="A149" s="5"/>
      <c r="B149" s="107"/>
      <c r="C149" s="5"/>
      <c r="D149" s="107"/>
      <c r="E149" s="107"/>
      <c r="F149" s="107"/>
      <c r="G149" s="107"/>
      <c r="H149" s="107"/>
      <c r="I149" s="107"/>
      <c r="J149" s="107"/>
      <c r="K149" s="107"/>
      <c r="L149" s="107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5">
      <c r="A150" s="5"/>
      <c r="B150" s="107"/>
      <c r="C150" s="5"/>
      <c r="D150" s="107"/>
      <c r="E150" s="107"/>
      <c r="F150" s="107"/>
      <c r="G150" s="107"/>
      <c r="H150" s="107"/>
      <c r="I150" s="107"/>
      <c r="J150" s="107"/>
      <c r="K150" s="107"/>
      <c r="L150" s="107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5">
      <c r="A151" s="5"/>
      <c r="B151" s="107"/>
      <c r="C151" s="5"/>
      <c r="D151" s="107"/>
      <c r="E151" s="107"/>
      <c r="F151" s="107"/>
      <c r="G151" s="107"/>
      <c r="H151" s="107"/>
      <c r="I151" s="107"/>
      <c r="J151" s="107"/>
      <c r="K151" s="107"/>
      <c r="L151" s="107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5">
      <c r="A152" s="5"/>
      <c r="B152" s="107"/>
      <c r="C152" s="5"/>
      <c r="D152" s="107"/>
      <c r="E152" s="107"/>
      <c r="F152" s="107"/>
      <c r="G152" s="107"/>
      <c r="H152" s="107"/>
      <c r="I152" s="107"/>
      <c r="J152" s="107"/>
      <c r="K152" s="107"/>
      <c r="L152" s="107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5">
      <c r="A153" s="5"/>
      <c r="B153" s="107"/>
      <c r="C153" s="5"/>
      <c r="D153" s="107"/>
      <c r="E153" s="107"/>
      <c r="F153" s="107"/>
      <c r="G153" s="107"/>
      <c r="H153" s="107"/>
      <c r="I153" s="107"/>
      <c r="J153" s="107"/>
      <c r="K153" s="107"/>
      <c r="L153" s="107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5">
      <c r="A154" s="5"/>
      <c r="B154" s="107"/>
      <c r="C154" s="5"/>
      <c r="D154" s="107"/>
      <c r="E154" s="107"/>
      <c r="F154" s="107"/>
      <c r="G154" s="107"/>
      <c r="H154" s="107"/>
      <c r="I154" s="107"/>
      <c r="J154" s="107"/>
      <c r="K154" s="107"/>
      <c r="L154" s="107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5">
      <c r="A155" s="5"/>
      <c r="B155" s="107"/>
      <c r="C155" s="5"/>
      <c r="D155" s="107"/>
      <c r="E155" s="107"/>
      <c r="F155" s="107"/>
      <c r="G155" s="107"/>
      <c r="H155" s="107"/>
      <c r="I155" s="107"/>
      <c r="J155" s="107"/>
      <c r="K155" s="107"/>
      <c r="L155" s="107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5">
      <c r="A156" s="5"/>
      <c r="B156" s="107"/>
      <c r="C156" s="5"/>
      <c r="D156" s="107"/>
      <c r="E156" s="107"/>
      <c r="F156" s="107"/>
      <c r="G156" s="107"/>
      <c r="H156" s="107"/>
      <c r="I156" s="107"/>
      <c r="J156" s="107"/>
      <c r="K156" s="107"/>
      <c r="L156" s="107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5">
      <c r="A157" s="5"/>
      <c r="B157" s="107"/>
      <c r="C157" s="5"/>
      <c r="D157" s="107"/>
      <c r="E157" s="107"/>
      <c r="F157" s="107"/>
      <c r="G157" s="107"/>
      <c r="H157" s="107"/>
      <c r="I157" s="107"/>
      <c r="J157" s="107"/>
      <c r="K157" s="107"/>
      <c r="L157" s="107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5">
      <c r="A158" s="5"/>
      <c r="B158" s="107"/>
      <c r="C158" s="5"/>
      <c r="D158" s="107"/>
      <c r="E158" s="107"/>
      <c r="F158" s="107"/>
      <c r="G158" s="107"/>
      <c r="H158" s="107"/>
      <c r="I158" s="107"/>
      <c r="J158" s="107"/>
      <c r="K158" s="107"/>
      <c r="L158" s="107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5">
      <c r="A159" s="5"/>
      <c r="B159" s="107"/>
      <c r="C159" s="5"/>
      <c r="D159" s="107"/>
      <c r="E159" s="107"/>
      <c r="F159" s="107"/>
      <c r="G159" s="107"/>
      <c r="H159" s="107"/>
      <c r="I159" s="107"/>
      <c r="J159" s="107"/>
      <c r="K159" s="107"/>
      <c r="L159" s="107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5">
      <c r="A160" s="5"/>
      <c r="B160" s="107"/>
      <c r="C160" s="5"/>
      <c r="D160" s="107"/>
      <c r="E160" s="107"/>
      <c r="F160" s="107"/>
      <c r="G160" s="107"/>
      <c r="H160" s="107"/>
      <c r="I160" s="107"/>
      <c r="J160" s="107"/>
      <c r="K160" s="107"/>
      <c r="L160" s="107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5">
      <c r="A161" s="5"/>
      <c r="B161" s="107"/>
      <c r="C161" s="5"/>
      <c r="D161" s="107"/>
      <c r="E161" s="107"/>
      <c r="F161" s="107"/>
      <c r="G161" s="107"/>
      <c r="H161" s="107"/>
      <c r="I161" s="107"/>
      <c r="J161" s="107"/>
      <c r="K161" s="107"/>
      <c r="L161" s="107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5">
      <c r="A162" s="5"/>
      <c r="B162" s="107"/>
      <c r="C162" s="5"/>
      <c r="D162" s="107"/>
      <c r="E162" s="107"/>
      <c r="F162" s="107"/>
      <c r="G162" s="107"/>
      <c r="H162" s="107"/>
      <c r="I162" s="107"/>
      <c r="J162" s="107"/>
      <c r="K162" s="107"/>
      <c r="L162" s="107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5">
      <c r="A163" s="5"/>
      <c r="B163" s="107"/>
      <c r="C163" s="5"/>
      <c r="D163" s="107"/>
      <c r="E163" s="107"/>
      <c r="F163" s="107"/>
      <c r="G163" s="107"/>
      <c r="H163" s="107"/>
      <c r="I163" s="107"/>
      <c r="J163" s="107"/>
      <c r="K163" s="107"/>
      <c r="L163" s="107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5">
      <c r="A164" s="5"/>
      <c r="B164" s="107"/>
      <c r="C164" s="5"/>
      <c r="D164" s="107"/>
      <c r="E164" s="107"/>
      <c r="F164" s="107"/>
      <c r="G164" s="107"/>
      <c r="H164" s="107"/>
      <c r="I164" s="107"/>
      <c r="J164" s="107"/>
      <c r="K164" s="107"/>
      <c r="L164" s="107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5">
      <c r="A165" s="5"/>
      <c r="B165" s="107"/>
      <c r="C165" s="5"/>
      <c r="D165" s="107"/>
      <c r="E165" s="107"/>
      <c r="F165" s="107"/>
      <c r="G165" s="107"/>
      <c r="H165" s="107"/>
      <c r="I165" s="107"/>
      <c r="J165" s="107"/>
      <c r="K165" s="107"/>
      <c r="L165" s="107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5">
      <c r="A166" s="5"/>
      <c r="B166" s="107"/>
      <c r="C166" s="5"/>
      <c r="D166" s="107"/>
      <c r="E166" s="107"/>
      <c r="F166" s="107"/>
      <c r="G166" s="107"/>
      <c r="H166" s="107"/>
      <c r="I166" s="107"/>
      <c r="J166" s="107"/>
      <c r="K166" s="107"/>
      <c r="L166" s="107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5">
      <c r="A167" s="5"/>
      <c r="B167" s="107"/>
      <c r="C167" s="5"/>
      <c r="D167" s="107"/>
      <c r="E167" s="107"/>
      <c r="F167" s="107"/>
      <c r="G167" s="107"/>
      <c r="H167" s="107"/>
      <c r="I167" s="107"/>
      <c r="J167" s="107"/>
      <c r="K167" s="107"/>
      <c r="L167" s="107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5">
      <c r="A168" s="5"/>
      <c r="B168" s="107"/>
      <c r="C168" s="5"/>
      <c r="D168" s="107"/>
      <c r="E168" s="107"/>
      <c r="F168" s="107"/>
      <c r="G168" s="107"/>
      <c r="H168" s="107"/>
      <c r="I168" s="107"/>
      <c r="J168" s="107"/>
      <c r="K168" s="107"/>
      <c r="L168" s="107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5">
      <c r="A169" s="5"/>
      <c r="B169" s="107"/>
      <c r="C169" s="5"/>
      <c r="D169" s="107"/>
      <c r="E169" s="107"/>
      <c r="F169" s="107"/>
      <c r="G169" s="107"/>
      <c r="H169" s="107"/>
      <c r="I169" s="107"/>
      <c r="J169" s="107"/>
      <c r="K169" s="107"/>
      <c r="L169" s="107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5">
      <c r="A170" s="5"/>
      <c r="B170" s="107"/>
      <c r="C170" s="5"/>
      <c r="D170" s="107"/>
      <c r="E170" s="107"/>
      <c r="F170" s="107"/>
      <c r="G170" s="107"/>
      <c r="H170" s="107"/>
      <c r="I170" s="107"/>
      <c r="J170" s="107"/>
      <c r="K170" s="107"/>
      <c r="L170" s="107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5">
      <c r="A171" s="5"/>
      <c r="B171" s="107"/>
      <c r="C171" s="5"/>
      <c r="D171" s="107"/>
      <c r="E171" s="107"/>
      <c r="F171" s="107"/>
      <c r="G171" s="107"/>
      <c r="H171" s="107"/>
      <c r="I171" s="107"/>
      <c r="J171" s="107"/>
      <c r="K171" s="107"/>
      <c r="L171" s="107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5">
      <c r="A172" s="5"/>
      <c r="B172" s="107"/>
      <c r="C172" s="5"/>
      <c r="D172" s="107"/>
      <c r="E172" s="107"/>
      <c r="F172" s="107"/>
      <c r="G172" s="107"/>
      <c r="H172" s="107"/>
      <c r="I172" s="107"/>
      <c r="J172" s="107"/>
      <c r="K172" s="107"/>
      <c r="L172" s="107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5">
      <c r="A173" s="5"/>
      <c r="B173" s="107"/>
      <c r="C173" s="5"/>
      <c r="D173" s="107"/>
      <c r="E173" s="107"/>
      <c r="F173" s="107"/>
      <c r="G173" s="107"/>
      <c r="H173" s="107"/>
      <c r="I173" s="107"/>
      <c r="J173" s="107"/>
      <c r="K173" s="107"/>
      <c r="L173" s="107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5">
      <c r="A174" s="5"/>
      <c r="B174" s="107"/>
      <c r="C174" s="5"/>
      <c r="D174" s="107"/>
      <c r="E174" s="107"/>
      <c r="F174" s="107"/>
      <c r="G174" s="107"/>
      <c r="H174" s="107"/>
      <c r="I174" s="107"/>
      <c r="J174" s="107"/>
      <c r="K174" s="107"/>
      <c r="L174" s="107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5">
      <c r="A175" s="5"/>
      <c r="B175" s="107"/>
      <c r="C175" s="5"/>
      <c r="D175" s="107"/>
      <c r="E175" s="107"/>
      <c r="F175" s="107"/>
      <c r="G175" s="107"/>
      <c r="H175" s="107"/>
      <c r="I175" s="107"/>
      <c r="J175" s="107"/>
      <c r="K175" s="107"/>
      <c r="L175" s="107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5">
      <c r="A176" s="5"/>
      <c r="B176" s="107"/>
      <c r="C176" s="5"/>
      <c r="D176" s="107"/>
      <c r="E176" s="107"/>
      <c r="F176" s="107"/>
      <c r="G176" s="107"/>
      <c r="H176" s="107"/>
      <c r="I176" s="107"/>
      <c r="J176" s="107"/>
      <c r="K176" s="107"/>
      <c r="L176" s="107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5">
      <c r="A177" s="5"/>
      <c r="B177" s="107"/>
      <c r="C177" s="5"/>
      <c r="D177" s="107"/>
      <c r="E177" s="107"/>
      <c r="F177" s="107"/>
      <c r="G177" s="107"/>
      <c r="H177" s="107"/>
      <c r="I177" s="107"/>
      <c r="J177" s="107"/>
      <c r="K177" s="107"/>
      <c r="L177" s="107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5">
      <c r="A178" s="5"/>
      <c r="B178" s="107"/>
      <c r="C178" s="5"/>
      <c r="D178" s="107"/>
      <c r="E178" s="107"/>
      <c r="F178" s="107"/>
      <c r="G178" s="107"/>
      <c r="H178" s="107"/>
      <c r="I178" s="107"/>
      <c r="J178" s="107"/>
      <c r="K178" s="107"/>
      <c r="L178" s="107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5">
      <c r="A179" s="5"/>
      <c r="B179" s="107"/>
      <c r="C179" s="5"/>
      <c r="D179" s="107"/>
      <c r="E179" s="107"/>
      <c r="F179" s="107"/>
      <c r="G179" s="107"/>
      <c r="H179" s="107"/>
      <c r="I179" s="107"/>
      <c r="J179" s="107"/>
      <c r="K179" s="107"/>
      <c r="L179" s="107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5">
      <c r="A180" s="5"/>
      <c r="B180" s="107"/>
      <c r="C180" s="5"/>
      <c r="D180" s="107"/>
      <c r="E180" s="107"/>
      <c r="F180" s="107"/>
      <c r="G180" s="107"/>
      <c r="H180" s="107"/>
      <c r="I180" s="107"/>
      <c r="J180" s="107"/>
      <c r="K180" s="107"/>
      <c r="L180" s="107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5">
      <c r="A181" s="5"/>
      <c r="B181" s="107"/>
      <c r="C181" s="5"/>
      <c r="D181" s="107"/>
      <c r="E181" s="107"/>
      <c r="F181" s="107"/>
      <c r="G181" s="107"/>
      <c r="H181" s="107"/>
      <c r="I181" s="107"/>
      <c r="J181" s="107"/>
      <c r="K181" s="107"/>
      <c r="L181" s="107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5">
      <c r="A182" s="5"/>
      <c r="B182" s="107"/>
      <c r="C182" s="5"/>
      <c r="D182" s="107"/>
      <c r="E182" s="107"/>
      <c r="F182" s="107"/>
      <c r="G182" s="107"/>
      <c r="H182" s="107"/>
      <c r="I182" s="107"/>
      <c r="J182" s="107"/>
      <c r="K182" s="107"/>
      <c r="L182" s="107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5">
      <c r="A183" s="5"/>
      <c r="B183" s="107"/>
      <c r="C183" s="5"/>
      <c r="D183" s="107"/>
      <c r="E183" s="107"/>
      <c r="F183" s="107"/>
      <c r="G183" s="107"/>
      <c r="H183" s="107"/>
      <c r="I183" s="107"/>
      <c r="J183" s="107"/>
      <c r="K183" s="107"/>
      <c r="L183" s="107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5">
      <c r="A184" s="5"/>
      <c r="B184" s="107"/>
      <c r="C184" s="5"/>
      <c r="D184" s="107"/>
      <c r="E184" s="107"/>
      <c r="F184" s="107"/>
      <c r="G184" s="107"/>
      <c r="H184" s="107"/>
      <c r="I184" s="107"/>
      <c r="J184" s="107"/>
      <c r="K184" s="107"/>
      <c r="L184" s="107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5">
      <c r="A185" s="5"/>
      <c r="B185" s="107"/>
      <c r="C185" s="5"/>
      <c r="D185" s="107"/>
      <c r="E185" s="107"/>
      <c r="F185" s="107"/>
      <c r="G185" s="107"/>
      <c r="H185" s="107"/>
      <c r="I185" s="107"/>
      <c r="J185" s="107"/>
      <c r="K185" s="107"/>
      <c r="L185" s="107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5">
      <c r="A186" s="5"/>
      <c r="B186" s="107"/>
      <c r="C186" s="5"/>
      <c r="D186" s="107"/>
      <c r="E186" s="107"/>
      <c r="F186" s="107"/>
      <c r="G186" s="107"/>
      <c r="H186" s="107"/>
      <c r="I186" s="107"/>
      <c r="J186" s="107"/>
      <c r="K186" s="107"/>
      <c r="L186" s="107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5">
      <c r="A187" s="5"/>
      <c r="B187" s="107"/>
      <c r="C187" s="5"/>
      <c r="D187" s="107"/>
      <c r="E187" s="107"/>
      <c r="F187" s="107"/>
      <c r="G187" s="107"/>
      <c r="H187" s="107"/>
      <c r="I187" s="107"/>
      <c r="J187" s="107"/>
      <c r="K187" s="107"/>
      <c r="L187" s="107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5">
      <c r="A188" s="5"/>
      <c r="B188" s="107"/>
      <c r="C188" s="5"/>
      <c r="D188" s="107"/>
      <c r="E188" s="107"/>
      <c r="F188" s="107"/>
      <c r="G188" s="107"/>
      <c r="H188" s="107"/>
      <c r="I188" s="107"/>
      <c r="J188" s="107"/>
      <c r="K188" s="107"/>
      <c r="L188" s="107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5">
      <c r="A189" s="5"/>
      <c r="B189" s="107"/>
      <c r="C189" s="5"/>
      <c r="D189" s="107"/>
      <c r="E189" s="107"/>
      <c r="F189" s="107"/>
      <c r="G189" s="107"/>
      <c r="H189" s="107"/>
      <c r="I189" s="107"/>
      <c r="J189" s="107"/>
      <c r="K189" s="107"/>
      <c r="L189" s="107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5">
      <c r="A190" s="5"/>
      <c r="B190" s="107"/>
      <c r="C190" s="5"/>
      <c r="D190" s="107"/>
      <c r="E190" s="107"/>
      <c r="F190" s="107"/>
      <c r="G190" s="107"/>
      <c r="H190" s="107"/>
      <c r="I190" s="107"/>
      <c r="J190" s="107"/>
      <c r="K190" s="107"/>
      <c r="L190" s="107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5">
      <c r="A191" s="5"/>
      <c r="B191" s="107"/>
      <c r="C191" s="5"/>
      <c r="D191" s="107"/>
      <c r="E191" s="107"/>
      <c r="F191" s="107"/>
      <c r="G191" s="107"/>
      <c r="H191" s="107"/>
      <c r="I191" s="107"/>
      <c r="J191" s="107"/>
      <c r="K191" s="107"/>
      <c r="L191" s="107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5">
      <c r="A192" s="5"/>
      <c r="B192" s="107"/>
      <c r="C192" s="5"/>
      <c r="D192" s="107"/>
      <c r="E192" s="107"/>
      <c r="F192" s="107"/>
      <c r="G192" s="107"/>
      <c r="H192" s="107"/>
      <c r="I192" s="107"/>
      <c r="J192" s="107"/>
      <c r="K192" s="107"/>
      <c r="L192" s="107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5">
      <c r="A193" s="5"/>
      <c r="B193" s="107"/>
      <c r="C193" s="5"/>
      <c r="D193" s="107"/>
      <c r="E193" s="107"/>
      <c r="F193" s="107"/>
      <c r="G193" s="107"/>
      <c r="H193" s="107"/>
      <c r="I193" s="107"/>
      <c r="J193" s="107"/>
      <c r="K193" s="107"/>
      <c r="L193" s="107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5">
      <c r="A194" s="5"/>
      <c r="B194" s="107"/>
      <c r="C194" s="5"/>
      <c r="D194" s="107"/>
      <c r="E194" s="107"/>
      <c r="F194" s="107"/>
      <c r="G194" s="107"/>
      <c r="H194" s="107"/>
      <c r="I194" s="107"/>
      <c r="J194" s="107"/>
      <c r="K194" s="107"/>
      <c r="L194" s="107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5">
      <c r="A195" s="5"/>
      <c r="B195" s="107"/>
      <c r="C195" s="5"/>
      <c r="D195" s="107"/>
      <c r="E195" s="107"/>
      <c r="F195" s="107"/>
      <c r="G195" s="107"/>
      <c r="H195" s="107"/>
      <c r="I195" s="107"/>
      <c r="J195" s="107"/>
      <c r="K195" s="107"/>
      <c r="L195" s="107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5">
      <c r="A196" s="5"/>
      <c r="B196" s="107"/>
      <c r="C196" s="5"/>
      <c r="D196" s="107"/>
      <c r="E196" s="107"/>
      <c r="F196" s="107"/>
      <c r="G196" s="107"/>
      <c r="H196" s="107"/>
      <c r="I196" s="107"/>
      <c r="J196" s="107"/>
      <c r="K196" s="107"/>
      <c r="L196" s="107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5">
      <c r="A197" s="5"/>
      <c r="B197" s="107"/>
      <c r="C197" s="5"/>
      <c r="D197" s="107"/>
      <c r="E197" s="107"/>
      <c r="F197" s="107"/>
      <c r="G197" s="107"/>
      <c r="H197" s="107"/>
      <c r="I197" s="107"/>
      <c r="J197" s="107"/>
      <c r="K197" s="107"/>
      <c r="L197" s="107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5">
      <c r="A198" s="5"/>
      <c r="B198" s="107"/>
      <c r="C198" s="5"/>
      <c r="D198" s="107"/>
      <c r="E198" s="107"/>
      <c r="F198" s="107"/>
      <c r="G198" s="107"/>
      <c r="H198" s="107"/>
      <c r="I198" s="107"/>
      <c r="J198" s="107"/>
      <c r="K198" s="107"/>
      <c r="L198" s="107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5">
      <c r="A199" s="5"/>
      <c r="B199" s="107"/>
      <c r="C199" s="5"/>
      <c r="D199" s="107"/>
      <c r="E199" s="107"/>
      <c r="F199" s="107"/>
      <c r="G199" s="107"/>
      <c r="H199" s="107"/>
      <c r="I199" s="107"/>
      <c r="J199" s="107"/>
      <c r="K199" s="107"/>
      <c r="L199" s="107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5">
      <c r="A200" s="5"/>
      <c r="B200" s="107"/>
      <c r="C200" s="5"/>
      <c r="D200" s="107"/>
      <c r="E200" s="107"/>
      <c r="F200" s="107"/>
      <c r="G200" s="107"/>
      <c r="H200" s="107"/>
      <c r="I200" s="107"/>
      <c r="J200" s="107"/>
      <c r="K200" s="107"/>
      <c r="L200" s="107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5">
      <c r="A201" s="5"/>
      <c r="B201" s="107"/>
      <c r="C201" s="5"/>
      <c r="D201" s="107"/>
      <c r="E201" s="107"/>
      <c r="F201" s="107"/>
      <c r="G201" s="107"/>
      <c r="H201" s="107"/>
      <c r="I201" s="107"/>
      <c r="J201" s="107"/>
      <c r="K201" s="107"/>
      <c r="L201" s="107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5">
      <c r="A202" s="5"/>
      <c r="B202" s="107"/>
      <c r="C202" s="5"/>
      <c r="D202" s="107"/>
      <c r="E202" s="107"/>
      <c r="F202" s="107"/>
      <c r="G202" s="107"/>
      <c r="H202" s="107"/>
      <c r="I202" s="107"/>
      <c r="J202" s="107"/>
      <c r="K202" s="107"/>
      <c r="L202" s="107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5">
      <c r="A203" s="5"/>
      <c r="B203" s="107"/>
      <c r="C203" s="5"/>
      <c r="D203" s="107"/>
      <c r="E203" s="107"/>
      <c r="F203" s="107"/>
      <c r="G203" s="107"/>
      <c r="H203" s="107"/>
      <c r="I203" s="107"/>
      <c r="J203" s="107"/>
      <c r="K203" s="107"/>
      <c r="L203" s="107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5">
      <c r="A204" s="5"/>
      <c r="B204" s="107"/>
      <c r="C204" s="5"/>
      <c r="D204" s="107"/>
      <c r="E204" s="107"/>
      <c r="F204" s="107"/>
      <c r="G204" s="107"/>
      <c r="H204" s="107"/>
      <c r="I204" s="107"/>
      <c r="J204" s="107"/>
      <c r="K204" s="107"/>
      <c r="L204" s="107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5">
      <c r="A205" s="5"/>
      <c r="B205" s="107"/>
      <c r="C205" s="5"/>
      <c r="D205" s="107"/>
      <c r="E205" s="107"/>
      <c r="F205" s="107"/>
      <c r="G205" s="107"/>
      <c r="H205" s="107"/>
      <c r="I205" s="107"/>
      <c r="J205" s="107"/>
      <c r="K205" s="107"/>
      <c r="L205" s="107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5">
      <c r="A206" s="5"/>
      <c r="B206" s="107"/>
      <c r="C206" s="5"/>
      <c r="D206" s="107"/>
      <c r="E206" s="107"/>
      <c r="F206" s="107"/>
      <c r="G206" s="107"/>
      <c r="H206" s="107"/>
      <c r="I206" s="107"/>
      <c r="J206" s="107"/>
      <c r="K206" s="107"/>
      <c r="L206" s="107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5">
      <c r="A207" s="5"/>
      <c r="B207" s="107"/>
      <c r="C207" s="5"/>
      <c r="D207" s="107"/>
      <c r="E207" s="107"/>
      <c r="F207" s="107"/>
      <c r="G207" s="107"/>
      <c r="H207" s="107"/>
      <c r="I207" s="107"/>
      <c r="J207" s="107"/>
      <c r="K207" s="107"/>
      <c r="L207" s="107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5">
      <c r="A208" s="5"/>
      <c r="B208" s="107"/>
      <c r="C208" s="5"/>
      <c r="D208" s="107"/>
      <c r="E208" s="107"/>
      <c r="F208" s="107"/>
      <c r="G208" s="107"/>
      <c r="H208" s="107"/>
      <c r="I208" s="107"/>
      <c r="J208" s="107"/>
      <c r="K208" s="107"/>
      <c r="L208" s="107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5">
      <c r="A209" s="5"/>
      <c r="B209" s="107"/>
      <c r="C209" s="5"/>
      <c r="D209" s="107"/>
      <c r="E209" s="107"/>
      <c r="F209" s="107"/>
      <c r="G209" s="107"/>
      <c r="H209" s="107"/>
      <c r="I209" s="107"/>
      <c r="J209" s="107"/>
      <c r="K209" s="107"/>
      <c r="L209" s="107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5">
      <c r="A210" s="5"/>
      <c r="B210" s="107"/>
      <c r="C210" s="5"/>
      <c r="D210" s="107"/>
      <c r="E210" s="107"/>
      <c r="F210" s="107"/>
      <c r="G210" s="107"/>
      <c r="H210" s="107"/>
      <c r="I210" s="107"/>
      <c r="J210" s="107"/>
      <c r="K210" s="107"/>
      <c r="L210" s="107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5">
      <c r="A211" s="5"/>
      <c r="B211" s="107"/>
      <c r="C211" s="5"/>
      <c r="D211" s="107"/>
      <c r="E211" s="107"/>
      <c r="F211" s="107"/>
      <c r="G211" s="107"/>
      <c r="H211" s="107"/>
      <c r="I211" s="107"/>
      <c r="J211" s="107"/>
      <c r="K211" s="107"/>
      <c r="L211" s="107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5">
      <c r="A212" s="5"/>
      <c r="B212" s="107"/>
      <c r="C212" s="5"/>
      <c r="D212" s="107"/>
      <c r="E212" s="107"/>
      <c r="F212" s="107"/>
      <c r="G212" s="107"/>
      <c r="H212" s="107"/>
      <c r="I212" s="107"/>
      <c r="J212" s="107"/>
      <c r="K212" s="107"/>
      <c r="L212" s="107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5">
      <c r="A213" s="5"/>
      <c r="B213" s="107"/>
      <c r="C213" s="5"/>
      <c r="D213" s="107"/>
      <c r="E213" s="107"/>
      <c r="F213" s="107"/>
      <c r="G213" s="107"/>
      <c r="H213" s="107"/>
      <c r="I213" s="107"/>
      <c r="J213" s="107"/>
      <c r="K213" s="107"/>
      <c r="L213" s="107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5">
      <c r="A214" s="5"/>
      <c r="B214" s="107"/>
      <c r="C214" s="5"/>
      <c r="D214" s="107"/>
      <c r="E214" s="107"/>
      <c r="F214" s="107"/>
      <c r="G214" s="107"/>
      <c r="H214" s="107"/>
      <c r="I214" s="107"/>
      <c r="J214" s="107"/>
      <c r="K214" s="107"/>
      <c r="L214" s="107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5">
      <c r="A215" s="5"/>
      <c r="B215" s="107"/>
      <c r="C215" s="5"/>
      <c r="D215" s="107"/>
      <c r="E215" s="107"/>
      <c r="F215" s="107"/>
      <c r="G215" s="107"/>
      <c r="H215" s="107"/>
      <c r="I215" s="107"/>
      <c r="J215" s="107"/>
      <c r="K215" s="107"/>
      <c r="L215" s="107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5">
      <c r="A216" s="5"/>
      <c r="B216" s="107"/>
      <c r="C216" s="5"/>
      <c r="D216" s="107"/>
      <c r="E216" s="107"/>
      <c r="F216" s="107"/>
      <c r="G216" s="107"/>
      <c r="H216" s="107"/>
      <c r="I216" s="107"/>
      <c r="J216" s="107"/>
      <c r="K216" s="107"/>
      <c r="L216" s="107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5">
      <c r="A217" s="5"/>
      <c r="B217" s="107"/>
      <c r="C217" s="5"/>
      <c r="D217" s="107"/>
      <c r="E217" s="107"/>
      <c r="F217" s="107"/>
      <c r="G217" s="107"/>
      <c r="H217" s="107"/>
      <c r="I217" s="107"/>
      <c r="J217" s="107"/>
      <c r="K217" s="107"/>
      <c r="L217" s="107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5">
      <c r="A218" s="5"/>
      <c r="B218" s="107"/>
      <c r="C218" s="5"/>
      <c r="D218" s="107"/>
      <c r="E218" s="107"/>
      <c r="F218" s="107"/>
      <c r="G218" s="107"/>
      <c r="H218" s="107"/>
      <c r="I218" s="107"/>
      <c r="J218" s="107"/>
      <c r="K218" s="107"/>
      <c r="L218" s="107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5">
      <c r="A219" s="5"/>
      <c r="B219" s="107"/>
      <c r="C219" s="5"/>
      <c r="D219" s="107"/>
      <c r="E219" s="107"/>
      <c r="F219" s="107"/>
      <c r="G219" s="107"/>
      <c r="H219" s="107"/>
      <c r="I219" s="107"/>
      <c r="J219" s="107"/>
      <c r="K219" s="107"/>
      <c r="L219" s="107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5">
      <c r="A220" s="5"/>
      <c r="B220" s="107"/>
      <c r="C220" s="5"/>
      <c r="D220" s="107"/>
      <c r="E220" s="107"/>
      <c r="F220" s="107"/>
      <c r="G220" s="107"/>
      <c r="H220" s="107"/>
      <c r="I220" s="107"/>
      <c r="J220" s="107"/>
      <c r="K220" s="107"/>
      <c r="L220" s="107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5">
      <c r="A221" s="5"/>
      <c r="B221" s="5"/>
      <c r="C221" s="5"/>
      <c r="D221" s="107"/>
      <c r="E221" s="107"/>
      <c r="F221" s="107"/>
      <c r="G221" s="107"/>
      <c r="H221" s="107"/>
      <c r="I221" s="107"/>
      <c r="J221" s="107"/>
      <c r="K221" s="107"/>
      <c r="L221" s="107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5"/>
    <row r="271" spans="1:26" ht="15.75" customHeight="1" x14ac:dyDescent="0.25"/>
    <row r="272" spans="1:26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D1:L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Z1000"/>
  <sheetViews>
    <sheetView topLeftCell="C1" workbookViewId="0">
      <selection activeCell="P21" sqref="P21"/>
    </sheetView>
  </sheetViews>
  <sheetFormatPr defaultColWidth="11.125" defaultRowHeight="15" customHeight="1" x14ac:dyDescent="0.25"/>
  <cols>
    <col min="1" max="1" width="8.625" customWidth="1"/>
    <col min="2" max="2" width="73" customWidth="1"/>
    <col min="3" max="3" width="11.625" customWidth="1"/>
    <col min="4" max="4" width="7.5" hidden="1" customWidth="1"/>
    <col min="5" max="6" width="8.625" customWidth="1"/>
    <col min="7" max="7" width="11.625" customWidth="1"/>
    <col min="8" max="8" width="10.625" customWidth="1"/>
    <col min="9" max="9" width="12.625" customWidth="1"/>
    <col min="10" max="10" width="11" bestFit="1" customWidth="1"/>
    <col min="11" max="12" width="11.625" customWidth="1"/>
    <col min="13" max="13" width="9.875" bestFit="1" customWidth="1"/>
    <col min="14" max="14" width="10.875" bestFit="1" customWidth="1"/>
    <col min="15" max="18" width="9.5" bestFit="1" customWidth="1"/>
    <col min="19" max="19" width="8.375" customWidth="1"/>
    <col min="20" max="26" width="11.125" customWidth="1"/>
  </cols>
  <sheetData>
    <row r="1" spans="1:26" ht="18" customHeight="1" x14ac:dyDescent="0.25">
      <c r="A1" s="1"/>
      <c r="B1" s="3"/>
      <c r="C1" s="1"/>
      <c r="D1" s="165">
        <v>2026</v>
      </c>
      <c r="E1" s="164"/>
      <c r="F1" s="164"/>
      <c r="G1" s="164"/>
      <c r="H1" s="164"/>
      <c r="I1" s="164"/>
      <c r="J1" s="164"/>
      <c r="K1" s="164"/>
      <c r="L1" s="164"/>
      <c r="M1" s="151">
        <v>2027</v>
      </c>
      <c r="N1" s="8"/>
      <c r="O1" s="8"/>
      <c r="P1" s="8"/>
      <c r="Q1" s="8"/>
      <c r="R1" s="8"/>
      <c r="S1" s="8"/>
      <c r="T1" s="5"/>
      <c r="U1" s="5"/>
      <c r="V1" s="5"/>
      <c r="W1" s="5"/>
      <c r="X1" s="5"/>
      <c r="Y1" s="5"/>
      <c r="Z1" s="5"/>
    </row>
    <row r="2" spans="1:26" ht="15.75" customHeight="1" x14ac:dyDescent="0.25">
      <c r="A2" s="10" t="s">
        <v>63</v>
      </c>
      <c r="B2" s="3"/>
      <c r="C2" s="1"/>
      <c r="D2" s="111" t="s">
        <v>1</v>
      </c>
      <c r="E2" s="111" t="s">
        <v>2</v>
      </c>
      <c r="F2" s="111" t="s">
        <v>3</v>
      </c>
      <c r="G2" s="111" t="s">
        <v>4</v>
      </c>
      <c r="H2" s="111" t="s">
        <v>5</v>
      </c>
      <c r="I2" s="111" t="s">
        <v>6</v>
      </c>
      <c r="J2" s="111" t="s">
        <v>7</v>
      </c>
      <c r="K2" s="111" t="s">
        <v>8</v>
      </c>
      <c r="L2" s="111" t="s">
        <v>9</v>
      </c>
      <c r="M2" s="111" t="s">
        <v>10</v>
      </c>
      <c r="N2" s="111" t="s">
        <v>11</v>
      </c>
      <c r="O2" s="111" t="s">
        <v>12</v>
      </c>
      <c r="P2" s="111" t="s">
        <v>1</v>
      </c>
      <c r="Q2" s="111" t="s">
        <v>2</v>
      </c>
      <c r="R2" s="111" t="s">
        <v>3</v>
      </c>
      <c r="S2" s="8"/>
      <c r="T2" s="5"/>
      <c r="U2" s="5"/>
      <c r="V2" s="5"/>
      <c r="W2" s="5"/>
      <c r="X2" s="5"/>
      <c r="Y2" s="5"/>
      <c r="Z2" s="5"/>
    </row>
    <row r="3" spans="1:26" ht="15.75" customHeight="1" x14ac:dyDescent="0.25">
      <c r="A3" s="1"/>
      <c r="B3" s="3"/>
      <c r="C3" s="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8"/>
      <c r="T3" s="5"/>
      <c r="U3" s="5"/>
      <c r="V3" s="5"/>
      <c r="W3" s="5"/>
      <c r="X3" s="5"/>
      <c r="Y3" s="5"/>
      <c r="Z3" s="5"/>
    </row>
    <row r="4" spans="1:26" ht="16.5" customHeight="1" thickBot="1" x14ac:dyDescent="0.3">
      <c r="A4" s="17"/>
      <c r="B4" s="19" t="s">
        <v>31</v>
      </c>
      <c r="C4" s="19">
        <f t="shared" ref="C4:C35" si="0">SUM(D4:L4)</f>
        <v>48863.849999999991</v>
      </c>
      <c r="D4" s="29">
        <f t="shared" ref="D4:R4" si="1">SUM(D5:D131)</f>
        <v>0</v>
      </c>
      <c r="E4" s="29">
        <f t="shared" si="1"/>
        <v>0</v>
      </c>
      <c r="F4" s="29">
        <f t="shared" si="1"/>
        <v>0</v>
      </c>
      <c r="G4" s="29">
        <f t="shared" si="1"/>
        <v>19633.869999999995</v>
      </c>
      <c r="H4" s="29">
        <f t="shared" si="1"/>
        <v>5232.84</v>
      </c>
      <c r="I4" s="29">
        <f t="shared" si="1"/>
        <v>1832.23</v>
      </c>
      <c r="J4" s="29">
        <f t="shared" si="1"/>
        <v>2018.8400000000001</v>
      </c>
      <c r="K4" s="29">
        <f t="shared" si="1"/>
        <v>1832.23</v>
      </c>
      <c r="L4" s="29">
        <f t="shared" si="1"/>
        <v>18313.84</v>
      </c>
      <c r="M4" s="29">
        <f t="shared" si="1"/>
        <v>801.58999999999992</v>
      </c>
      <c r="N4" s="29">
        <f t="shared" si="1"/>
        <v>683.2</v>
      </c>
      <c r="O4" s="29">
        <f t="shared" si="1"/>
        <v>801.58999999999992</v>
      </c>
      <c r="P4" s="29">
        <f t="shared" si="1"/>
        <v>988.2</v>
      </c>
      <c r="Q4" s="29">
        <f t="shared" si="1"/>
        <v>801.58999999999992</v>
      </c>
      <c r="R4" s="29">
        <f t="shared" si="1"/>
        <v>988.2</v>
      </c>
      <c r="S4" s="27"/>
      <c r="T4" s="5"/>
      <c r="U4" s="5"/>
      <c r="V4" s="5"/>
      <c r="W4" s="5"/>
      <c r="X4" s="5"/>
      <c r="Y4" s="5"/>
      <c r="Z4" s="5"/>
    </row>
    <row r="5" spans="1:26" ht="16.5" customHeight="1" thickTop="1" x14ac:dyDescent="0.25">
      <c r="A5" s="32">
        <v>12</v>
      </c>
      <c r="B5" s="33" t="s">
        <v>222</v>
      </c>
      <c r="C5" s="34">
        <f t="shared" si="0"/>
        <v>0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5">
      <c r="A6" s="32">
        <v>948</v>
      </c>
      <c r="B6" s="42" t="s">
        <v>223</v>
      </c>
      <c r="C6" s="45">
        <f t="shared" si="0"/>
        <v>0</v>
      </c>
      <c r="D6" s="59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5">
      <c r="A7" s="32">
        <v>10</v>
      </c>
      <c r="B7" s="42" t="s">
        <v>224</v>
      </c>
      <c r="C7" s="45">
        <f t="shared" si="0"/>
        <v>0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5">
      <c r="A8" s="32"/>
      <c r="B8" s="42" t="s">
        <v>225</v>
      </c>
      <c r="C8" s="45">
        <f t="shared" si="0"/>
        <v>16752.5</v>
      </c>
      <c r="D8" s="47"/>
      <c r="E8" s="47"/>
      <c r="F8" s="47"/>
      <c r="G8" s="47">
        <v>152.5</v>
      </c>
      <c r="H8" s="47"/>
      <c r="I8" s="47"/>
      <c r="J8" s="47"/>
      <c r="K8" s="47"/>
      <c r="L8" s="47">
        <v>16600</v>
      </c>
      <c r="M8" s="47"/>
      <c r="N8" s="47"/>
      <c r="O8" s="47"/>
      <c r="P8" s="47"/>
      <c r="Q8" s="47"/>
      <c r="R8" s="47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5">
      <c r="A9" s="32">
        <v>1270</v>
      </c>
      <c r="B9" s="42" t="s">
        <v>226</v>
      </c>
      <c r="C9" s="45">
        <f t="shared" si="0"/>
        <v>0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5">
      <c r="A10" s="32">
        <v>81</v>
      </c>
      <c r="B10" s="42" t="s">
        <v>227</v>
      </c>
      <c r="C10" s="45">
        <f t="shared" si="0"/>
        <v>0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5">
      <c r="A11" s="32"/>
      <c r="B11" s="42" t="s">
        <v>228</v>
      </c>
      <c r="C11" s="45">
        <f t="shared" si="0"/>
        <v>2269.1999999999998</v>
      </c>
      <c r="D11" s="47"/>
      <c r="E11" s="47"/>
      <c r="F11" s="47"/>
      <c r="G11" s="47">
        <f t="shared" ref="G11:R11" si="2">310*1.22</f>
        <v>378.2</v>
      </c>
      <c r="H11" s="47">
        <f t="shared" si="2"/>
        <v>378.2</v>
      </c>
      <c r="I11" s="47">
        <f t="shared" si="2"/>
        <v>378.2</v>
      </c>
      <c r="J11" s="47">
        <f t="shared" si="2"/>
        <v>378.2</v>
      </c>
      <c r="K11" s="47">
        <f t="shared" si="2"/>
        <v>378.2</v>
      </c>
      <c r="L11" s="47">
        <f t="shared" si="2"/>
        <v>378.2</v>
      </c>
      <c r="M11" s="47">
        <f t="shared" si="2"/>
        <v>378.2</v>
      </c>
      <c r="N11" s="47">
        <f t="shared" si="2"/>
        <v>378.2</v>
      </c>
      <c r="O11" s="47">
        <f t="shared" si="2"/>
        <v>378.2</v>
      </c>
      <c r="P11" s="47">
        <f t="shared" si="2"/>
        <v>378.2</v>
      </c>
      <c r="Q11" s="47">
        <f t="shared" si="2"/>
        <v>378.2</v>
      </c>
      <c r="R11" s="47">
        <f t="shared" si="2"/>
        <v>378.2</v>
      </c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5">
      <c r="A12" s="32">
        <v>750195</v>
      </c>
      <c r="B12" s="42" t="s">
        <v>229</v>
      </c>
      <c r="C12" s="45">
        <f t="shared" si="0"/>
        <v>8175.92</v>
      </c>
      <c r="D12" s="47"/>
      <c r="E12" s="47"/>
      <c r="F12" s="47"/>
      <c r="G12" s="47">
        <v>7362.04</v>
      </c>
      <c r="H12" s="47">
        <v>813.88</v>
      </c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5">
      <c r="A13" s="32">
        <v>76</v>
      </c>
      <c r="B13" s="42" t="s">
        <v>230</v>
      </c>
      <c r="C13" s="45">
        <f t="shared" si="0"/>
        <v>0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5">
      <c r="A14" s="32">
        <v>750107</v>
      </c>
      <c r="B14" s="42" t="s">
        <v>231</v>
      </c>
      <c r="C14" s="45">
        <f t="shared" si="0"/>
        <v>2000</v>
      </c>
      <c r="D14" s="47"/>
      <c r="E14" s="47"/>
      <c r="F14" s="47"/>
      <c r="G14" s="47"/>
      <c r="H14" s="47">
        <v>2000</v>
      </c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5">
      <c r="A15" s="32">
        <v>1076</v>
      </c>
      <c r="B15" s="122" t="s">
        <v>232</v>
      </c>
      <c r="C15" s="45">
        <f t="shared" si="0"/>
        <v>6183.8400000000011</v>
      </c>
      <c r="D15" s="47"/>
      <c r="E15" s="47"/>
      <c r="F15" s="47"/>
      <c r="G15" s="47">
        <v>1030.6400000000001</v>
      </c>
      <c r="H15" s="47">
        <v>1030.6400000000001</v>
      </c>
      <c r="I15" s="47">
        <v>1030.6400000000001</v>
      </c>
      <c r="J15" s="47">
        <v>1030.6400000000001</v>
      </c>
      <c r="K15" s="47">
        <v>1030.6400000000001</v>
      </c>
      <c r="L15" s="47">
        <v>1030.6400000000001</v>
      </c>
      <c r="M15" s="47"/>
      <c r="N15" s="47"/>
      <c r="O15" s="47"/>
      <c r="P15" s="47"/>
      <c r="Q15" s="47"/>
      <c r="R15" s="47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5">
      <c r="A16" s="32">
        <v>1276</v>
      </c>
      <c r="B16" s="122" t="s">
        <v>233</v>
      </c>
      <c r="C16" s="45">
        <f t="shared" si="0"/>
        <v>1270.17</v>
      </c>
      <c r="D16" s="47"/>
      <c r="E16" s="47"/>
      <c r="F16" s="47"/>
      <c r="G16" s="47">
        <v>423.39</v>
      </c>
      <c r="H16" s="47"/>
      <c r="I16" s="47">
        <v>423.39</v>
      </c>
      <c r="J16" s="47"/>
      <c r="K16" s="47">
        <v>423.39</v>
      </c>
      <c r="L16" s="47"/>
      <c r="M16" s="47">
        <v>423.39</v>
      </c>
      <c r="N16" s="47"/>
      <c r="O16" s="47">
        <v>423.39</v>
      </c>
      <c r="P16" s="47"/>
      <c r="Q16" s="47">
        <v>423.39</v>
      </c>
      <c r="R16" s="47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5">
      <c r="A17" s="32">
        <v>137</v>
      </c>
      <c r="B17" s="60" t="s">
        <v>234</v>
      </c>
      <c r="C17" s="45">
        <f t="shared" si="0"/>
        <v>0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5">
      <c r="A18" s="32">
        <v>630515</v>
      </c>
      <c r="B18" s="122" t="s">
        <v>215</v>
      </c>
      <c r="C18" s="45">
        <f t="shared" si="0"/>
        <v>9000</v>
      </c>
      <c r="D18" s="47"/>
      <c r="E18" s="47"/>
      <c r="F18" s="47"/>
      <c r="G18" s="47">
        <v>9000</v>
      </c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5">
      <c r="A19" s="32">
        <v>52</v>
      </c>
      <c r="B19" s="60" t="s">
        <v>235</v>
      </c>
      <c r="C19" s="45">
        <f t="shared" si="0"/>
        <v>1830</v>
      </c>
      <c r="D19" s="47"/>
      <c r="E19" s="47"/>
      <c r="F19" s="47"/>
      <c r="G19" s="47"/>
      <c r="H19" s="47">
        <v>915</v>
      </c>
      <c r="I19" s="47"/>
      <c r="J19" s="47">
        <v>610</v>
      </c>
      <c r="K19" s="47"/>
      <c r="L19" s="47">
        <v>305</v>
      </c>
      <c r="M19" s="47"/>
      <c r="N19" s="47">
        <v>305</v>
      </c>
      <c r="O19" s="47"/>
      <c r="P19" s="47">
        <v>610</v>
      </c>
      <c r="Q19" s="47"/>
      <c r="R19" s="47">
        <v>610</v>
      </c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5">
      <c r="A20" s="32">
        <v>654</v>
      </c>
      <c r="B20" s="60" t="s">
        <v>236</v>
      </c>
      <c r="C20" s="45">
        <f t="shared" si="0"/>
        <v>0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5">
      <c r="A21" s="32">
        <v>1222</v>
      </c>
      <c r="B21" s="60" t="s">
        <v>237</v>
      </c>
      <c r="C21" s="45">
        <f t="shared" si="0"/>
        <v>921.1</v>
      </c>
      <c r="D21" s="47"/>
      <c r="E21" s="47"/>
      <c r="F21" s="47"/>
      <c r="G21" s="47">
        <v>921.1</v>
      </c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5">
      <c r="A22" s="32">
        <v>1010</v>
      </c>
      <c r="B22" s="60" t="s">
        <v>238</v>
      </c>
      <c r="C22" s="45">
        <f t="shared" si="0"/>
        <v>461.12</v>
      </c>
      <c r="D22" s="47"/>
      <c r="E22" s="47"/>
      <c r="F22" s="47"/>
      <c r="G22" s="47">
        <v>366</v>
      </c>
      <c r="H22" s="47">
        <v>95.12</v>
      </c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5">
      <c r="A23" s="32"/>
      <c r="B23" s="60"/>
      <c r="C23" s="45">
        <f t="shared" si="0"/>
        <v>0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5">
      <c r="A24" s="32"/>
      <c r="B24" s="60"/>
      <c r="C24" s="45">
        <f t="shared" si="0"/>
        <v>0</v>
      </c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5">
      <c r="A25" s="32"/>
      <c r="B25" s="60"/>
      <c r="C25" s="45">
        <f t="shared" si="0"/>
        <v>0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5">
      <c r="A26" s="32"/>
      <c r="B26" s="60"/>
      <c r="C26" s="45">
        <f t="shared" si="0"/>
        <v>0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5">
      <c r="A27" s="32"/>
      <c r="B27" s="60"/>
      <c r="C27" s="45">
        <f t="shared" si="0"/>
        <v>0</v>
      </c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5">
      <c r="A28" s="32"/>
      <c r="B28" s="60"/>
      <c r="C28" s="45">
        <f t="shared" si="0"/>
        <v>0</v>
      </c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5">
      <c r="A29" s="32"/>
      <c r="B29" s="60"/>
      <c r="C29" s="45">
        <f t="shared" si="0"/>
        <v>0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5">
      <c r="A30" s="32"/>
      <c r="B30" s="60"/>
      <c r="C30" s="45">
        <f t="shared" si="0"/>
        <v>0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5">
      <c r="A31" s="32"/>
      <c r="B31" s="60"/>
      <c r="C31" s="45">
        <f t="shared" si="0"/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5">
      <c r="A32" s="32"/>
      <c r="B32" s="60"/>
      <c r="C32" s="45">
        <f t="shared" si="0"/>
        <v>0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5">
      <c r="A33" s="32"/>
      <c r="B33" s="60"/>
      <c r="C33" s="45">
        <f t="shared" si="0"/>
        <v>0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5">
      <c r="A34" s="32"/>
      <c r="B34" s="60"/>
      <c r="C34" s="45">
        <f t="shared" si="0"/>
        <v>0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5">
      <c r="A35" s="32"/>
      <c r="B35" s="60"/>
      <c r="C35" s="45">
        <f t="shared" si="0"/>
        <v>0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5">
      <c r="A36" s="32"/>
      <c r="B36" s="60"/>
      <c r="C36" s="45">
        <f t="shared" ref="C36:C66" si="3">SUM(D36:L36)</f>
        <v>0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5">
      <c r="A37" s="32"/>
      <c r="B37" s="60"/>
      <c r="C37" s="45">
        <f t="shared" si="3"/>
        <v>0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5">
      <c r="A38" s="32"/>
      <c r="B38" s="60"/>
      <c r="C38" s="45">
        <f t="shared" si="3"/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5">
      <c r="A39" s="32"/>
      <c r="B39" s="60"/>
      <c r="C39" s="45">
        <f t="shared" si="3"/>
        <v>0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5">
      <c r="A40" s="32"/>
      <c r="B40" s="60"/>
      <c r="C40" s="45">
        <f t="shared" si="3"/>
        <v>0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5">
      <c r="A41" s="32"/>
      <c r="B41" s="60"/>
      <c r="C41" s="45">
        <f t="shared" si="3"/>
        <v>0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5">
      <c r="A42" s="32"/>
      <c r="B42" s="60"/>
      <c r="C42" s="45">
        <f t="shared" si="3"/>
        <v>0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5">
      <c r="A43" s="32"/>
      <c r="B43" s="60"/>
      <c r="C43" s="45">
        <f t="shared" si="3"/>
        <v>0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5">
      <c r="A44" s="32"/>
      <c r="B44" s="60"/>
      <c r="C44" s="45">
        <f t="shared" si="3"/>
        <v>0</v>
      </c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5">
      <c r="A45" s="32"/>
      <c r="B45" s="60"/>
      <c r="C45" s="45">
        <f t="shared" si="3"/>
        <v>0</v>
      </c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5">
      <c r="A46" s="32"/>
      <c r="B46" s="60"/>
      <c r="C46" s="45">
        <f t="shared" si="3"/>
        <v>0</v>
      </c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5">
      <c r="A47" s="32"/>
      <c r="B47" s="60"/>
      <c r="C47" s="45">
        <f t="shared" si="3"/>
        <v>0</v>
      </c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5">
      <c r="A48" s="32"/>
      <c r="B48" s="60"/>
      <c r="C48" s="45">
        <f t="shared" si="3"/>
        <v>0</v>
      </c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5">
      <c r="A49" s="32"/>
      <c r="B49" s="60"/>
      <c r="C49" s="45">
        <f t="shared" si="3"/>
        <v>0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5">
      <c r="A50" s="32"/>
      <c r="B50" s="60"/>
      <c r="C50" s="45">
        <f t="shared" si="3"/>
        <v>0</v>
      </c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5">
      <c r="A51" s="32"/>
      <c r="B51" s="60"/>
      <c r="C51" s="45">
        <f t="shared" si="3"/>
        <v>0</v>
      </c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5">
      <c r="A52" s="32"/>
      <c r="B52" s="60"/>
      <c r="C52" s="45">
        <f t="shared" si="3"/>
        <v>0</v>
      </c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5">
      <c r="A53" s="32"/>
      <c r="B53" s="60"/>
      <c r="C53" s="45">
        <f t="shared" si="3"/>
        <v>0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5">
      <c r="A54" s="32"/>
      <c r="B54" s="60"/>
      <c r="C54" s="45">
        <f t="shared" si="3"/>
        <v>0</v>
      </c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5">
      <c r="A55" s="32"/>
      <c r="B55" s="60"/>
      <c r="C55" s="45">
        <f t="shared" si="3"/>
        <v>0</v>
      </c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5">
      <c r="A56" s="32"/>
      <c r="B56" s="60"/>
      <c r="C56" s="45">
        <f t="shared" si="3"/>
        <v>0</v>
      </c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5">
      <c r="A57" s="32"/>
      <c r="B57" s="60"/>
      <c r="C57" s="45">
        <f t="shared" si="3"/>
        <v>0</v>
      </c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5">
      <c r="A58" s="32"/>
      <c r="B58" s="60"/>
      <c r="C58" s="45">
        <f t="shared" si="3"/>
        <v>0</v>
      </c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5">
      <c r="A59" s="32"/>
      <c r="B59" s="60"/>
      <c r="C59" s="45">
        <f t="shared" si="3"/>
        <v>0</v>
      </c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5">
      <c r="A60" s="32"/>
      <c r="B60" s="60"/>
      <c r="C60" s="45">
        <f t="shared" si="3"/>
        <v>0</v>
      </c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5">
      <c r="A61" s="32"/>
      <c r="B61" s="60"/>
      <c r="C61" s="45">
        <f t="shared" si="3"/>
        <v>0</v>
      </c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5">
      <c r="A62" s="32"/>
      <c r="B62" s="60"/>
      <c r="C62" s="45">
        <f t="shared" si="3"/>
        <v>0</v>
      </c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5">
      <c r="A63" s="32"/>
      <c r="B63" s="60"/>
      <c r="C63" s="45">
        <f t="shared" si="3"/>
        <v>0</v>
      </c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5">
      <c r="A64" s="32"/>
      <c r="B64" s="60"/>
      <c r="C64" s="45">
        <f t="shared" si="3"/>
        <v>0</v>
      </c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5">
      <c r="A65" s="32"/>
      <c r="B65" s="60"/>
      <c r="C65" s="45">
        <f t="shared" si="3"/>
        <v>0</v>
      </c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5">
      <c r="A66" s="32"/>
      <c r="B66" s="110"/>
      <c r="C66" s="45">
        <f t="shared" si="3"/>
        <v>0</v>
      </c>
      <c r="D66" s="124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5">
      <c r="A67" s="5"/>
      <c r="B67" s="107"/>
      <c r="C67" s="5"/>
      <c r="D67" s="107"/>
      <c r="E67" s="107"/>
      <c r="F67" s="107"/>
      <c r="G67" s="107"/>
      <c r="H67" s="107"/>
      <c r="I67" s="107"/>
      <c r="J67" s="107"/>
      <c r="K67" s="107"/>
      <c r="L67" s="107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5">
      <c r="A68" s="5"/>
      <c r="B68" s="107"/>
      <c r="C68" s="5"/>
      <c r="D68" s="107"/>
      <c r="E68" s="107"/>
      <c r="F68" s="107"/>
      <c r="G68" s="107"/>
      <c r="H68" s="107"/>
      <c r="I68" s="107"/>
      <c r="J68" s="107"/>
      <c r="K68" s="107"/>
      <c r="L68" s="107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5">
      <c r="A69" s="5"/>
      <c r="B69" s="107"/>
      <c r="C69" s="5"/>
      <c r="D69" s="107"/>
      <c r="E69" s="107"/>
      <c r="F69" s="107"/>
      <c r="G69" s="107"/>
      <c r="H69" s="107"/>
      <c r="I69" s="107"/>
      <c r="J69" s="107"/>
      <c r="K69" s="107"/>
      <c r="L69" s="107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5">
      <c r="A70" s="5"/>
      <c r="B70" s="107"/>
      <c r="C70" s="5"/>
      <c r="D70" s="107"/>
      <c r="E70" s="107"/>
      <c r="F70" s="107"/>
      <c r="G70" s="107"/>
      <c r="H70" s="107"/>
      <c r="I70" s="107"/>
      <c r="J70" s="107"/>
      <c r="K70" s="107"/>
      <c r="L70" s="107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5">
      <c r="A71" s="5"/>
      <c r="B71" s="107"/>
      <c r="C71" s="5"/>
      <c r="D71" s="107"/>
      <c r="E71" s="107"/>
      <c r="F71" s="107"/>
      <c r="G71" s="107"/>
      <c r="H71" s="107"/>
      <c r="I71" s="107"/>
      <c r="J71" s="107"/>
      <c r="K71" s="107"/>
      <c r="L71" s="107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5">
      <c r="A72" s="5"/>
      <c r="B72" s="107"/>
      <c r="C72" s="5"/>
      <c r="D72" s="107"/>
      <c r="E72" s="107"/>
      <c r="F72" s="107"/>
      <c r="G72" s="107"/>
      <c r="H72" s="107"/>
      <c r="I72" s="107"/>
      <c r="J72" s="107"/>
      <c r="K72" s="107"/>
      <c r="L72" s="107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5">
      <c r="A73" s="5"/>
      <c r="B73" s="107"/>
      <c r="C73" s="5"/>
      <c r="D73" s="107"/>
      <c r="E73" s="107"/>
      <c r="F73" s="107"/>
      <c r="G73" s="107"/>
      <c r="H73" s="107"/>
      <c r="I73" s="107"/>
      <c r="J73" s="107"/>
      <c r="K73" s="107"/>
      <c r="L73" s="107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5">
      <c r="A74" s="5"/>
      <c r="B74" s="107"/>
      <c r="C74" s="5"/>
      <c r="D74" s="107"/>
      <c r="E74" s="107"/>
      <c r="F74" s="107"/>
      <c r="G74" s="107"/>
      <c r="H74" s="107"/>
      <c r="I74" s="107"/>
      <c r="J74" s="107"/>
      <c r="K74" s="107"/>
      <c r="L74" s="107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5">
      <c r="A75" s="5"/>
      <c r="B75" s="107"/>
      <c r="C75" s="5"/>
      <c r="D75" s="107"/>
      <c r="E75" s="107"/>
      <c r="F75" s="107"/>
      <c r="G75" s="107"/>
      <c r="H75" s="107"/>
      <c r="I75" s="107"/>
      <c r="J75" s="107"/>
      <c r="K75" s="107"/>
      <c r="L75" s="107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5">
      <c r="A76" s="5"/>
      <c r="B76" s="107"/>
      <c r="C76" s="5"/>
      <c r="D76" s="107"/>
      <c r="E76" s="107"/>
      <c r="F76" s="107"/>
      <c r="G76" s="107"/>
      <c r="H76" s="107"/>
      <c r="I76" s="107"/>
      <c r="J76" s="107"/>
      <c r="K76" s="107"/>
      <c r="L76" s="107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5">
      <c r="A77" s="5"/>
      <c r="B77" s="107"/>
      <c r="C77" s="5"/>
      <c r="D77" s="107"/>
      <c r="E77" s="107"/>
      <c r="F77" s="107"/>
      <c r="G77" s="107"/>
      <c r="H77" s="107"/>
      <c r="I77" s="107"/>
      <c r="J77" s="107"/>
      <c r="K77" s="107"/>
      <c r="L77" s="107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5">
      <c r="A78" s="5"/>
      <c r="B78" s="107"/>
      <c r="C78" s="5"/>
      <c r="D78" s="107"/>
      <c r="E78" s="107"/>
      <c r="F78" s="107"/>
      <c r="G78" s="107"/>
      <c r="H78" s="107"/>
      <c r="I78" s="107"/>
      <c r="J78" s="107"/>
      <c r="K78" s="107"/>
      <c r="L78" s="107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5">
      <c r="A79" s="5"/>
      <c r="B79" s="107"/>
      <c r="C79" s="5"/>
      <c r="D79" s="107"/>
      <c r="E79" s="107"/>
      <c r="F79" s="107"/>
      <c r="G79" s="107"/>
      <c r="H79" s="107"/>
      <c r="I79" s="107"/>
      <c r="J79" s="107"/>
      <c r="K79" s="107"/>
      <c r="L79" s="107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5">
      <c r="A80" s="5"/>
      <c r="B80" s="107"/>
      <c r="C80" s="5"/>
      <c r="D80" s="107"/>
      <c r="E80" s="107"/>
      <c r="F80" s="107"/>
      <c r="G80" s="107"/>
      <c r="H80" s="107"/>
      <c r="I80" s="107"/>
      <c r="J80" s="107"/>
      <c r="K80" s="107"/>
      <c r="L80" s="107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5">
      <c r="A81" s="5"/>
      <c r="B81" s="107"/>
      <c r="C81" s="5"/>
      <c r="D81" s="107"/>
      <c r="E81" s="107"/>
      <c r="F81" s="107"/>
      <c r="G81" s="107"/>
      <c r="H81" s="107"/>
      <c r="I81" s="107"/>
      <c r="J81" s="107"/>
      <c r="K81" s="107"/>
      <c r="L81" s="107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5">
      <c r="A82" s="5"/>
      <c r="B82" s="107"/>
      <c r="C82" s="5"/>
      <c r="D82" s="107"/>
      <c r="E82" s="107"/>
      <c r="F82" s="107"/>
      <c r="G82" s="107"/>
      <c r="H82" s="107"/>
      <c r="I82" s="107"/>
      <c r="J82" s="107"/>
      <c r="K82" s="107"/>
      <c r="L82" s="107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5">
      <c r="A83" s="5"/>
      <c r="B83" s="107"/>
      <c r="C83" s="5"/>
      <c r="D83" s="107"/>
      <c r="E83" s="107"/>
      <c r="F83" s="107"/>
      <c r="G83" s="107"/>
      <c r="H83" s="107"/>
      <c r="I83" s="107"/>
      <c r="J83" s="107"/>
      <c r="K83" s="107"/>
      <c r="L83" s="107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5">
      <c r="A84" s="5"/>
      <c r="B84" s="107"/>
      <c r="C84" s="5"/>
      <c r="D84" s="107"/>
      <c r="E84" s="107"/>
      <c r="F84" s="107"/>
      <c r="G84" s="107"/>
      <c r="H84" s="107"/>
      <c r="I84" s="107"/>
      <c r="J84" s="107"/>
      <c r="K84" s="107"/>
      <c r="L84" s="107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5">
      <c r="A85" s="5"/>
      <c r="B85" s="107"/>
      <c r="C85" s="5"/>
      <c r="D85" s="107"/>
      <c r="E85" s="107"/>
      <c r="F85" s="107"/>
      <c r="G85" s="107"/>
      <c r="H85" s="107"/>
      <c r="I85" s="107"/>
      <c r="J85" s="107"/>
      <c r="K85" s="107"/>
      <c r="L85" s="107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5">
      <c r="A86" s="5"/>
      <c r="B86" s="107"/>
      <c r="C86" s="5"/>
      <c r="D86" s="107"/>
      <c r="E86" s="107"/>
      <c r="F86" s="107"/>
      <c r="G86" s="107"/>
      <c r="H86" s="107"/>
      <c r="I86" s="107"/>
      <c r="J86" s="107"/>
      <c r="K86" s="107"/>
      <c r="L86" s="107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5">
      <c r="A87" s="5"/>
      <c r="B87" s="107"/>
      <c r="C87" s="5"/>
      <c r="D87" s="107"/>
      <c r="E87" s="107"/>
      <c r="F87" s="107"/>
      <c r="G87" s="107"/>
      <c r="H87" s="107"/>
      <c r="I87" s="107"/>
      <c r="J87" s="107"/>
      <c r="K87" s="107"/>
      <c r="L87" s="107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5">
      <c r="A88" s="5"/>
      <c r="B88" s="107"/>
      <c r="C88" s="5"/>
      <c r="D88" s="107"/>
      <c r="E88" s="107"/>
      <c r="F88" s="107"/>
      <c r="G88" s="107"/>
      <c r="H88" s="107"/>
      <c r="I88" s="107"/>
      <c r="J88" s="107"/>
      <c r="K88" s="107"/>
      <c r="L88" s="107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5">
      <c r="A89" s="5"/>
      <c r="B89" s="107"/>
      <c r="C89" s="5"/>
      <c r="D89" s="107"/>
      <c r="E89" s="107"/>
      <c r="F89" s="107"/>
      <c r="G89" s="107"/>
      <c r="H89" s="107"/>
      <c r="I89" s="107"/>
      <c r="J89" s="107"/>
      <c r="K89" s="107"/>
      <c r="L89" s="107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5">
      <c r="A90" s="5"/>
      <c r="B90" s="107"/>
      <c r="C90" s="5"/>
      <c r="D90" s="107"/>
      <c r="E90" s="107"/>
      <c r="F90" s="107"/>
      <c r="G90" s="107"/>
      <c r="H90" s="107"/>
      <c r="I90" s="107"/>
      <c r="J90" s="107"/>
      <c r="K90" s="107"/>
      <c r="L90" s="107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5">
      <c r="A91" s="5"/>
      <c r="B91" s="107"/>
      <c r="C91" s="5"/>
      <c r="D91" s="107"/>
      <c r="E91" s="107"/>
      <c r="F91" s="107"/>
      <c r="G91" s="107"/>
      <c r="H91" s="107"/>
      <c r="I91" s="107"/>
      <c r="J91" s="107"/>
      <c r="K91" s="107"/>
      <c r="L91" s="107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5">
      <c r="A92" s="5"/>
      <c r="B92" s="107"/>
      <c r="C92" s="5"/>
      <c r="D92" s="107"/>
      <c r="E92" s="107"/>
      <c r="F92" s="107"/>
      <c r="G92" s="107"/>
      <c r="H92" s="107"/>
      <c r="I92" s="107"/>
      <c r="J92" s="107"/>
      <c r="K92" s="107"/>
      <c r="L92" s="107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5">
      <c r="A93" s="5"/>
      <c r="B93" s="107"/>
      <c r="C93" s="5"/>
      <c r="D93" s="107"/>
      <c r="E93" s="107"/>
      <c r="F93" s="107"/>
      <c r="G93" s="107"/>
      <c r="H93" s="107"/>
      <c r="I93" s="107"/>
      <c r="J93" s="107"/>
      <c r="K93" s="107"/>
      <c r="L93" s="107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5">
      <c r="A94" s="5"/>
      <c r="B94" s="107"/>
      <c r="C94" s="5"/>
      <c r="D94" s="107"/>
      <c r="E94" s="107"/>
      <c r="F94" s="107"/>
      <c r="G94" s="107"/>
      <c r="H94" s="107"/>
      <c r="I94" s="107"/>
      <c r="J94" s="107"/>
      <c r="K94" s="107"/>
      <c r="L94" s="107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5">
      <c r="A95" s="5"/>
      <c r="B95" s="107"/>
      <c r="C95" s="5"/>
      <c r="D95" s="107"/>
      <c r="E95" s="107"/>
      <c r="F95" s="107"/>
      <c r="G95" s="107"/>
      <c r="H95" s="107"/>
      <c r="I95" s="107"/>
      <c r="J95" s="107"/>
      <c r="K95" s="107"/>
      <c r="L95" s="107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5">
      <c r="A96" s="5"/>
      <c r="B96" s="107"/>
      <c r="C96" s="5"/>
      <c r="D96" s="107"/>
      <c r="E96" s="107"/>
      <c r="F96" s="107"/>
      <c r="G96" s="107"/>
      <c r="H96" s="107"/>
      <c r="I96" s="107"/>
      <c r="J96" s="107"/>
      <c r="K96" s="107"/>
      <c r="L96" s="107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5">
      <c r="A97" s="5"/>
      <c r="B97" s="107"/>
      <c r="C97" s="5"/>
      <c r="D97" s="107"/>
      <c r="E97" s="107"/>
      <c r="F97" s="107"/>
      <c r="G97" s="107"/>
      <c r="H97" s="107"/>
      <c r="I97" s="107"/>
      <c r="J97" s="107"/>
      <c r="K97" s="107"/>
      <c r="L97" s="107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5">
      <c r="A98" s="5"/>
      <c r="B98" s="107"/>
      <c r="C98" s="5"/>
      <c r="D98" s="107"/>
      <c r="E98" s="107"/>
      <c r="F98" s="107"/>
      <c r="G98" s="107"/>
      <c r="H98" s="107"/>
      <c r="I98" s="107"/>
      <c r="J98" s="107"/>
      <c r="K98" s="107"/>
      <c r="L98" s="107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5">
      <c r="A99" s="5"/>
      <c r="B99" s="107"/>
      <c r="C99" s="5"/>
      <c r="D99" s="107"/>
      <c r="E99" s="107"/>
      <c r="F99" s="107"/>
      <c r="G99" s="107"/>
      <c r="H99" s="107"/>
      <c r="I99" s="107"/>
      <c r="J99" s="107"/>
      <c r="K99" s="107"/>
      <c r="L99" s="107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5">
      <c r="A100" s="5"/>
      <c r="B100" s="107"/>
      <c r="C100" s="5"/>
      <c r="D100" s="107"/>
      <c r="E100" s="107"/>
      <c r="F100" s="107"/>
      <c r="G100" s="107"/>
      <c r="H100" s="107"/>
      <c r="I100" s="107"/>
      <c r="J100" s="107"/>
      <c r="K100" s="107"/>
      <c r="L100" s="107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5">
      <c r="A101" s="5"/>
      <c r="B101" s="107"/>
      <c r="C101" s="5"/>
      <c r="D101" s="107"/>
      <c r="E101" s="107"/>
      <c r="F101" s="107"/>
      <c r="G101" s="107"/>
      <c r="H101" s="107"/>
      <c r="I101" s="107"/>
      <c r="J101" s="107"/>
      <c r="K101" s="107"/>
      <c r="L101" s="107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5">
      <c r="A102" s="5"/>
      <c r="B102" s="107"/>
      <c r="C102" s="5"/>
      <c r="D102" s="107"/>
      <c r="E102" s="107"/>
      <c r="F102" s="107"/>
      <c r="G102" s="107"/>
      <c r="H102" s="107"/>
      <c r="I102" s="107"/>
      <c r="J102" s="107"/>
      <c r="K102" s="107"/>
      <c r="L102" s="107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5">
      <c r="A103" s="5"/>
      <c r="B103" s="107"/>
      <c r="C103" s="5"/>
      <c r="D103" s="107"/>
      <c r="E103" s="107"/>
      <c r="F103" s="107"/>
      <c r="G103" s="107"/>
      <c r="H103" s="107"/>
      <c r="I103" s="107"/>
      <c r="J103" s="107"/>
      <c r="K103" s="107"/>
      <c r="L103" s="107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5">
      <c r="A104" s="5"/>
      <c r="B104" s="107"/>
      <c r="C104" s="5"/>
      <c r="D104" s="107"/>
      <c r="E104" s="107"/>
      <c r="F104" s="107"/>
      <c r="G104" s="107"/>
      <c r="H104" s="107"/>
      <c r="I104" s="107"/>
      <c r="J104" s="107"/>
      <c r="K104" s="107"/>
      <c r="L104" s="107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5">
      <c r="A105" s="5"/>
      <c r="B105" s="107"/>
      <c r="C105" s="5"/>
      <c r="D105" s="107"/>
      <c r="E105" s="107"/>
      <c r="F105" s="107"/>
      <c r="G105" s="107"/>
      <c r="H105" s="107"/>
      <c r="I105" s="107"/>
      <c r="J105" s="107"/>
      <c r="K105" s="107"/>
      <c r="L105" s="107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5">
      <c r="A106" s="5"/>
      <c r="B106" s="107"/>
      <c r="C106" s="5"/>
      <c r="D106" s="107"/>
      <c r="E106" s="107"/>
      <c r="F106" s="107"/>
      <c r="G106" s="107"/>
      <c r="H106" s="107"/>
      <c r="I106" s="107"/>
      <c r="J106" s="107"/>
      <c r="K106" s="107"/>
      <c r="L106" s="107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5">
      <c r="A107" s="5"/>
      <c r="B107" s="107"/>
      <c r="C107" s="5"/>
      <c r="D107" s="107"/>
      <c r="E107" s="107"/>
      <c r="F107" s="107"/>
      <c r="G107" s="107"/>
      <c r="H107" s="107"/>
      <c r="I107" s="107"/>
      <c r="J107" s="107"/>
      <c r="K107" s="107"/>
      <c r="L107" s="107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5">
      <c r="A108" s="5"/>
      <c r="B108" s="107"/>
      <c r="C108" s="5"/>
      <c r="D108" s="107"/>
      <c r="E108" s="107"/>
      <c r="F108" s="107"/>
      <c r="G108" s="107"/>
      <c r="H108" s="107"/>
      <c r="I108" s="107"/>
      <c r="J108" s="107"/>
      <c r="K108" s="107"/>
      <c r="L108" s="107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5">
      <c r="A109" s="5"/>
      <c r="B109" s="107"/>
      <c r="C109" s="5"/>
      <c r="D109" s="107"/>
      <c r="E109" s="107"/>
      <c r="F109" s="107"/>
      <c r="G109" s="107"/>
      <c r="H109" s="107"/>
      <c r="I109" s="107"/>
      <c r="J109" s="107"/>
      <c r="K109" s="107"/>
      <c r="L109" s="107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5">
      <c r="A110" s="5"/>
      <c r="B110" s="107"/>
      <c r="C110" s="5"/>
      <c r="D110" s="107"/>
      <c r="E110" s="107"/>
      <c r="F110" s="107"/>
      <c r="G110" s="107"/>
      <c r="H110" s="107"/>
      <c r="I110" s="107"/>
      <c r="J110" s="107"/>
      <c r="K110" s="107"/>
      <c r="L110" s="107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5">
      <c r="A111" s="5"/>
      <c r="B111" s="107"/>
      <c r="C111" s="5"/>
      <c r="D111" s="107"/>
      <c r="E111" s="107"/>
      <c r="F111" s="107"/>
      <c r="G111" s="107"/>
      <c r="H111" s="107"/>
      <c r="I111" s="107"/>
      <c r="J111" s="107"/>
      <c r="K111" s="107"/>
      <c r="L111" s="107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5">
      <c r="A112" s="5"/>
      <c r="B112" s="107"/>
      <c r="C112" s="5"/>
      <c r="D112" s="107"/>
      <c r="E112" s="107"/>
      <c r="F112" s="107"/>
      <c r="G112" s="107"/>
      <c r="H112" s="107"/>
      <c r="I112" s="107"/>
      <c r="J112" s="107"/>
      <c r="K112" s="107"/>
      <c r="L112" s="107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5">
      <c r="A113" s="5"/>
      <c r="B113" s="107"/>
      <c r="C113" s="5"/>
      <c r="D113" s="107"/>
      <c r="E113" s="107"/>
      <c r="F113" s="107"/>
      <c r="G113" s="107"/>
      <c r="H113" s="107"/>
      <c r="I113" s="107"/>
      <c r="J113" s="107"/>
      <c r="K113" s="107"/>
      <c r="L113" s="107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5">
      <c r="A114" s="5"/>
      <c r="B114" s="107"/>
      <c r="C114" s="5"/>
      <c r="D114" s="107"/>
      <c r="E114" s="107"/>
      <c r="F114" s="107"/>
      <c r="G114" s="107"/>
      <c r="H114" s="107"/>
      <c r="I114" s="107"/>
      <c r="J114" s="107"/>
      <c r="K114" s="107"/>
      <c r="L114" s="107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5">
      <c r="A115" s="5"/>
      <c r="B115" s="107"/>
      <c r="C115" s="5"/>
      <c r="D115" s="107"/>
      <c r="E115" s="107"/>
      <c r="F115" s="107"/>
      <c r="G115" s="107"/>
      <c r="H115" s="107"/>
      <c r="I115" s="107"/>
      <c r="J115" s="107"/>
      <c r="K115" s="107"/>
      <c r="L115" s="107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5">
      <c r="A116" s="5"/>
      <c r="B116" s="107"/>
      <c r="C116" s="5"/>
      <c r="D116" s="107"/>
      <c r="E116" s="107"/>
      <c r="F116" s="107"/>
      <c r="G116" s="107"/>
      <c r="H116" s="107"/>
      <c r="I116" s="107"/>
      <c r="J116" s="107"/>
      <c r="K116" s="107"/>
      <c r="L116" s="107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5">
      <c r="A117" s="5"/>
      <c r="B117" s="107"/>
      <c r="C117" s="5"/>
      <c r="D117" s="107"/>
      <c r="E117" s="107"/>
      <c r="F117" s="107"/>
      <c r="G117" s="107"/>
      <c r="H117" s="107"/>
      <c r="I117" s="107"/>
      <c r="J117" s="107"/>
      <c r="K117" s="107"/>
      <c r="L117" s="107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5">
      <c r="A118" s="5"/>
      <c r="B118" s="107"/>
      <c r="C118" s="5"/>
      <c r="D118" s="107"/>
      <c r="E118" s="107"/>
      <c r="F118" s="107"/>
      <c r="G118" s="107"/>
      <c r="H118" s="107"/>
      <c r="I118" s="107"/>
      <c r="J118" s="107"/>
      <c r="K118" s="107"/>
      <c r="L118" s="107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5">
      <c r="A119" s="5"/>
      <c r="B119" s="107"/>
      <c r="C119" s="5"/>
      <c r="D119" s="107"/>
      <c r="E119" s="107"/>
      <c r="F119" s="107"/>
      <c r="G119" s="107"/>
      <c r="H119" s="107"/>
      <c r="I119" s="107"/>
      <c r="J119" s="107"/>
      <c r="K119" s="107"/>
      <c r="L119" s="107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5">
      <c r="A120" s="5"/>
      <c r="B120" s="107"/>
      <c r="C120" s="5"/>
      <c r="D120" s="107"/>
      <c r="E120" s="107"/>
      <c r="F120" s="107"/>
      <c r="G120" s="107"/>
      <c r="H120" s="107"/>
      <c r="I120" s="107"/>
      <c r="J120" s="107"/>
      <c r="K120" s="107"/>
      <c r="L120" s="107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5">
      <c r="A121" s="5"/>
      <c r="B121" s="107"/>
      <c r="C121" s="5"/>
      <c r="D121" s="107"/>
      <c r="E121" s="107"/>
      <c r="F121" s="107"/>
      <c r="G121" s="107"/>
      <c r="H121" s="107"/>
      <c r="I121" s="107"/>
      <c r="J121" s="107"/>
      <c r="K121" s="107"/>
      <c r="L121" s="107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5">
      <c r="A122" s="5"/>
      <c r="B122" s="107"/>
      <c r="C122" s="5"/>
      <c r="D122" s="107"/>
      <c r="E122" s="107"/>
      <c r="F122" s="107"/>
      <c r="G122" s="107"/>
      <c r="H122" s="107"/>
      <c r="I122" s="107"/>
      <c r="J122" s="107"/>
      <c r="K122" s="107"/>
      <c r="L122" s="107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5">
      <c r="A123" s="5"/>
      <c r="B123" s="107"/>
      <c r="C123" s="5"/>
      <c r="D123" s="107"/>
      <c r="E123" s="107"/>
      <c r="F123" s="107"/>
      <c r="G123" s="107"/>
      <c r="H123" s="107"/>
      <c r="I123" s="107"/>
      <c r="J123" s="107"/>
      <c r="K123" s="107"/>
      <c r="L123" s="107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5">
      <c r="A124" s="5"/>
      <c r="B124" s="107"/>
      <c r="C124" s="5"/>
      <c r="D124" s="107"/>
      <c r="E124" s="107"/>
      <c r="F124" s="107"/>
      <c r="G124" s="107"/>
      <c r="H124" s="107"/>
      <c r="I124" s="107"/>
      <c r="J124" s="107"/>
      <c r="K124" s="107"/>
      <c r="L124" s="107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5">
      <c r="A125" s="5"/>
      <c r="B125" s="107"/>
      <c r="C125" s="5"/>
      <c r="D125" s="107"/>
      <c r="E125" s="107"/>
      <c r="F125" s="107"/>
      <c r="G125" s="107"/>
      <c r="H125" s="107"/>
      <c r="I125" s="107"/>
      <c r="J125" s="107"/>
      <c r="K125" s="107"/>
      <c r="L125" s="107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5">
      <c r="A126" s="5"/>
      <c r="B126" s="107"/>
      <c r="C126" s="5"/>
      <c r="D126" s="107"/>
      <c r="E126" s="107"/>
      <c r="F126" s="107"/>
      <c r="G126" s="107"/>
      <c r="H126" s="107"/>
      <c r="I126" s="107"/>
      <c r="J126" s="107"/>
      <c r="K126" s="107"/>
      <c r="L126" s="107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5">
      <c r="A127" s="5"/>
      <c r="B127" s="107"/>
      <c r="C127" s="5"/>
      <c r="D127" s="107"/>
      <c r="E127" s="107"/>
      <c r="F127" s="107"/>
      <c r="G127" s="107"/>
      <c r="H127" s="107"/>
      <c r="I127" s="107"/>
      <c r="J127" s="107"/>
      <c r="K127" s="107"/>
      <c r="L127" s="107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5">
      <c r="A128" s="5"/>
      <c r="B128" s="107"/>
      <c r="C128" s="5"/>
      <c r="D128" s="107"/>
      <c r="E128" s="107"/>
      <c r="F128" s="107"/>
      <c r="G128" s="107"/>
      <c r="H128" s="107"/>
      <c r="I128" s="107"/>
      <c r="J128" s="107"/>
      <c r="K128" s="107"/>
      <c r="L128" s="107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5">
      <c r="A129" s="5"/>
      <c r="B129" s="107"/>
      <c r="C129" s="5"/>
      <c r="D129" s="107"/>
      <c r="E129" s="107"/>
      <c r="F129" s="107"/>
      <c r="G129" s="107"/>
      <c r="H129" s="107"/>
      <c r="I129" s="107"/>
      <c r="J129" s="107"/>
      <c r="K129" s="107"/>
      <c r="L129" s="107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5">
      <c r="A130" s="5"/>
      <c r="B130" s="107"/>
      <c r="C130" s="5"/>
      <c r="D130" s="107"/>
      <c r="E130" s="107"/>
      <c r="F130" s="107"/>
      <c r="G130" s="107"/>
      <c r="H130" s="107"/>
      <c r="I130" s="107"/>
      <c r="J130" s="107"/>
      <c r="K130" s="107"/>
      <c r="L130" s="107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5">
      <c r="A131" s="5"/>
      <c r="B131" s="107"/>
      <c r="C131" s="5"/>
      <c r="D131" s="107"/>
      <c r="E131" s="107"/>
      <c r="F131" s="107"/>
      <c r="G131" s="107"/>
      <c r="H131" s="107"/>
      <c r="I131" s="107"/>
      <c r="J131" s="107"/>
      <c r="K131" s="107"/>
      <c r="L131" s="107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5">
      <c r="A132" s="5"/>
      <c r="B132" s="107"/>
      <c r="C132" s="5"/>
      <c r="D132" s="107"/>
      <c r="E132" s="107"/>
      <c r="F132" s="107"/>
      <c r="G132" s="107"/>
      <c r="H132" s="107"/>
      <c r="I132" s="107"/>
      <c r="J132" s="107"/>
      <c r="K132" s="107"/>
      <c r="L132" s="107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5">
      <c r="A133" s="5"/>
      <c r="B133" s="107"/>
      <c r="C133" s="5"/>
      <c r="D133" s="107"/>
      <c r="E133" s="107"/>
      <c r="F133" s="107"/>
      <c r="G133" s="107"/>
      <c r="H133" s="107"/>
      <c r="I133" s="107"/>
      <c r="J133" s="107"/>
      <c r="K133" s="107"/>
      <c r="L133" s="107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5">
      <c r="A134" s="5"/>
      <c r="B134" s="107"/>
      <c r="C134" s="5"/>
      <c r="D134" s="107"/>
      <c r="E134" s="107"/>
      <c r="F134" s="107"/>
      <c r="G134" s="107"/>
      <c r="H134" s="107"/>
      <c r="I134" s="107"/>
      <c r="J134" s="107"/>
      <c r="K134" s="107"/>
      <c r="L134" s="107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5">
      <c r="A135" s="5"/>
      <c r="B135" s="107"/>
      <c r="C135" s="5"/>
      <c r="D135" s="107"/>
      <c r="E135" s="107"/>
      <c r="F135" s="107"/>
      <c r="G135" s="107"/>
      <c r="H135" s="107"/>
      <c r="I135" s="107"/>
      <c r="J135" s="107"/>
      <c r="K135" s="107"/>
      <c r="L135" s="107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5">
      <c r="A136" s="5"/>
      <c r="B136" s="107"/>
      <c r="C136" s="5"/>
      <c r="D136" s="107"/>
      <c r="E136" s="107"/>
      <c r="F136" s="107"/>
      <c r="G136" s="107"/>
      <c r="H136" s="107"/>
      <c r="I136" s="107"/>
      <c r="J136" s="107"/>
      <c r="K136" s="107"/>
      <c r="L136" s="107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5">
      <c r="A137" s="5"/>
      <c r="B137" s="107"/>
      <c r="C137" s="5"/>
      <c r="D137" s="107"/>
      <c r="E137" s="107"/>
      <c r="F137" s="107"/>
      <c r="G137" s="107"/>
      <c r="H137" s="107"/>
      <c r="I137" s="107"/>
      <c r="J137" s="107"/>
      <c r="K137" s="107"/>
      <c r="L137" s="107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5">
      <c r="A138" s="5"/>
      <c r="B138" s="107"/>
      <c r="C138" s="5"/>
      <c r="D138" s="107"/>
      <c r="E138" s="107"/>
      <c r="F138" s="107"/>
      <c r="G138" s="107"/>
      <c r="H138" s="107"/>
      <c r="I138" s="107"/>
      <c r="J138" s="107"/>
      <c r="K138" s="107"/>
      <c r="L138" s="107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5">
      <c r="A139" s="5"/>
      <c r="B139" s="107"/>
      <c r="C139" s="5"/>
      <c r="D139" s="107"/>
      <c r="E139" s="107"/>
      <c r="F139" s="107"/>
      <c r="G139" s="107"/>
      <c r="H139" s="107"/>
      <c r="I139" s="107"/>
      <c r="J139" s="107"/>
      <c r="K139" s="107"/>
      <c r="L139" s="107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5">
      <c r="A140" s="5"/>
      <c r="B140" s="107"/>
      <c r="C140" s="5"/>
      <c r="D140" s="107"/>
      <c r="E140" s="107"/>
      <c r="F140" s="107"/>
      <c r="G140" s="107"/>
      <c r="H140" s="107"/>
      <c r="I140" s="107"/>
      <c r="J140" s="107"/>
      <c r="K140" s="107"/>
      <c r="L140" s="107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5">
      <c r="A141" s="5"/>
      <c r="B141" s="107"/>
      <c r="C141" s="5"/>
      <c r="D141" s="107"/>
      <c r="E141" s="107"/>
      <c r="F141" s="107"/>
      <c r="G141" s="107"/>
      <c r="H141" s="107"/>
      <c r="I141" s="107"/>
      <c r="J141" s="107"/>
      <c r="K141" s="107"/>
      <c r="L141" s="107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5">
      <c r="A142" s="5"/>
      <c r="B142" s="107"/>
      <c r="C142" s="5"/>
      <c r="D142" s="107"/>
      <c r="E142" s="107"/>
      <c r="F142" s="107"/>
      <c r="G142" s="107"/>
      <c r="H142" s="107"/>
      <c r="I142" s="107"/>
      <c r="J142" s="107"/>
      <c r="K142" s="107"/>
      <c r="L142" s="107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5">
      <c r="A143" s="5"/>
      <c r="B143" s="107"/>
      <c r="C143" s="5"/>
      <c r="D143" s="107"/>
      <c r="E143" s="107"/>
      <c r="F143" s="107"/>
      <c r="G143" s="107"/>
      <c r="H143" s="107"/>
      <c r="I143" s="107"/>
      <c r="J143" s="107"/>
      <c r="K143" s="107"/>
      <c r="L143" s="107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5">
      <c r="A144" s="5"/>
      <c r="B144" s="107"/>
      <c r="C144" s="5"/>
      <c r="D144" s="107"/>
      <c r="E144" s="107"/>
      <c r="F144" s="107"/>
      <c r="G144" s="107"/>
      <c r="H144" s="107"/>
      <c r="I144" s="107"/>
      <c r="J144" s="107"/>
      <c r="K144" s="107"/>
      <c r="L144" s="107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5">
      <c r="A145" s="5"/>
      <c r="B145" s="107"/>
      <c r="C145" s="5"/>
      <c r="D145" s="107"/>
      <c r="E145" s="107"/>
      <c r="F145" s="107"/>
      <c r="G145" s="107"/>
      <c r="H145" s="107"/>
      <c r="I145" s="107"/>
      <c r="J145" s="107"/>
      <c r="K145" s="107"/>
      <c r="L145" s="107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5">
      <c r="A146" s="5"/>
      <c r="B146" s="107"/>
      <c r="C146" s="5"/>
      <c r="D146" s="107"/>
      <c r="E146" s="107"/>
      <c r="F146" s="107"/>
      <c r="G146" s="107"/>
      <c r="H146" s="107"/>
      <c r="I146" s="107"/>
      <c r="J146" s="107"/>
      <c r="K146" s="107"/>
      <c r="L146" s="107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5">
      <c r="A147" s="5"/>
      <c r="B147" s="107"/>
      <c r="C147" s="5"/>
      <c r="D147" s="107"/>
      <c r="E147" s="107"/>
      <c r="F147" s="107"/>
      <c r="G147" s="107"/>
      <c r="H147" s="107"/>
      <c r="I147" s="107"/>
      <c r="J147" s="107"/>
      <c r="K147" s="107"/>
      <c r="L147" s="107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5">
      <c r="A148" s="5"/>
      <c r="B148" s="107"/>
      <c r="C148" s="5"/>
      <c r="D148" s="107"/>
      <c r="E148" s="107"/>
      <c r="F148" s="107"/>
      <c r="G148" s="107"/>
      <c r="H148" s="107"/>
      <c r="I148" s="107"/>
      <c r="J148" s="107"/>
      <c r="K148" s="107"/>
      <c r="L148" s="107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5">
      <c r="A149" s="5"/>
      <c r="B149" s="107"/>
      <c r="C149" s="5"/>
      <c r="D149" s="107"/>
      <c r="E149" s="107"/>
      <c r="F149" s="107"/>
      <c r="G149" s="107"/>
      <c r="H149" s="107"/>
      <c r="I149" s="107"/>
      <c r="J149" s="107"/>
      <c r="K149" s="107"/>
      <c r="L149" s="107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5">
      <c r="A150" s="5"/>
      <c r="B150" s="107"/>
      <c r="C150" s="5"/>
      <c r="D150" s="107"/>
      <c r="E150" s="107"/>
      <c r="F150" s="107"/>
      <c r="G150" s="107"/>
      <c r="H150" s="107"/>
      <c r="I150" s="107"/>
      <c r="J150" s="107"/>
      <c r="K150" s="107"/>
      <c r="L150" s="107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5">
      <c r="A151" s="5"/>
      <c r="B151" s="107"/>
      <c r="C151" s="5"/>
      <c r="D151" s="107"/>
      <c r="E151" s="107"/>
      <c r="F151" s="107"/>
      <c r="G151" s="107"/>
      <c r="H151" s="107"/>
      <c r="I151" s="107"/>
      <c r="J151" s="107"/>
      <c r="K151" s="107"/>
      <c r="L151" s="107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5">
      <c r="A152" s="5"/>
      <c r="B152" s="107"/>
      <c r="C152" s="5"/>
      <c r="D152" s="107"/>
      <c r="E152" s="107"/>
      <c r="F152" s="107"/>
      <c r="G152" s="107"/>
      <c r="H152" s="107"/>
      <c r="I152" s="107"/>
      <c r="J152" s="107"/>
      <c r="K152" s="107"/>
      <c r="L152" s="107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5">
      <c r="A153" s="5"/>
      <c r="B153" s="107"/>
      <c r="C153" s="5"/>
      <c r="D153" s="107"/>
      <c r="E153" s="107"/>
      <c r="F153" s="107"/>
      <c r="G153" s="107"/>
      <c r="H153" s="107"/>
      <c r="I153" s="107"/>
      <c r="J153" s="107"/>
      <c r="K153" s="107"/>
      <c r="L153" s="107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5">
      <c r="A154" s="5"/>
      <c r="B154" s="107"/>
      <c r="C154" s="5"/>
      <c r="D154" s="107"/>
      <c r="E154" s="107"/>
      <c r="F154" s="107"/>
      <c r="G154" s="107"/>
      <c r="H154" s="107"/>
      <c r="I154" s="107"/>
      <c r="J154" s="107"/>
      <c r="K154" s="107"/>
      <c r="L154" s="107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5">
      <c r="A155" s="5"/>
      <c r="B155" s="107"/>
      <c r="C155" s="5"/>
      <c r="D155" s="107"/>
      <c r="E155" s="107"/>
      <c r="F155" s="107"/>
      <c r="G155" s="107"/>
      <c r="H155" s="107"/>
      <c r="I155" s="107"/>
      <c r="J155" s="107"/>
      <c r="K155" s="107"/>
      <c r="L155" s="107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5">
      <c r="A156" s="5"/>
      <c r="B156" s="107"/>
      <c r="C156" s="5"/>
      <c r="D156" s="107"/>
      <c r="E156" s="107"/>
      <c r="F156" s="107"/>
      <c r="G156" s="107"/>
      <c r="H156" s="107"/>
      <c r="I156" s="107"/>
      <c r="J156" s="107"/>
      <c r="K156" s="107"/>
      <c r="L156" s="107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5">
      <c r="A157" s="5"/>
      <c r="B157" s="107"/>
      <c r="C157" s="5"/>
      <c r="D157" s="107"/>
      <c r="E157" s="107"/>
      <c r="F157" s="107"/>
      <c r="G157" s="107"/>
      <c r="H157" s="107"/>
      <c r="I157" s="107"/>
      <c r="J157" s="107"/>
      <c r="K157" s="107"/>
      <c r="L157" s="107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5">
      <c r="A158" s="5"/>
      <c r="B158" s="107"/>
      <c r="C158" s="5"/>
      <c r="D158" s="107"/>
      <c r="E158" s="107"/>
      <c r="F158" s="107"/>
      <c r="G158" s="107"/>
      <c r="H158" s="107"/>
      <c r="I158" s="107"/>
      <c r="J158" s="107"/>
      <c r="K158" s="107"/>
      <c r="L158" s="107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5">
      <c r="A159" s="5"/>
      <c r="B159" s="107"/>
      <c r="C159" s="5"/>
      <c r="D159" s="107"/>
      <c r="E159" s="107"/>
      <c r="F159" s="107"/>
      <c r="G159" s="107"/>
      <c r="H159" s="107"/>
      <c r="I159" s="107"/>
      <c r="J159" s="107"/>
      <c r="K159" s="107"/>
      <c r="L159" s="107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5">
      <c r="A160" s="5"/>
      <c r="B160" s="107"/>
      <c r="C160" s="5"/>
      <c r="D160" s="107"/>
      <c r="E160" s="107"/>
      <c r="F160" s="107"/>
      <c r="G160" s="107"/>
      <c r="H160" s="107"/>
      <c r="I160" s="107"/>
      <c r="J160" s="107"/>
      <c r="K160" s="107"/>
      <c r="L160" s="107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5">
      <c r="A161" s="5"/>
      <c r="B161" s="107"/>
      <c r="C161" s="5"/>
      <c r="D161" s="107"/>
      <c r="E161" s="107"/>
      <c r="F161" s="107"/>
      <c r="G161" s="107"/>
      <c r="H161" s="107"/>
      <c r="I161" s="107"/>
      <c r="J161" s="107"/>
      <c r="K161" s="107"/>
      <c r="L161" s="107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5">
      <c r="A162" s="5"/>
      <c r="B162" s="107"/>
      <c r="C162" s="5"/>
      <c r="D162" s="107"/>
      <c r="E162" s="107"/>
      <c r="F162" s="107"/>
      <c r="G162" s="107"/>
      <c r="H162" s="107"/>
      <c r="I162" s="107"/>
      <c r="J162" s="107"/>
      <c r="K162" s="107"/>
      <c r="L162" s="107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5">
      <c r="A163" s="5"/>
      <c r="B163" s="107"/>
      <c r="C163" s="5"/>
      <c r="D163" s="107"/>
      <c r="E163" s="107"/>
      <c r="F163" s="107"/>
      <c r="G163" s="107"/>
      <c r="H163" s="107"/>
      <c r="I163" s="107"/>
      <c r="J163" s="107"/>
      <c r="K163" s="107"/>
      <c r="L163" s="107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5">
      <c r="A164" s="5"/>
      <c r="B164" s="107"/>
      <c r="C164" s="5"/>
      <c r="D164" s="107"/>
      <c r="E164" s="107"/>
      <c r="F164" s="107"/>
      <c r="G164" s="107"/>
      <c r="H164" s="107"/>
      <c r="I164" s="107"/>
      <c r="J164" s="107"/>
      <c r="K164" s="107"/>
      <c r="L164" s="107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5">
      <c r="A165" s="5"/>
      <c r="B165" s="107"/>
      <c r="C165" s="5"/>
      <c r="D165" s="107"/>
      <c r="E165" s="107"/>
      <c r="F165" s="107"/>
      <c r="G165" s="107"/>
      <c r="H165" s="107"/>
      <c r="I165" s="107"/>
      <c r="J165" s="107"/>
      <c r="K165" s="107"/>
      <c r="L165" s="107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5">
      <c r="A166" s="5"/>
      <c r="B166" s="107"/>
      <c r="C166" s="5"/>
      <c r="D166" s="107"/>
      <c r="E166" s="107"/>
      <c r="F166" s="107"/>
      <c r="G166" s="107"/>
      <c r="H166" s="107"/>
      <c r="I166" s="107"/>
      <c r="J166" s="107"/>
      <c r="K166" s="107"/>
      <c r="L166" s="107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5">
      <c r="A167" s="5"/>
      <c r="B167" s="107"/>
      <c r="C167" s="5"/>
      <c r="D167" s="107"/>
      <c r="E167" s="107"/>
      <c r="F167" s="107"/>
      <c r="G167" s="107"/>
      <c r="H167" s="107"/>
      <c r="I167" s="107"/>
      <c r="J167" s="107"/>
      <c r="K167" s="107"/>
      <c r="L167" s="107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5">
      <c r="A168" s="5"/>
      <c r="B168" s="107"/>
      <c r="C168" s="5"/>
      <c r="D168" s="107"/>
      <c r="E168" s="107"/>
      <c r="F168" s="107"/>
      <c r="G168" s="107"/>
      <c r="H168" s="107"/>
      <c r="I168" s="107"/>
      <c r="J168" s="107"/>
      <c r="K168" s="107"/>
      <c r="L168" s="107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5">
      <c r="A169" s="5"/>
      <c r="B169" s="107"/>
      <c r="C169" s="5"/>
      <c r="D169" s="107"/>
      <c r="E169" s="107"/>
      <c r="F169" s="107"/>
      <c r="G169" s="107"/>
      <c r="H169" s="107"/>
      <c r="I169" s="107"/>
      <c r="J169" s="107"/>
      <c r="K169" s="107"/>
      <c r="L169" s="107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5">
      <c r="A170" s="5"/>
      <c r="B170" s="107"/>
      <c r="C170" s="5"/>
      <c r="D170" s="107"/>
      <c r="E170" s="107"/>
      <c r="F170" s="107"/>
      <c r="G170" s="107"/>
      <c r="H170" s="107"/>
      <c r="I170" s="107"/>
      <c r="J170" s="107"/>
      <c r="K170" s="107"/>
      <c r="L170" s="107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5">
      <c r="A171" s="5"/>
      <c r="B171" s="107"/>
      <c r="C171" s="5"/>
      <c r="D171" s="107"/>
      <c r="E171" s="107"/>
      <c r="F171" s="107"/>
      <c r="G171" s="107"/>
      <c r="H171" s="107"/>
      <c r="I171" s="107"/>
      <c r="J171" s="107"/>
      <c r="K171" s="107"/>
      <c r="L171" s="107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5">
      <c r="A172" s="5"/>
      <c r="B172" s="107"/>
      <c r="C172" s="5"/>
      <c r="D172" s="107"/>
      <c r="E172" s="107"/>
      <c r="F172" s="107"/>
      <c r="G172" s="107"/>
      <c r="H172" s="107"/>
      <c r="I172" s="107"/>
      <c r="J172" s="107"/>
      <c r="K172" s="107"/>
      <c r="L172" s="107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5">
      <c r="A173" s="5"/>
      <c r="B173" s="107"/>
      <c r="C173" s="5"/>
      <c r="D173" s="107"/>
      <c r="E173" s="107"/>
      <c r="F173" s="107"/>
      <c r="G173" s="107"/>
      <c r="H173" s="107"/>
      <c r="I173" s="107"/>
      <c r="J173" s="107"/>
      <c r="K173" s="107"/>
      <c r="L173" s="107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5">
      <c r="A174" s="5"/>
      <c r="B174" s="107"/>
      <c r="C174" s="5"/>
      <c r="D174" s="107"/>
      <c r="E174" s="107"/>
      <c r="F174" s="107"/>
      <c r="G174" s="107"/>
      <c r="H174" s="107"/>
      <c r="I174" s="107"/>
      <c r="J174" s="107"/>
      <c r="K174" s="107"/>
      <c r="L174" s="107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5">
      <c r="A175" s="5"/>
      <c r="B175" s="107"/>
      <c r="C175" s="5"/>
      <c r="D175" s="107"/>
      <c r="E175" s="107"/>
      <c r="F175" s="107"/>
      <c r="G175" s="107"/>
      <c r="H175" s="107"/>
      <c r="I175" s="107"/>
      <c r="J175" s="107"/>
      <c r="K175" s="107"/>
      <c r="L175" s="107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5">
      <c r="A176" s="5"/>
      <c r="B176" s="107"/>
      <c r="C176" s="5"/>
      <c r="D176" s="107"/>
      <c r="E176" s="107"/>
      <c r="F176" s="107"/>
      <c r="G176" s="107"/>
      <c r="H176" s="107"/>
      <c r="I176" s="107"/>
      <c r="J176" s="107"/>
      <c r="K176" s="107"/>
      <c r="L176" s="107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5">
      <c r="A177" s="5"/>
      <c r="B177" s="107"/>
      <c r="C177" s="5"/>
      <c r="D177" s="107"/>
      <c r="E177" s="107"/>
      <c r="F177" s="107"/>
      <c r="G177" s="107"/>
      <c r="H177" s="107"/>
      <c r="I177" s="107"/>
      <c r="J177" s="107"/>
      <c r="K177" s="107"/>
      <c r="L177" s="107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5">
      <c r="A178" s="5"/>
      <c r="B178" s="107"/>
      <c r="C178" s="5"/>
      <c r="D178" s="107"/>
      <c r="E178" s="107"/>
      <c r="F178" s="107"/>
      <c r="G178" s="107"/>
      <c r="H178" s="107"/>
      <c r="I178" s="107"/>
      <c r="J178" s="107"/>
      <c r="K178" s="107"/>
      <c r="L178" s="107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5">
      <c r="A179" s="5"/>
      <c r="B179" s="107"/>
      <c r="C179" s="5"/>
      <c r="D179" s="107"/>
      <c r="E179" s="107"/>
      <c r="F179" s="107"/>
      <c r="G179" s="107"/>
      <c r="H179" s="107"/>
      <c r="I179" s="107"/>
      <c r="J179" s="107"/>
      <c r="K179" s="107"/>
      <c r="L179" s="107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5">
      <c r="A180" s="5"/>
      <c r="B180" s="107"/>
      <c r="C180" s="5"/>
      <c r="D180" s="107"/>
      <c r="E180" s="107"/>
      <c r="F180" s="107"/>
      <c r="G180" s="107"/>
      <c r="H180" s="107"/>
      <c r="I180" s="107"/>
      <c r="J180" s="107"/>
      <c r="K180" s="107"/>
      <c r="L180" s="107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5">
      <c r="A181" s="5"/>
      <c r="B181" s="107"/>
      <c r="C181" s="5"/>
      <c r="D181" s="107"/>
      <c r="E181" s="107"/>
      <c r="F181" s="107"/>
      <c r="G181" s="107"/>
      <c r="H181" s="107"/>
      <c r="I181" s="107"/>
      <c r="J181" s="107"/>
      <c r="K181" s="107"/>
      <c r="L181" s="107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5">
      <c r="A182" s="5"/>
      <c r="B182" s="107"/>
      <c r="C182" s="5"/>
      <c r="D182" s="107"/>
      <c r="E182" s="107"/>
      <c r="F182" s="107"/>
      <c r="G182" s="107"/>
      <c r="H182" s="107"/>
      <c r="I182" s="107"/>
      <c r="J182" s="107"/>
      <c r="K182" s="107"/>
      <c r="L182" s="107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5">
      <c r="A183" s="5"/>
      <c r="B183" s="107"/>
      <c r="C183" s="5"/>
      <c r="D183" s="107"/>
      <c r="E183" s="107"/>
      <c r="F183" s="107"/>
      <c r="G183" s="107"/>
      <c r="H183" s="107"/>
      <c r="I183" s="107"/>
      <c r="J183" s="107"/>
      <c r="K183" s="107"/>
      <c r="L183" s="107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5">
      <c r="A184" s="5"/>
      <c r="B184" s="107"/>
      <c r="C184" s="5"/>
      <c r="D184" s="107"/>
      <c r="E184" s="107"/>
      <c r="F184" s="107"/>
      <c r="G184" s="107"/>
      <c r="H184" s="107"/>
      <c r="I184" s="107"/>
      <c r="J184" s="107"/>
      <c r="K184" s="107"/>
      <c r="L184" s="107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5">
      <c r="A185" s="5"/>
      <c r="B185" s="107"/>
      <c r="C185" s="5"/>
      <c r="D185" s="107"/>
      <c r="E185" s="107"/>
      <c r="F185" s="107"/>
      <c r="G185" s="107"/>
      <c r="H185" s="107"/>
      <c r="I185" s="107"/>
      <c r="J185" s="107"/>
      <c r="K185" s="107"/>
      <c r="L185" s="107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5">
      <c r="A186" s="5"/>
      <c r="B186" s="107"/>
      <c r="C186" s="5"/>
      <c r="D186" s="107"/>
      <c r="E186" s="107"/>
      <c r="F186" s="107"/>
      <c r="G186" s="107"/>
      <c r="H186" s="107"/>
      <c r="I186" s="107"/>
      <c r="J186" s="107"/>
      <c r="K186" s="107"/>
      <c r="L186" s="107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5">
      <c r="A187" s="5"/>
      <c r="B187" s="107"/>
      <c r="C187" s="5"/>
      <c r="D187" s="107"/>
      <c r="E187" s="107"/>
      <c r="F187" s="107"/>
      <c r="G187" s="107"/>
      <c r="H187" s="107"/>
      <c r="I187" s="107"/>
      <c r="J187" s="107"/>
      <c r="K187" s="107"/>
      <c r="L187" s="107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5">
      <c r="A188" s="5"/>
      <c r="B188" s="107"/>
      <c r="C188" s="5"/>
      <c r="D188" s="107"/>
      <c r="E188" s="107"/>
      <c r="F188" s="107"/>
      <c r="G188" s="107"/>
      <c r="H188" s="107"/>
      <c r="I188" s="107"/>
      <c r="J188" s="107"/>
      <c r="K188" s="107"/>
      <c r="L188" s="107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5">
      <c r="A189" s="5"/>
      <c r="B189" s="107"/>
      <c r="C189" s="5"/>
      <c r="D189" s="107"/>
      <c r="E189" s="107"/>
      <c r="F189" s="107"/>
      <c r="G189" s="107"/>
      <c r="H189" s="107"/>
      <c r="I189" s="107"/>
      <c r="J189" s="107"/>
      <c r="K189" s="107"/>
      <c r="L189" s="107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5">
      <c r="A190" s="5"/>
      <c r="B190" s="107"/>
      <c r="C190" s="5"/>
      <c r="D190" s="107"/>
      <c r="E190" s="107"/>
      <c r="F190" s="107"/>
      <c r="G190" s="107"/>
      <c r="H190" s="107"/>
      <c r="I190" s="107"/>
      <c r="J190" s="107"/>
      <c r="K190" s="107"/>
      <c r="L190" s="107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5">
      <c r="A191" s="5"/>
      <c r="B191" s="107"/>
      <c r="C191" s="5"/>
      <c r="D191" s="107"/>
      <c r="E191" s="107"/>
      <c r="F191" s="107"/>
      <c r="G191" s="107"/>
      <c r="H191" s="107"/>
      <c r="I191" s="107"/>
      <c r="J191" s="107"/>
      <c r="K191" s="107"/>
      <c r="L191" s="107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5">
      <c r="A192" s="5"/>
      <c r="B192" s="107"/>
      <c r="C192" s="5"/>
      <c r="D192" s="107"/>
      <c r="E192" s="107"/>
      <c r="F192" s="107"/>
      <c r="G192" s="107"/>
      <c r="H192" s="107"/>
      <c r="I192" s="107"/>
      <c r="J192" s="107"/>
      <c r="K192" s="107"/>
      <c r="L192" s="107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5">
      <c r="A193" s="5"/>
      <c r="B193" s="107"/>
      <c r="C193" s="5"/>
      <c r="D193" s="107"/>
      <c r="E193" s="107"/>
      <c r="F193" s="107"/>
      <c r="G193" s="107"/>
      <c r="H193" s="107"/>
      <c r="I193" s="107"/>
      <c r="J193" s="107"/>
      <c r="K193" s="107"/>
      <c r="L193" s="107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5">
      <c r="A194" s="5"/>
      <c r="B194" s="107"/>
      <c r="C194" s="5"/>
      <c r="D194" s="107"/>
      <c r="E194" s="107"/>
      <c r="F194" s="107"/>
      <c r="G194" s="107"/>
      <c r="H194" s="107"/>
      <c r="I194" s="107"/>
      <c r="J194" s="107"/>
      <c r="K194" s="107"/>
      <c r="L194" s="107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5">
      <c r="A195" s="5"/>
      <c r="B195" s="107"/>
      <c r="C195" s="5"/>
      <c r="D195" s="107"/>
      <c r="E195" s="107"/>
      <c r="F195" s="107"/>
      <c r="G195" s="107"/>
      <c r="H195" s="107"/>
      <c r="I195" s="107"/>
      <c r="J195" s="107"/>
      <c r="K195" s="107"/>
      <c r="L195" s="107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5">
      <c r="A196" s="5"/>
      <c r="B196" s="107"/>
      <c r="C196" s="5"/>
      <c r="D196" s="107"/>
      <c r="E196" s="107"/>
      <c r="F196" s="107"/>
      <c r="G196" s="107"/>
      <c r="H196" s="107"/>
      <c r="I196" s="107"/>
      <c r="J196" s="107"/>
      <c r="K196" s="107"/>
      <c r="L196" s="107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5">
      <c r="A197" s="5"/>
      <c r="B197" s="107"/>
      <c r="C197" s="5"/>
      <c r="D197" s="107"/>
      <c r="E197" s="107"/>
      <c r="F197" s="107"/>
      <c r="G197" s="107"/>
      <c r="H197" s="107"/>
      <c r="I197" s="107"/>
      <c r="J197" s="107"/>
      <c r="K197" s="107"/>
      <c r="L197" s="107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5">
      <c r="A198" s="5"/>
      <c r="B198" s="107"/>
      <c r="C198" s="5"/>
      <c r="D198" s="107"/>
      <c r="E198" s="107"/>
      <c r="F198" s="107"/>
      <c r="G198" s="107"/>
      <c r="H198" s="107"/>
      <c r="I198" s="107"/>
      <c r="J198" s="107"/>
      <c r="K198" s="107"/>
      <c r="L198" s="107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5">
      <c r="A199" s="5"/>
      <c r="B199" s="107"/>
      <c r="C199" s="5"/>
      <c r="D199" s="107"/>
      <c r="E199" s="107"/>
      <c r="F199" s="107"/>
      <c r="G199" s="107"/>
      <c r="H199" s="107"/>
      <c r="I199" s="107"/>
      <c r="J199" s="107"/>
      <c r="K199" s="107"/>
      <c r="L199" s="107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5">
      <c r="A200" s="5"/>
      <c r="B200" s="107"/>
      <c r="C200" s="5"/>
      <c r="D200" s="107"/>
      <c r="E200" s="107"/>
      <c r="F200" s="107"/>
      <c r="G200" s="107"/>
      <c r="H200" s="107"/>
      <c r="I200" s="107"/>
      <c r="J200" s="107"/>
      <c r="K200" s="107"/>
      <c r="L200" s="107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5">
      <c r="A201" s="5"/>
      <c r="B201" s="107"/>
      <c r="C201" s="5"/>
      <c r="D201" s="107"/>
      <c r="E201" s="107"/>
      <c r="F201" s="107"/>
      <c r="G201" s="107"/>
      <c r="H201" s="107"/>
      <c r="I201" s="107"/>
      <c r="J201" s="107"/>
      <c r="K201" s="107"/>
      <c r="L201" s="107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5">
      <c r="A202" s="5"/>
      <c r="B202" s="107"/>
      <c r="C202" s="5"/>
      <c r="D202" s="107"/>
      <c r="E202" s="107"/>
      <c r="F202" s="107"/>
      <c r="G202" s="107"/>
      <c r="H202" s="107"/>
      <c r="I202" s="107"/>
      <c r="J202" s="107"/>
      <c r="K202" s="107"/>
      <c r="L202" s="107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5">
      <c r="A203" s="5"/>
      <c r="B203" s="107"/>
      <c r="C203" s="5"/>
      <c r="D203" s="107"/>
      <c r="E203" s="107"/>
      <c r="F203" s="107"/>
      <c r="G203" s="107"/>
      <c r="H203" s="107"/>
      <c r="I203" s="107"/>
      <c r="J203" s="107"/>
      <c r="K203" s="107"/>
      <c r="L203" s="107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5">
      <c r="A204" s="5"/>
      <c r="B204" s="107"/>
      <c r="C204" s="5"/>
      <c r="D204" s="107"/>
      <c r="E204" s="107"/>
      <c r="F204" s="107"/>
      <c r="G204" s="107"/>
      <c r="H204" s="107"/>
      <c r="I204" s="107"/>
      <c r="J204" s="107"/>
      <c r="K204" s="107"/>
      <c r="L204" s="107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5">
      <c r="A205" s="5"/>
      <c r="B205" s="107"/>
      <c r="C205" s="5"/>
      <c r="D205" s="107"/>
      <c r="E205" s="107"/>
      <c r="F205" s="107"/>
      <c r="G205" s="107"/>
      <c r="H205" s="107"/>
      <c r="I205" s="107"/>
      <c r="J205" s="107"/>
      <c r="K205" s="107"/>
      <c r="L205" s="107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5">
      <c r="A206" s="5"/>
      <c r="B206" s="107"/>
      <c r="C206" s="5"/>
      <c r="D206" s="107"/>
      <c r="E206" s="107"/>
      <c r="F206" s="107"/>
      <c r="G206" s="107"/>
      <c r="H206" s="107"/>
      <c r="I206" s="107"/>
      <c r="J206" s="107"/>
      <c r="K206" s="107"/>
      <c r="L206" s="107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5">
      <c r="A207" s="5"/>
      <c r="B207" s="107"/>
      <c r="C207" s="5"/>
      <c r="D207" s="107"/>
      <c r="E207" s="107"/>
      <c r="F207" s="107"/>
      <c r="G207" s="107"/>
      <c r="H207" s="107"/>
      <c r="I207" s="107"/>
      <c r="J207" s="107"/>
      <c r="K207" s="107"/>
      <c r="L207" s="107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5">
      <c r="A208" s="5"/>
      <c r="B208" s="107"/>
      <c r="C208" s="5"/>
      <c r="D208" s="107"/>
      <c r="E208" s="107"/>
      <c r="F208" s="107"/>
      <c r="G208" s="107"/>
      <c r="H208" s="107"/>
      <c r="I208" s="107"/>
      <c r="J208" s="107"/>
      <c r="K208" s="107"/>
      <c r="L208" s="107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5">
      <c r="A209" s="5"/>
      <c r="B209" s="107"/>
      <c r="C209" s="5"/>
      <c r="D209" s="107"/>
      <c r="E209" s="107"/>
      <c r="F209" s="107"/>
      <c r="G209" s="107"/>
      <c r="H209" s="107"/>
      <c r="I209" s="107"/>
      <c r="J209" s="107"/>
      <c r="K209" s="107"/>
      <c r="L209" s="107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5">
      <c r="A210" s="5"/>
      <c r="B210" s="107"/>
      <c r="C210" s="5"/>
      <c r="D210" s="107"/>
      <c r="E210" s="107"/>
      <c r="F210" s="107"/>
      <c r="G210" s="107"/>
      <c r="H210" s="107"/>
      <c r="I210" s="107"/>
      <c r="J210" s="107"/>
      <c r="K210" s="107"/>
      <c r="L210" s="107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5">
      <c r="A211" s="5"/>
      <c r="B211" s="107"/>
      <c r="C211" s="5"/>
      <c r="D211" s="107"/>
      <c r="E211" s="107"/>
      <c r="F211" s="107"/>
      <c r="G211" s="107"/>
      <c r="H211" s="107"/>
      <c r="I211" s="107"/>
      <c r="J211" s="107"/>
      <c r="K211" s="107"/>
      <c r="L211" s="107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5">
      <c r="A212" s="5"/>
      <c r="B212" s="107"/>
      <c r="C212" s="5"/>
      <c r="D212" s="107"/>
      <c r="E212" s="107"/>
      <c r="F212" s="107"/>
      <c r="G212" s="107"/>
      <c r="H212" s="107"/>
      <c r="I212" s="107"/>
      <c r="J212" s="107"/>
      <c r="K212" s="107"/>
      <c r="L212" s="107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5">
      <c r="A213" s="5"/>
      <c r="B213" s="107"/>
      <c r="C213" s="5"/>
      <c r="D213" s="107"/>
      <c r="E213" s="107"/>
      <c r="F213" s="107"/>
      <c r="G213" s="107"/>
      <c r="H213" s="107"/>
      <c r="I213" s="107"/>
      <c r="J213" s="107"/>
      <c r="K213" s="107"/>
      <c r="L213" s="107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5">
      <c r="A214" s="5"/>
      <c r="B214" s="107"/>
      <c r="C214" s="5"/>
      <c r="D214" s="107"/>
      <c r="E214" s="107"/>
      <c r="F214" s="107"/>
      <c r="G214" s="107"/>
      <c r="H214" s="107"/>
      <c r="I214" s="107"/>
      <c r="J214" s="107"/>
      <c r="K214" s="107"/>
      <c r="L214" s="107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5">
      <c r="A215" s="5"/>
      <c r="B215" s="107"/>
      <c r="C215" s="5"/>
      <c r="D215" s="107"/>
      <c r="E215" s="107"/>
      <c r="F215" s="107"/>
      <c r="G215" s="107"/>
      <c r="H215" s="107"/>
      <c r="I215" s="107"/>
      <c r="J215" s="107"/>
      <c r="K215" s="107"/>
      <c r="L215" s="107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5">
      <c r="A216" s="5"/>
      <c r="B216" s="107"/>
      <c r="C216" s="5"/>
      <c r="D216" s="107"/>
      <c r="E216" s="107"/>
      <c r="F216" s="107"/>
      <c r="G216" s="107"/>
      <c r="H216" s="107"/>
      <c r="I216" s="107"/>
      <c r="J216" s="107"/>
      <c r="K216" s="107"/>
      <c r="L216" s="107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5">
      <c r="A217" s="5"/>
      <c r="B217" s="107"/>
      <c r="C217" s="5"/>
      <c r="D217" s="107"/>
      <c r="E217" s="107"/>
      <c r="F217" s="107"/>
      <c r="G217" s="107"/>
      <c r="H217" s="107"/>
      <c r="I217" s="107"/>
      <c r="J217" s="107"/>
      <c r="K217" s="107"/>
      <c r="L217" s="107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5"/>
    <row r="268" spans="1:26" ht="15.75" customHeight="1" x14ac:dyDescent="0.25"/>
    <row r="269" spans="1:26" ht="15.75" customHeight="1" x14ac:dyDescent="0.25"/>
    <row r="270" spans="1:26" ht="15.75" customHeight="1" x14ac:dyDescent="0.25"/>
    <row r="271" spans="1:26" ht="15.75" customHeight="1" x14ac:dyDescent="0.25"/>
    <row r="272" spans="1:26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D1:L1"/>
  </mergeCells>
  <pageMargins left="0.7" right="0.7" top="0.75" bottom="0.75" header="0" footer="0"/>
  <pageSetup orientation="landscape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A9999"/>
  </sheetPr>
  <dimension ref="A1:Z999"/>
  <sheetViews>
    <sheetView topLeftCell="A3" workbookViewId="0">
      <selection activeCell="K16" sqref="K16"/>
    </sheetView>
  </sheetViews>
  <sheetFormatPr defaultColWidth="11.125" defaultRowHeight="15" customHeight="1" x14ac:dyDescent="0.25"/>
  <cols>
    <col min="1" max="1" width="8.625" customWidth="1"/>
    <col min="2" max="2" width="53" customWidth="1"/>
    <col min="3" max="3" width="11.625" customWidth="1"/>
    <col min="4" max="4" width="7.5" customWidth="1"/>
    <col min="5" max="5" width="8.625" customWidth="1"/>
    <col min="6" max="7" width="11.625" customWidth="1"/>
    <col min="8" max="8" width="12" bestFit="1" customWidth="1"/>
    <col min="9" max="9" width="12.625" customWidth="1"/>
    <col min="10" max="10" width="11" bestFit="1" customWidth="1"/>
    <col min="11" max="11" width="11.625" customWidth="1"/>
    <col min="12" max="12" width="11" customWidth="1"/>
    <col min="13" max="19" width="8.375" customWidth="1"/>
    <col min="20" max="26" width="11.125" customWidth="1"/>
  </cols>
  <sheetData>
    <row r="1" spans="1:26" ht="18" customHeight="1" x14ac:dyDescent="0.25">
      <c r="A1" s="1"/>
      <c r="B1" s="3"/>
      <c r="C1" s="1"/>
      <c r="D1" s="165">
        <v>2026</v>
      </c>
      <c r="E1" s="164"/>
      <c r="F1" s="164"/>
      <c r="G1" s="164"/>
      <c r="H1" s="164"/>
      <c r="I1" s="164"/>
      <c r="J1" s="164"/>
      <c r="K1" s="164"/>
      <c r="L1" s="164"/>
      <c r="M1" s="167">
        <v>2027</v>
      </c>
      <c r="N1" s="164"/>
      <c r="O1" s="164"/>
      <c r="P1" s="164"/>
      <c r="Q1" s="164"/>
      <c r="R1" s="164"/>
      <c r="S1" s="8"/>
      <c r="T1" s="5"/>
      <c r="U1" s="5"/>
      <c r="V1" s="5"/>
      <c r="W1" s="5"/>
      <c r="X1" s="5"/>
      <c r="Y1" s="5"/>
      <c r="Z1" s="5"/>
    </row>
    <row r="2" spans="1:26" ht="15.75" customHeight="1" x14ac:dyDescent="0.25">
      <c r="A2" s="10" t="s">
        <v>63</v>
      </c>
      <c r="B2" s="3"/>
      <c r="C2" s="1"/>
      <c r="D2" s="12" t="s">
        <v>1</v>
      </c>
      <c r="E2" s="12" t="s">
        <v>2</v>
      </c>
      <c r="F2" s="12" t="s">
        <v>3</v>
      </c>
      <c r="G2" s="12" t="s">
        <v>4</v>
      </c>
      <c r="H2" s="12" t="s">
        <v>5</v>
      </c>
      <c r="I2" s="12" t="s">
        <v>6</v>
      </c>
      <c r="J2" s="12" t="s">
        <v>7</v>
      </c>
      <c r="K2" s="12" t="s">
        <v>8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</v>
      </c>
      <c r="Q2" s="12" t="s">
        <v>2</v>
      </c>
      <c r="R2" s="12" t="s">
        <v>3</v>
      </c>
      <c r="S2" s="8"/>
      <c r="T2" s="5"/>
      <c r="U2" s="5"/>
      <c r="V2" s="5"/>
      <c r="W2" s="5"/>
      <c r="X2" s="5"/>
      <c r="Y2" s="5"/>
      <c r="Z2" s="5"/>
    </row>
    <row r="3" spans="1:26" ht="16.5" customHeight="1" thickBot="1" x14ac:dyDescent="0.3">
      <c r="A3" s="17"/>
      <c r="B3" s="19" t="s">
        <v>239</v>
      </c>
      <c r="C3" s="19">
        <f t="shared" ref="C3:C34" si="0">SUM(D3:L3)</f>
        <v>44336.34</v>
      </c>
      <c r="D3" s="24">
        <f t="shared" ref="D3:R3" si="1">SUM(D4:D133)</f>
        <v>0</v>
      </c>
      <c r="E3" s="24">
        <f t="shared" si="1"/>
        <v>0</v>
      </c>
      <c r="F3" s="24">
        <f t="shared" si="1"/>
        <v>0</v>
      </c>
      <c r="G3" s="24">
        <f t="shared" si="1"/>
        <v>3731.7</v>
      </c>
      <c r="H3" s="24">
        <f t="shared" si="1"/>
        <v>13534.88</v>
      </c>
      <c r="I3" s="24">
        <f t="shared" si="1"/>
        <v>6767.44</v>
      </c>
      <c r="J3" s="24">
        <f t="shared" si="1"/>
        <v>6767.44</v>
      </c>
      <c r="K3" s="24">
        <f t="shared" si="1"/>
        <v>6767.44</v>
      </c>
      <c r="L3" s="24">
        <f t="shared" si="1"/>
        <v>6767.44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7"/>
      <c r="T3" s="5"/>
      <c r="U3" s="5"/>
      <c r="V3" s="5"/>
      <c r="W3" s="5"/>
      <c r="X3" s="5"/>
      <c r="Y3" s="5"/>
      <c r="Z3" s="5"/>
    </row>
    <row r="4" spans="1:26" ht="15.75" customHeight="1" thickTop="1" x14ac:dyDescent="0.25">
      <c r="A4" s="32">
        <v>650107</v>
      </c>
      <c r="B4" s="123" t="s">
        <v>240</v>
      </c>
      <c r="C4" s="45">
        <f t="shared" si="0"/>
        <v>40604.639999999999</v>
      </c>
      <c r="D4" s="47"/>
      <c r="E4" s="47"/>
      <c r="F4" s="47"/>
      <c r="G4" s="47"/>
      <c r="H4" s="47">
        <v>13534.88</v>
      </c>
      <c r="I4" s="47">
        <v>6767.44</v>
      </c>
      <c r="J4" s="47">
        <v>6767.44</v>
      </c>
      <c r="K4" s="47">
        <v>6767.44</v>
      </c>
      <c r="L4" s="47">
        <v>6767.44</v>
      </c>
      <c r="M4" s="47"/>
      <c r="N4" s="47"/>
      <c r="O4" s="47"/>
      <c r="P4" s="47"/>
      <c r="Q4" s="47"/>
      <c r="R4" s="47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25">
      <c r="A5" s="32">
        <v>1080</v>
      </c>
      <c r="B5" s="60" t="s">
        <v>241</v>
      </c>
      <c r="C5" s="45">
        <f t="shared" si="0"/>
        <v>0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5">
      <c r="A6" s="32">
        <v>795</v>
      </c>
      <c r="B6" s="60" t="s">
        <v>242</v>
      </c>
      <c r="C6" s="45">
        <f t="shared" si="0"/>
        <v>0</v>
      </c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5">
      <c r="A7" s="32">
        <v>1625</v>
      </c>
      <c r="B7" s="60" t="s">
        <v>243</v>
      </c>
      <c r="C7" s="45">
        <f t="shared" si="0"/>
        <v>0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5">
      <c r="A8" s="32">
        <v>127</v>
      </c>
      <c r="B8" s="60" t="s">
        <v>244</v>
      </c>
      <c r="C8" s="45">
        <f t="shared" si="0"/>
        <v>0</v>
      </c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5">
      <c r="A9" s="32">
        <v>647</v>
      </c>
      <c r="B9" s="60" t="s">
        <v>245</v>
      </c>
      <c r="C9" s="45">
        <f t="shared" si="0"/>
        <v>0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5">
      <c r="A10" s="32">
        <v>1629</v>
      </c>
      <c r="B10" s="60" t="s">
        <v>246</v>
      </c>
      <c r="C10" s="45">
        <f t="shared" si="0"/>
        <v>1650</v>
      </c>
      <c r="D10" s="47"/>
      <c r="E10" s="47"/>
      <c r="F10" s="47"/>
      <c r="G10" s="47">
        <v>1650</v>
      </c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5">
      <c r="A11" s="32">
        <v>1626</v>
      </c>
      <c r="B11" s="60" t="s">
        <v>247</v>
      </c>
      <c r="C11" s="45">
        <f t="shared" si="0"/>
        <v>0</v>
      </c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5">
      <c r="A12" s="32">
        <v>1638</v>
      </c>
      <c r="B12" s="60" t="s">
        <v>248</v>
      </c>
      <c r="C12" s="45">
        <f t="shared" si="0"/>
        <v>0</v>
      </c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5">
      <c r="A13" s="32">
        <v>1646</v>
      </c>
      <c r="B13" s="60" t="s">
        <v>249</v>
      </c>
      <c r="C13" s="45">
        <f t="shared" si="0"/>
        <v>0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5">
      <c r="A14" s="32">
        <v>1647</v>
      </c>
      <c r="B14" s="60" t="s">
        <v>250</v>
      </c>
      <c r="C14" s="45">
        <f t="shared" si="0"/>
        <v>0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5">
      <c r="A15" s="32">
        <v>179</v>
      </c>
      <c r="B15" s="60" t="s">
        <v>251</v>
      </c>
      <c r="C15" s="45">
        <f t="shared" si="0"/>
        <v>0</v>
      </c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5">
      <c r="A16" s="32">
        <v>744</v>
      </c>
      <c r="B16" s="60" t="s">
        <v>252</v>
      </c>
      <c r="C16" s="45">
        <f t="shared" si="0"/>
        <v>0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5">
      <c r="A17" s="32">
        <v>1036</v>
      </c>
      <c r="B17" s="60" t="s">
        <v>253</v>
      </c>
      <c r="C17" s="45">
        <f t="shared" si="0"/>
        <v>0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5">
      <c r="A18" s="32">
        <v>70</v>
      </c>
      <c r="B18" s="60" t="s">
        <v>254</v>
      </c>
      <c r="C18" s="45">
        <f t="shared" si="0"/>
        <v>0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5">
      <c r="A19" s="32">
        <v>1696</v>
      </c>
      <c r="B19" s="60" t="s">
        <v>255</v>
      </c>
      <c r="C19" s="45">
        <f t="shared" si="0"/>
        <v>0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5">
      <c r="A20" s="32">
        <v>170</v>
      </c>
      <c r="B20" s="60" t="s">
        <v>256</v>
      </c>
      <c r="C20" s="45">
        <f t="shared" si="0"/>
        <v>0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5">
      <c r="A21" s="32">
        <v>109</v>
      </c>
      <c r="B21" s="60" t="s">
        <v>257</v>
      </c>
      <c r="C21" s="45">
        <f t="shared" si="0"/>
        <v>0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5">
      <c r="A22" s="32">
        <v>123</v>
      </c>
      <c r="B22" s="60" t="s">
        <v>258</v>
      </c>
      <c r="C22" s="45">
        <f t="shared" si="0"/>
        <v>0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5">
      <c r="A23" s="32">
        <v>1183</v>
      </c>
      <c r="B23" s="60" t="s">
        <v>259</v>
      </c>
      <c r="C23" s="45">
        <f t="shared" si="0"/>
        <v>0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5">
      <c r="A24" s="32">
        <v>618</v>
      </c>
      <c r="B24" s="60" t="s">
        <v>260</v>
      </c>
      <c r="C24" s="45">
        <f t="shared" si="0"/>
        <v>0</v>
      </c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5">
      <c r="A25" s="32">
        <v>1724</v>
      </c>
      <c r="B25" s="60" t="s">
        <v>261</v>
      </c>
      <c r="C25" s="45">
        <f t="shared" si="0"/>
        <v>0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5">
      <c r="A26" s="32">
        <v>1748</v>
      </c>
      <c r="B26" s="60" t="s">
        <v>262</v>
      </c>
      <c r="C26" s="45">
        <f t="shared" si="0"/>
        <v>0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5">
      <c r="A27" s="32">
        <v>1773</v>
      </c>
      <c r="B27" s="60" t="s">
        <v>263</v>
      </c>
      <c r="C27" s="45">
        <f t="shared" si="0"/>
        <v>0</v>
      </c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5">
      <c r="A28" s="32">
        <v>1768</v>
      </c>
      <c r="B28" s="60" t="s">
        <v>264</v>
      </c>
      <c r="C28" s="45">
        <f t="shared" si="0"/>
        <v>599.5</v>
      </c>
      <c r="D28" s="47"/>
      <c r="E28" s="47"/>
      <c r="F28" s="47"/>
      <c r="G28" s="47">
        <v>599.5</v>
      </c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5">
      <c r="A29" s="32">
        <v>231</v>
      </c>
      <c r="B29" s="60" t="s">
        <v>265</v>
      </c>
      <c r="C29" s="45">
        <f t="shared" si="0"/>
        <v>0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5">
      <c r="A30" s="32">
        <v>1752</v>
      </c>
      <c r="B30" s="60" t="s">
        <v>266</v>
      </c>
      <c r="C30" s="45">
        <f t="shared" si="0"/>
        <v>0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5">
      <c r="A31" s="32">
        <v>1202</v>
      </c>
      <c r="B31" s="60" t="s">
        <v>267</v>
      </c>
      <c r="C31" s="45">
        <f t="shared" si="0"/>
        <v>782.2</v>
      </c>
      <c r="D31" s="47"/>
      <c r="E31" s="47"/>
      <c r="F31" s="47"/>
      <c r="G31" s="47">
        <v>782.2</v>
      </c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5">
      <c r="A32" s="32">
        <v>1772</v>
      </c>
      <c r="B32" s="60" t="s">
        <v>268</v>
      </c>
      <c r="C32" s="45">
        <f t="shared" si="0"/>
        <v>0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5">
      <c r="A33" s="32">
        <v>797</v>
      </c>
      <c r="B33" s="60" t="s">
        <v>269</v>
      </c>
      <c r="C33" s="45">
        <f t="shared" si="0"/>
        <v>0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5">
      <c r="A34" s="32">
        <v>980</v>
      </c>
      <c r="B34" s="60" t="s">
        <v>270</v>
      </c>
      <c r="C34" s="45">
        <f t="shared" si="0"/>
        <v>0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5">
      <c r="A35" s="32">
        <v>1298</v>
      </c>
      <c r="B35" s="60" t="s">
        <v>87</v>
      </c>
      <c r="C35" s="45">
        <f t="shared" ref="C35:C66" si="2">SUM(D35:L35)</f>
        <v>700</v>
      </c>
      <c r="D35" s="47"/>
      <c r="E35" s="47"/>
      <c r="F35" s="47"/>
      <c r="G35" s="47">
        <v>700</v>
      </c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5">
      <c r="A36" s="32"/>
      <c r="B36" s="60"/>
      <c r="C36" s="45">
        <f t="shared" si="2"/>
        <v>0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5">
      <c r="A37" s="32"/>
      <c r="B37" s="60"/>
      <c r="C37" s="45">
        <f t="shared" si="2"/>
        <v>0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5">
      <c r="A38" s="32"/>
      <c r="B38" s="60"/>
      <c r="C38" s="45">
        <f t="shared" si="2"/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5">
      <c r="A39" s="32"/>
      <c r="B39" s="60"/>
      <c r="C39" s="45">
        <f t="shared" si="2"/>
        <v>0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5">
      <c r="A40" s="32"/>
      <c r="B40" s="60"/>
      <c r="C40" s="45">
        <f t="shared" si="2"/>
        <v>0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5">
      <c r="A41" s="32"/>
      <c r="B41" s="60"/>
      <c r="C41" s="45">
        <f t="shared" si="2"/>
        <v>0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5">
      <c r="A42" s="32"/>
      <c r="B42" s="60"/>
      <c r="C42" s="45">
        <f t="shared" si="2"/>
        <v>0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5">
      <c r="A43" s="32"/>
      <c r="B43" s="60"/>
      <c r="C43" s="45">
        <f t="shared" si="2"/>
        <v>0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5">
      <c r="A44" s="32"/>
      <c r="B44" s="60"/>
      <c r="C44" s="45">
        <f t="shared" si="2"/>
        <v>0</v>
      </c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5">
      <c r="A45" s="32"/>
      <c r="B45" s="60"/>
      <c r="C45" s="45">
        <f t="shared" si="2"/>
        <v>0</v>
      </c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5">
      <c r="A46" s="32"/>
      <c r="B46" s="60"/>
      <c r="C46" s="45">
        <f t="shared" si="2"/>
        <v>0</v>
      </c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5">
      <c r="A47" s="32"/>
      <c r="B47" s="60"/>
      <c r="C47" s="45">
        <f t="shared" si="2"/>
        <v>0</v>
      </c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5">
      <c r="A48" s="32"/>
      <c r="B48" s="60"/>
      <c r="C48" s="45">
        <f t="shared" si="2"/>
        <v>0</v>
      </c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5">
      <c r="A49" s="32"/>
      <c r="B49" s="60"/>
      <c r="C49" s="45">
        <f t="shared" si="2"/>
        <v>0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5">
      <c r="A50" s="32"/>
      <c r="B50" s="60"/>
      <c r="C50" s="45">
        <f t="shared" si="2"/>
        <v>0</v>
      </c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5">
      <c r="A51" s="32"/>
      <c r="B51" s="60"/>
      <c r="C51" s="45">
        <f t="shared" si="2"/>
        <v>0</v>
      </c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5">
      <c r="A52" s="32"/>
      <c r="B52" s="60"/>
      <c r="C52" s="45">
        <f t="shared" si="2"/>
        <v>0</v>
      </c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5">
      <c r="A53" s="32"/>
      <c r="B53" s="60"/>
      <c r="C53" s="45">
        <f t="shared" si="2"/>
        <v>0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5">
      <c r="A54" s="32"/>
      <c r="B54" s="60"/>
      <c r="C54" s="45">
        <f t="shared" si="2"/>
        <v>0</v>
      </c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5">
      <c r="A55" s="32"/>
      <c r="B55" s="60"/>
      <c r="C55" s="45">
        <f t="shared" si="2"/>
        <v>0</v>
      </c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5">
      <c r="A56" s="32"/>
      <c r="B56" s="60"/>
      <c r="C56" s="45">
        <f t="shared" si="2"/>
        <v>0</v>
      </c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5">
      <c r="A57" s="32"/>
      <c r="B57" s="60"/>
      <c r="C57" s="45">
        <f t="shared" si="2"/>
        <v>0</v>
      </c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5">
      <c r="A58" s="32"/>
      <c r="B58" s="60"/>
      <c r="C58" s="45">
        <f t="shared" si="2"/>
        <v>0</v>
      </c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5">
      <c r="A59" s="32"/>
      <c r="B59" s="60"/>
      <c r="C59" s="45">
        <f t="shared" si="2"/>
        <v>0</v>
      </c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5">
      <c r="A60" s="32"/>
      <c r="B60" s="60"/>
      <c r="C60" s="45">
        <f t="shared" si="2"/>
        <v>0</v>
      </c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5">
      <c r="A61" s="32"/>
      <c r="B61" s="60"/>
      <c r="C61" s="45">
        <f t="shared" si="2"/>
        <v>0</v>
      </c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5">
      <c r="A62" s="32"/>
      <c r="B62" s="60"/>
      <c r="C62" s="45">
        <f t="shared" si="2"/>
        <v>0</v>
      </c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5">
      <c r="A63" s="32"/>
      <c r="B63" s="60"/>
      <c r="C63" s="45">
        <f t="shared" si="2"/>
        <v>0</v>
      </c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5">
      <c r="A64" s="32"/>
      <c r="B64" s="60"/>
      <c r="C64" s="45">
        <f t="shared" si="2"/>
        <v>0</v>
      </c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5">
      <c r="A65" s="32"/>
      <c r="B65" s="60"/>
      <c r="C65" s="45">
        <f t="shared" si="2"/>
        <v>0</v>
      </c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5">
      <c r="A66" s="32"/>
      <c r="B66" s="60"/>
      <c r="C66" s="45">
        <f t="shared" si="2"/>
        <v>0</v>
      </c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5">
      <c r="A67" s="32"/>
      <c r="B67" s="110"/>
      <c r="C67" s="45">
        <f t="shared" ref="C67" si="3">SUM(D67:L67)</f>
        <v>0</v>
      </c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5">
      <c r="A68" s="5"/>
      <c r="B68" s="107"/>
      <c r="C68" s="5"/>
      <c r="D68" s="107"/>
      <c r="E68" s="107"/>
      <c r="F68" s="107"/>
      <c r="G68" s="107"/>
      <c r="H68" s="107"/>
      <c r="I68" s="107"/>
      <c r="J68" s="107"/>
      <c r="K68" s="107"/>
      <c r="L68" s="107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5">
      <c r="A69" s="5"/>
      <c r="B69" s="107"/>
      <c r="C69" s="5"/>
      <c r="D69" s="107"/>
      <c r="E69" s="107"/>
      <c r="F69" s="107"/>
      <c r="G69" s="107"/>
      <c r="H69" s="107"/>
      <c r="I69" s="107"/>
      <c r="J69" s="107"/>
      <c r="K69" s="107"/>
      <c r="L69" s="107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5">
      <c r="A70" s="5"/>
      <c r="B70" s="107"/>
      <c r="C70" s="5"/>
      <c r="D70" s="107"/>
      <c r="E70" s="107"/>
      <c r="F70" s="107"/>
      <c r="G70" s="107"/>
      <c r="H70" s="107"/>
      <c r="I70" s="107"/>
      <c r="J70" s="107"/>
      <c r="K70" s="107"/>
      <c r="L70" s="107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5">
      <c r="A71" s="5"/>
      <c r="B71" s="107"/>
      <c r="C71" s="5"/>
      <c r="D71" s="107"/>
      <c r="E71" s="107"/>
      <c r="F71" s="107"/>
      <c r="G71" s="107"/>
      <c r="H71" s="107"/>
      <c r="I71" s="107"/>
      <c r="J71" s="107"/>
      <c r="K71" s="107"/>
      <c r="L71" s="107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5">
      <c r="A72" s="5"/>
      <c r="B72" s="107"/>
      <c r="C72" s="5"/>
      <c r="D72" s="107"/>
      <c r="E72" s="107"/>
      <c r="F72" s="107"/>
      <c r="G72" s="107"/>
      <c r="H72" s="107"/>
      <c r="I72" s="107"/>
      <c r="J72" s="107"/>
      <c r="K72" s="107"/>
      <c r="L72" s="107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5">
      <c r="A73" s="5"/>
      <c r="B73" s="107"/>
      <c r="C73" s="5"/>
      <c r="D73" s="107"/>
      <c r="E73" s="107"/>
      <c r="F73" s="107"/>
      <c r="G73" s="107"/>
      <c r="H73" s="107"/>
      <c r="I73" s="107"/>
      <c r="J73" s="107"/>
      <c r="K73" s="107"/>
      <c r="L73" s="107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5">
      <c r="A74" s="5"/>
      <c r="B74" s="107"/>
      <c r="C74" s="5"/>
      <c r="D74" s="107"/>
      <c r="E74" s="107"/>
      <c r="F74" s="107"/>
      <c r="G74" s="107"/>
      <c r="H74" s="107"/>
      <c r="I74" s="107"/>
      <c r="J74" s="107"/>
      <c r="K74" s="107"/>
      <c r="L74" s="107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5">
      <c r="A75" s="5"/>
      <c r="B75" s="107"/>
      <c r="C75" s="5"/>
      <c r="D75" s="107"/>
      <c r="E75" s="107"/>
      <c r="F75" s="107"/>
      <c r="G75" s="107"/>
      <c r="H75" s="107"/>
      <c r="I75" s="107"/>
      <c r="J75" s="107"/>
      <c r="K75" s="107"/>
      <c r="L75" s="107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5">
      <c r="A76" s="5"/>
      <c r="B76" s="107"/>
      <c r="C76" s="5"/>
      <c r="D76" s="107"/>
      <c r="E76" s="107"/>
      <c r="F76" s="107"/>
      <c r="G76" s="107"/>
      <c r="H76" s="107"/>
      <c r="I76" s="107"/>
      <c r="J76" s="107"/>
      <c r="K76" s="107"/>
      <c r="L76" s="107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5">
      <c r="A77" s="5"/>
      <c r="B77" s="107"/>
      <c r="C77" s="5"/>
      <c r="D77" s="107"/>
      <c r="E77" s="107"/>
      <c r="F77" s="107"/>
      <c r="G77" s="107"/>
      <c r="H77" s="107"/>
      <c r="I77" s="107"/>
      <c r="J77" s="107"/>
      <c r="K77" s="107"/>
      <c r="L77" s="107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5">
      <c r="A78" s="5"/>
      <c r="B78" s="107"/>
      <c r="C78" s="5"/>
      <c r="D78" s="107"/>
      <c r="E78" s="107"/>
      <c r="F78" s="107"/>
      <c r="G78" s="107"/>
      <c r="H78" s="107"/>
      <c r="I78" s="107"/>
      <c r="J78" s="107"/>
      <c r="K78" s="107"/>
      <c r="L78" s="107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5">
      <c r="A79" s="5"/>
      <c r="B79" s="107"/>
      <c r="C79" s="5"/>
      <c r="D79" s="107"/>
      <c r="E79" s="107"/>
      <c r="F79" s="107"/>
      <c r="G79" s="107"/>
      <c r="H79" s="107"/>
      <c r="I79" s="107"/>
      <c r="J79" s="107"/>
      <c r="K79" s="107"/>
      <c r="L79" s="107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5">
      <c r="A80" s="5"/>
      <c r="B80" s="107"/>
      <c r="C80" s="5"/>
      <c r="D80" s="107"/>
      <c r="E80" s="107"/>
      <c r="F80" s="107"/>
      <c r="G80" s="107"/>
      <c r="H80" s="107"/>
      <c r="I80" s="107"/>
      <c r="J80" s="107"/>
      <c r="K80" s="107"/>
      <c r="L80" s="107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5">
      <c r="A81" s="5"/>
      <c r="B81" s="107"/>
      <c r="C81" s="5"/>
      <c r="D81" s="107"/>
      <c r="E81" s="107"/>
      <c r="F81" s="107"/>
      <c r="G81" s="107"/>
      <c r="H81" s="107"/>
      <c r="I81" s="107"/>
      <c r="J81" s="107"/>
      <c r="K81" s="107"/>
      <c r="L81" s="107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5">
      <c r="A82" s="5"/>
      <c r="B82" s="107"/>
      <c r="C82" s="5"/>
      <c r="D82" s="107"/>
      <c r="E82" s="107"/>
      <c r="F82" s="107"/>
      <c r="G82" s="107"/>
      <c r="H82" s="107"/>
      <c r="I82" s="107"/>
      <c r="J82" s="107"/>
      <c r="K82" s="107"/>
      <c r="L82" s="107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5">
      <c r="A83" s="5"/>
      <c r="B83" s="107"/>
      <c r="C83" s="5"/>
      <c r="D83" s="107"/>
      <c r="E83" s="107"/>
      <c r="F83" s="107"/>
      <c r="G83" s="107"/>
      <c r="H83" s="107"/>
      <c r="I83" s="107"/>
      <c r="J83" s="107"/>
      <c r="K83" s="107"/>
      <c r="L83" s="107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5">
      <c r="A84" s="5"/>
      <c r="B84" s="107"/>
      <c r="C84" s="5"/>
      <c r="D84" s="107"/>
      <c r="E84" s="107"/>
      <c r="F84" s="107"/>
      <c r="G84" s="107"/>
      <c r="H84" s="107"/>
      <c r="I84" s="107"/>
      <c r="J84" s="107"/>
      <c r="K84" s="107"/>
      <c r="L84" s="107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5">
      <c r="A85" s="5"/>
      <c r="B85" s="107"/>
      <c r="C85" s="5"/>
      <c r="D85" s="107"/>
      <c r="E85" s="107"/>
      <c r="F85" s="107"/>
      <c r="G85" s="107"/>
      <c r="H85" s="107"/>
      <c r="I85" s="107"/>
      <c r="J85" s="107"/>
      <c r="K85" s="107"/>
      <c r="L85" s="107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5">
      <c r="A86" s="5"/>
      <c r="B86" s="107"/>
      <c r="C86" s="5"/>
      <c r="D86" s="107"/>
      <c r="E86" s="107"/>
      <c r="F86" s="107"/>
      <c r="G86" s="107"/>
      <c r="H86" s="107"/>
      <c r="I86" s="107"/>
      <c r="J86" s="107"/>
      <c r="K86" s="107"/>
      <c r="L86" s="107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5">
      <c r="A87" s="5"/>
      <c r="B87" s="107"/>
      <c r="C87" s="5"/>
      <c r="D87" s="107"/>
      <c r="E87" s="107"/>
      <c r="F87" s="107"/>
      <c r="G87" s="107"/>
      <c r="H87" s="107"/>
      <c r="I87" s="107"/>
      <c r="J87" s="107"/>
      <c r="K87" s="107"/>
      <c r="L87" s="107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5">
      <c r="A88" s="5"/>
      <c r="B88" s="107"/>
      <c r="C88" s="5"/>
      <c r="D88" s="107"/>
      <c r="E88" s="107"/>
      <c r="F88" s="107"/>
      <c r="G88" s="107"/>
      <c r="H88" s="107"/>
      <c r="I88" s="107"/>
      <c r="J88" s="107"/>
      <c r="K88" s="107"/>
      <c r="L88" s="107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5">
      <c r="A89" s="5"/>
      <c r="B89" s="107"/>
      <c r="C89" s="5"/>
      <c r="D89" s="107"/>
      <c r="E89" s="107"/>
      <c r="F89" s="107"/>
      <c r="G89" s="107"/>
      <c r="H89" s="107"/>
      <c r="I89" s="107"/>
      <c r="J89" s="107"/>
      <c r="K89" s="107"/>
      <c r="L89" s="107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5">
      <c r="A90" s="5"/>
      <c r="B90" s="107"/>
      <c r="C90" s="5"/>
      <c r="D90" s="107"/>
      <c r="E90" s="107"/>
      <c r="F90" s="107"/>
      <c r="G90" s="107"/>
      <c r="H90" s="107"/>
      <c r="I90" s="107"/>
      <c r="J90" s="107"/>
      <c r="K90" s="107"/>
      <c r="L90" s="107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5">
      <c r="A91" s="5"/>
      <c r="B91" s="107"/>
      <c r="C91" s="5"/>
      <c r="D91" s="107"/>
      <c r="E91" s="107"/>
      <c r="F91" s="107"/>
      <c r="G91" s="107"/>
      <c r="H91" s="107"/>
      <c r="I91" s="107"/>
      <c r="J91" s="107"/>
      <c r="K91" s="107"/>
      <c r="L91" s="107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5">
      <c r="A92" s="5"/>
      <c r="B92" s="107"/>
      <c r="C92" s="5"/>
      <c r="D92" s="107"/>
      <c r="E92" s="107"/>
      <c r="F92" s="107"/>
      <c r="G92" s="107"/>
      <c r="H92" s="107"/>
      <c r="I92" s="107"/>
      <c r="J92" s="107"/>
      <c r="K92" s="107"/>
      <c r="L92" s="107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5">
      <c r="A93" s="5"/>
      <c r="B93" s="107"/>
      <c r="C93" s="5"/>
      <c r="D93" s="107"/>
      <c r="E93" s="107"/>
      <c r="F93" s="107"/>
      <c r="G93" s="107"/>
      <c r="H93" s="107"/>
      <c r="I93" s="107"/>
      <c r="J93" s="107"/>
      <c r="K93" s="107"/>
      <c r="L93" s="107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5">
      <c r="A94" s="5"/>
      <c r="B94" s="107"/>
      <c r="C94" s="5"/>
      <c r="D94" s="107"/>
      <c r="E94" s="107"/>
      <c r="F94" s="107"/>
      <c r="G94" s="107"/>
      <c r="H94" s="107"/>
      <c r="I94" s="107"/>
      <c r="J94" s="107"/>
      <c r="K94" s="107"/>
      <c r="L94" s="107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5">
      <c r="A95" s="5"/>
      <c r="B95" s="107"/>
      <c r="C95" s="5"/>
      <c r="D95" s="107"/>
      <c r="E95" s="107"/>
      <c r="F95" s="107"/>
      <c r="G95" s="107"/>
      <c r="H95" s="107"/>
      <c r="I95" s="107"/>
      <c r="J95" s="107"/>
      <c r="K95" s="107"/>
      <c r="L95" s="107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5">
      <c r="A96" s="5"/>
      <c r="B96" s="107"/>
      <c r="C96" s="5"/>
      <c r="D96" s="107"/>
      <c r="E96" s="107"/>
      <c r="F96" s="107"/>
      <c r="G96" s="107"/>
      <c r="H96" s="107"/>
      <c r="I96" s="107"/>
      <c r="J96" s="107"/>
      <c r="K96" s="107"/>
      <c r="L96" s="107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5">
      <c r="A97" s="5"/>
      <c r="B97" s="107"/>
      <c r="C97" s="5"/>
      <c r="D97" s="107"/>
      <c r="E97" s="107"/>
      <c r="F97" s="107"/>
      <c r="G97" s="107"/>
      <c r="H97" s="107"/>
      <c r="I97" s="107"/>
      <c r="J97" s="107"/>
      <c r="K97" s="107"/>
      <c r="L97" s="107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5">
      <c r="A98" s="5"/>
      <c r="B98" s="107"/>
      <c r="C98" s="5"/>
      <c r="D98" s="107"/>
      <c r="E98" s="107"/>
      <c r="F98" s="107"/>
      <c r="G98" s="107"/>
      <c r="H98" s="107"/>
      <c r="I98" s="107"/>
      <c r="J98" s="107"/>
      <c r="K98" s="107"/>
      <c r="L98" s="107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5">
      <c r="A99" s="5"/>
      <c r="B99" s="107"/>
      <c r="C99" s="5"/>
      <c r="D99" s="107"/>
      <c r="E99" s="107"/>
      <c r="F99" s="107"/>
      <c r="G99" s="107"/>
      <c r="H99" s="107"/>
      <c r="I99" s="107"/>
      <c r="J99" s="107"/>
      <c r="K99" s="107"/>
      <c r="L99" s="107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5">
      <c r="A100" s="5"/>
      <c r="B100" s="107"/>
      <c r="C100" s="5"/>
      <c r="D100" s="107"/>
      <c r="E100" s="107"/>
      <c r="F100" s="107"/>
      <c r="G100" s="107"/>
      <c r="H100" s="107"/>
      <c r="I100" s="107"/>
      <c r="J100" s="107"/>
      <c r="K100" s="107"/>
      <c r="L100" s="107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5">
      <c r="A101" s="5"/>
      <c r="B101" s="107"/>
      <c r="C101" s="5"/>
      <c r="D101" s="107"/>
      <c r="E101" s="107"/>
      <c r="F101" s="107"/>
      <c r="G101" s="107"/>
      <c r="H101" s="107"/>
      <c r="I101" s="107"/>
      <c r="J101" s="107"/>
      <c r="K101" s="107"/>
      <c r="L101" s="107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5">
      <c r="A102" s="5"/>
      <c r="B102" s="107"/>
      <c r="C102" s="5"/>
      <c r="D102" s="107"/>
      <c r="E102" s="107"/>
      <c r="F102" s="107"/>
      <c r="G102" s="107"/>
      <c r="H102" s="107"/>
      <c r="I102" s="107"/>
      <c r="J102" s="107"/>
      <c r="K102" s="107"/>
      <c r="L102" s="107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5">
      <c r="A103" s="5"/>
      <c r="B103" s="107"/>
      <c r="C103" s="5"/>
      <c r="D103" s="107"/>
      <c r="E103" s="107"/>
      <c r="F103" s="107"/>
      <c r="G103" s="107"/>
      <c r="H103" s="107"/>
      <c r="I103" s="107"/>
      <c r="J103" s="107"/>
      <c r="K103" s="107"/>
      <c r="L103" s="107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5">
      <c r="A104" s="5"/>
      <c r="B104" s="107"/>
      <c r="C104" s="5"/>
      <c r="D104" s="107"/>
      <c r="E104" s="107"/>
      <c r="F104" s="107"/>
      <c r="G104" s="107"/>
      <c r="H104" s="107"/>
      <c r="I104" s="107"/>
      <c r="J104" s="107"/>
      <c r="K104" s="107"/>
      <c r="L104" s="107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5">
      <c r="A105" s="5"/>
      <c r="B105" s="107"/>
      <c r="C105" s="5"/>
      <c r="D105" s="107"/>
      <c r="E105" s="107"/>
      <c r="F105" s="107"/>
      <c r="G105" s="107"/>
      <c r="H105" s="107"/>
      <c r="I105" s="107"/>
      <c r="J105" s="107"/>
      <c r="K105" s="107"/>
      <c r="L105" s="107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5">
      <c r="A106" s="5"/>
      <c r="B106" s="107"/>
      <c r="C106" s="5"/>
      <c r="D106" s="107"/>
      <c r="E106" s="107"/>
      <c r="F106" s="107"/>
      <c r="G106" s="107"/>
      <c r="H106" s="107"/>
      <c r="I106" s="107"/>
      <c r="J106" s="107"/>
      <c r="K106" s="107"/>
      <c r="L106" s="107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5">
      <c r="A107" s="5"/>
      <c r="B107" s="107"/>
      <c r="C107" s="5"/>
      <c r="D107" s="107"/>
      <c r="E107" s="107"/>
      <c r="F107" s="107"/>
      <c r="G107" s="107"/>
      <c r="H107" s="107"/>
      <c r="I107" s="107"/>
      <c r="J107" s="107"/>
      <c r="K107" s="107"/>
      <c r="L107" s="107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5">
      <c r="A108" s="5"/>
      <c r="B108" s="107"/>
      <c r="C108" s="5"/>
      <c r="D108" s="107"/>
      <c r="E108" s="107"/>
      <c r="F108" s="107"/>
      <c r="G108" s="107"/>
      <c r="H108" s="107"/>
      <c r="I108" s="107"/>
      <c r="J108" s="107"/>
      <c r="K108" s="107"/>
      <c r="L108" s="107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5">
      <c r="A109" s="5"/>
      <c r="B109" s="107"/>
      <c r="C109" s="5"/>
      <c r="D109" s="107"/>
      <c r="E109" s="107"/>
      <c r="F109" s="107"/>
      <c r="G109" s="107"/>
      <c r="H109" s="107"/>
      <c r="I109" s="107"/>
      <c r="J109" s="107"/>
      <c r="K109" s="107"/>
      <c r="L109" s="107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5">
      <c r="A110" s="5"/>
      <c r="B110" s="107"/>
      <c r="C110" s="5"/>
      <c r="D110" s="107"/>
      <c r="E110" s="107"/>
      <c r="F110" s="107"/>
      <c r="G110" s="107"/>
      <c r="H110" s="107"/>
      <c r="I110" s="107"/>
      <c r="J110" s="107"/>
      <c r="K110" s="107"/>
      <c r="L110" s="107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5">
      <c r="A111" s="5"/>
      <c r="B111" s="107"/>
      <c r="C111" s="5"/>
      <c r="D111" s="107"/>
      <c r="E111" s="107"/>
      <c r="F111" s="107"/>
      <c r="G111" s="107"/>
      <c r="H111" s="107"/>
      <c r="I111" s="107"/>
      <c r="J111" s="107"/>
      <c r="K111" s="107"/>
      <c r="L111" s="107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5">
      <c r="A112" s="5"/>
      <c r="B112" s="107"/>
      <c r="C112" s="5"/>
      <c r="D112" s="107"/>
      <c r="E112" s="107"/>
      <c r="F112" s="107"/>
      <c r="G112" s="107"/>
      <c r="H112" s="107"/>
      <c r="I112" s="107"/>
      <c r="J112" s="107"/>
      <c r="K112" s="107"/>
      <c r="L112" s="107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5">
      <c r="A113" s="5"/>
      <c r="B113" s="107"/>
      <c r="C113" s="5"/>
      <c r="D113" s="107"/>
      <c r="E113" s="107"/>
      <c r="F113" s="107"/>
      <c r="G113" s="107"/>
      <c r="H113" s="107"/>
      <c r="I113" s="107"/>
      <c r="J113" s="107"/>
      <c r="K113" s="107"/>
      <c r="L113" s="107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5">
      <c r="A114" s="5"/>
      <c r="B114" s="107"/>
      <c r="C114" s="5"/>
      <c r="D114" s="107"/>
      <c r="E114" s="107"/>
      <c r="F114" s="107"/>
      <c r="G114" s="107"/>
      <c r="H114" s="107"/>
      <c r="I114" s="107"/>
      <c r="J114" s="107"/>
      <c r="K114" s="107"/>
      <c r="L114" s="107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5">
      <c r="A115" s="5"/>
      <c r="B115" s="107"/>
      <c r="C115" s="5"/>
      <c r="D115" s="107"/>
      <c r="E115" s="107"/>
      <c r="F115" s="107"/>
      <c r="G115" s="107"/>
      <c r="H115" s="107"/>
      <c r="I115" s="107"/>
      <c r="J115" s="107"/>
      <c r="K115" s="107"/>
      <c r="L115" s="107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5">
      <c r="A116" s="5"/>
      <c r="B116" s="107"/>
      <c r="C116" s="5"/>
      <c r="D116" s="107"/>
      <c r="E116" s="107"/>
      <c r="F116" s="107"/>
      <c r="G116" s="107"/>
      <c r="H116" s="107"/>
      <c r="I116" s="107"/>
      <c r="J116" s="107"/>
      <c r="K116" s="107"/>
      <c r="L116" s="107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5">
      <c r="A117" s="5"/>
      <c r="B117" s="107"/>
      <c r="C117" s="5"/>
      <c r="D117" s="107"/>
      <c r="E117" s="107"/>
      <c r="F117" s="107"/>
      <c r="G117" s="107"/>
      <c r="H117" s="107"/>
      <c r="I117" s="107"/>
      <c r="J117" s="107"/>
      <c r="K117" s="107"/>
      <c r="L117" s="107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5">
      <c r="A118" s="5"/>
      <c r="B118" s="107"/>
      <c r="C118" s="5"/>
      <c r="D118" s="107"/>
      <c r="E118" s="107"/>
      <c r="F118" s="107"/>
      <c r="G118" s="107"/>
      <c r="H118" s="107"/>
      <c r="I118" s="107"/>
      <c r="J118" s="107"/>
      <c r="K118" s="107"/>
      <c r="L118" s="107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5">
      <c r="A119" s="5"/>
      <c r="B119" s="107"/>
      <c r="C119" s="5"/>
      <c r="D119" s="107"/>
      <c r="E119" s="107"/>
      <c r="F119" s="107"/>
      <c r="G119" s="107"/>
      <c r="H119" s="107"/>
      <c r="I119" s="107"/>
      <c r="J119" s="107"/>
      <c r="K119" s="107"/>
      <c r="L119" s="107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5">
      <c r="A120" s="5"/>
      <c r="B120" s="107"/>
      <c r="C120" s="5"/>
      <c r="D120" s="107"/>
      <c r="E120" s="107"/>
      <c r="F120" s="107"/>
      <c r="G120" s="107"/>
      <c r="H120" s="107"/>
      <c r="I120" s="107"/>
      <c r="J120" s="107"/>
      <c r="K120" s="107"/>
      <c r="L120" s="107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5">
      <c r="A121" s="5"/>
      <c r="B121" s="107"/>
      <c r="C121" s="5"/>
      <c r="D121" s="107"/>
      <c r="E121" s="107"/>
      <c r="F121" s="107"/>
      <c r="G121" s="107"/>
      <c r="H121" s="107"/>
      <c r="I121" s="107"/>
      <c r="J121" s="107"/>
      <c r="K121" s="107"/>
      <c r="L121" s="107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5">
      <c r="A122" s="5"/>
      <c r="B122" s="107"/>
      <c r="C122" s="5"/>
      <c r="D122" s="107"/>
      <c r="E122" s="107"/>
      <c r="F122" s="107"/>
      <c r="G122" s="107"/>
      <c r="H122" s="107"/>
      <c r="I122" s="107"/>
      <c r="J122" s="107"/>
      <c r="K122" s="107"/>
      <c r="L122" s="107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5">
      <c r="A123" s="5"/>
      <c r="B123" s="107"/>
      <c r="C123" s="5"/>
      <c r="D123" s="107"/>
      <c r="E123" s="107"/>
      <c r="F123" s="107"/>
      <c r="G123" s="107"/>
      <c r="H123" s="107"/>
      <c r="I123" s="107"/>
      <c r="J123" s="107"/>
      <c r="K123" s="107"/>
      <c r="L123" s="107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5">
      <c r="A124" s="5"/>
      <c r="B124" s="107"/>
      <c r="C124" s="5"/>
      <c r="D124" s="107"/>
      <c r="E124" s="107"/>
      <c r="F124" s="107"/>
      <c r="G124" s="107"/>
      <c r="H124" s="107"/>
      <c r="I124" s="107"/>
      <c r="J124" s="107"/>
      <c r="K124" s="107"/>
      <c r="L124" s="107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5">
      <c r="A125" s="5"/>
      <c r="B125" s="107"/>
      <c r="C125" s="5"/>
      <c r="D125" s="107"/>
      <c r="E125" s="107"/>
      <c r="F125" s="107"/>
      <c r="G125" s="107"/>
      <c r="H125" s="107"/>
      <c r="I125" s="107"/>
      <c r="J125" s="107"/>
      <c r="K125" s="107"/>
      <c r="L125" s="107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5">
      <c r="A126" s="5"/>
      <c r="B126" s="107"/>
      <c r="C126" s="5"/>
      <c r="D126" s="107"/>
      <c r="E126" s="107"/>
      <c r="F126" s="107"/>
      <c r="G126" s="107"/>
      <c r="H126" s="107"/>
      <c r="I126" s="107"/>
      <c r="J126" s="107"/>
      <c r="K126" s="107"/>
      <c r="L126" s="107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5">
      <c r="A127" s="5"/>
      <c r="B127" s="107"/>
      <c r="C127" s="5"/>
      <c r="D127" s="107"/>
      <c r="E127" s="107"/>
      <c r="F127" s="107"/>
      <c r="G127" s="107"/>
      <c r="H127" s="107"/>
      <c r="I127" s="107"/>
      <c r="J127" s="107"/>
      <c r="K127" s="107"/>
      <c r="L127" s="107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5">
      <c r="A128" s="5"/>
      <c r="B128" s="107"/>
      <c r="C128" s="5"/>
      <c r="D128" s="107"/>
      <c r="E128" s="107"/>
      <c r="F128" s="107"/>
      <c r="G128" s="107"/>
      <c r="H128" s="107"/>
      <c r="I128" s="107"/>
      <c r="J128" s="107"/>
      <c r="K128" s="107"/>
      <c r="L128" s="107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5">
      <c r="A129" s="5"/>
      <c r="B129" s="107"/>
      <c r="C129" s="5"/>
      <c r="D129" s="107"/>
      <c r="E129" s="107"/>
      <c r="F129" s="107"/>
      <c r="G129" s="107"/>
      <c r="H129" s="107"/>
      <c r="I129" s="107"/>
      <c r="J129" s="107"/>
      <c r="K129" s="107"/>
      <c r="L129" s="107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5">
      <c r="A130" s="5"/>
      <c r="B130" s="107"/>
      <c r="C130" s="5"/>
      <c r="D130" s="107"/>
      <c r="E130" s="107"/>
      <c r="F130" s="107"/>
      <c r="G130" s="107"/>
      <c r="H130" s="107"/>
      <c r="I130" s="107"/>
      <c r="J130" s="107"/>
      <c r="K130" s="107"/>
      <c r="L130" s="107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5">
      <c r="A131" s="5"/>
      <c r="B131" s="107"/>
      <c r="C131" s="5"/>
      <c r="D131" s="107"/>
      <c r="E131" s="107"/>
      <c r="F131" s="107"/>
      <c r="G131" s="107"/>
      <c r="H131" s="107"/>
      <c r="I131" s="107"/>
      <c r="J131" s="107"/>
      <c r="K131" s="107"/>
      <c r="L131" s="107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5">
      <c r="A132" s="5"/>
      <c r="B132" s="107"/>
      <c r="C132" s="5"/>
      <c r="D132" s="107"/>
      <c r="E132" s="107"/>
      <c r="F132" s="107"/>
      <c r="G132" s="107"/>
      <c r="H132" s="107"/>
      <c r="I132" s="107"/>
      <c r="J132" s="107"/>
      <c r="K132" s="107"/>
      <c r="L132" s="107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5">
      <c r="A133" s="5"/>
      <c r="B133" s="107"/>
      <c r="C133" s="5"/>
      <c r="D133" s="107"/>
      <c r="E133" s="107"/>
      <c r="F133" s="107"/>
      <c r="G133" s="107"/>
      <c r="H133" s="107"/>
      <c r="I133" s="107"/>
      <c r="J133" s="107"/>
      <c r="K133" s="107"/>
      <c r="L133" s="107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5">
      <c r="A134" s="5"/>
      <c r="B134" s="107"/>
      <c r="C134" s="5"/>
      <c r="D134" s="107"/>
      <c r="E134" s="107"/>
      <c r="F134" s="107"/>
      <c r="G134" s="107"/>
      <c r="H134" s="107"/>
      <c r="I134" s="107"/>
      <c r="J134" s="107"/>
      <c r="K134" s="107"/>
      <c r="L134" s="107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5">
      <c r="A135" s="5"/>
      <c r="B135" s="107"/>
      <c r="C135" s="5"/>
      <c r="D135" s="107"/>
      <c r="E135" s="107"/>
      <c r="F135" s="107"/>
      <c r="G135" s="107"/>
      <c r="H135" s="107"/>
      <c r="I135" s="107"/>
      <c r="J135" s="107"/>
      <c r="K135" s="107"/>
      <c r="L135" s="107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5">
      <c r="A136" s="5"/>
      <c r="B136" s="107"/>
      <c r="C136" s="5"/>
      <c r="D136" s="107"/>
      <c r="E136" s="107"/>
      <c r="F136" s="107"/>
      <c r="G136" s="107"/>
      <c r="H136" s="107"/>
      <c r="I136" s="107"/>
      <c r="J136" s="107"/>
      <c r="K136" s="107"/>
      <c r="L136" s="107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5">
      <c r="A137" s="5"/>
      <c r="B137" s="107"/>
      <c r="C137" s="5"/>
      <c r="D137" s="107"/>
      <c r="E137" s="107"/>
      <c r="F137" s="107"/>
      <c r="G137" s="107"/>
      <c r="H137" s="107"/>
      <c r="I137" s="107"/>
      <c r="J137" s="107"/>
      <c r="K137" s="107"/>
      <c r="L137" s="107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5">
      <c r="A138" s="5"/>
      <c r="B138" s="107"/>
      <c r="C138" s="5"/>
      <c r="D138" s="107"/>
      <c r="E138" s="107"/>
      <c r="F138" s="107"/>
      <c r="G138" s="107"/>
      <c r="H138" s="107"/>
      <c r="I138" s="107"/>
      <c r="J138" s="107"/>
      <c r="K138" s="107"/>
      <c r="L138" s="107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5">
      <c r="A139" s="5"/>
      <c r="B139" s="107"/>
      <c r="C139" s="5"/>
      <c r="D139" s="107"/>
      <c r="E139" s="107"/>
      <c r="F139" s="107"/>
      <c r="G139" s="107"/>
      <c r="H139" s="107"/>
      <c r="I139" s="107"/>
      <c r="J139" s="107"/>
      <c r="K139" s="107"/>
      <c r="L139" s="107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5">
      <c r="A140" s="5"/>
      <c r="B140" s="107"/>
      <c r="C140" s="5"/>
      <c r="D140" s="107"/>
      <c r="E140" s="107"/>
      <c r="F140" s="107"/>
      <c r="G140" s="107"/>
      <c r="H140" s="107"/>
      <c r="I140" s="107"/>
      <c r="J140" s="107"/>
      <c r="K140" s="107"/>
      <c r="L140" s="107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5">
      <c r="A141" s="5"/>
      <c r="B141" s="107"/>
      <c r="C141" s="5"/>
      <c r="D141" s="107"/>
      <c r="E141" s="107"/>
      <c r="F141" s="107"/>
      <c r="G141" s="107"/>
      <c r="H141" s="107"/>
      <c r="I141" s="107"/>
      <c r="J141" s="107"/>
      <c r="K141" s="107"/>
      <c r="L141" s="107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5">
      <c r="A142" s="5"/>
      <c r="B142" s="107"/>
      <c r="C142" s="5"/>
      <c r="D142" s="107"/>
      <c r="E142" s="107"/>
      <c r="F142" s="107"/>
      <c r="G142" s="107"/>
      <c r="H142" s="107"/>
      <c r="I142" s="107"/>
      <c r="J142" s="107"/>
      <c r="K142" s="107"/>
      <c r="L142" s="107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5">
      <c r="A143" s="5"/>
      <c r="B143" s="107"/>
      <c r="C143" s="5"/>
      <c r="D143" s="107"/>
      <c r="E143" s="107"/>
      <c r="F143" s="107"/>
      <c r="G143" s="107"/>
      <c r="H143" s="107"/>
      <c r="I143" s="107"/>
      <c r="J143" s="107"/>
      <c r="K143" s="107"/>
      <c r="L143" s="107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5">
      <c r="A144" s="5"/>
      <c r="B144" s="107"/>
      <c r="C144" s="5"/>
      <c r="D144" s="107"/>
      <c r="E144" s="107"/>
      <c r="F144" s="107"/>
      <c r="G144" s="107"/>
      <c r="H144" s="107"/>
      <c r="I144" s="107"/>
      <c r="J144" s="107"/>
      <c r="K144" s="107"/>
      <c r="L144" s="107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5">
      <c r="A145" s="5"/>
      <c r="B145" s="107"/>
      <c r="C145" s="5"/>
      <c r="D145" s="107"/>
      <c r="E145" s="107"/>
      <c r="F145" s="107"/>
      <c r="G145" s="107"/>
      <c r="H145" s="107"/>
      <c r="I145" s="107"/>
      <c r="J145" s="107"/>
      <c r="K145" s="107"/>
      <c r="L145" s="107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5">
      <c r="A146" s="5"/>
      <c r="B146" s="107"/>
      <c r="C146" s="5"/>
      <c r="D146" s="107"/>
      <c r="E146" s="107"/>
      <c r="F146" s="107"/>
      <c r="G146" s="107"/>
      <c r="H146" s="107"/>
      <c r="I146" s="107"/>
      <c r="J146" s="107"/>
      <c r="K146" s="107"/>
      <c r="L146" s="107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5">
      <c r="A147" s="5"/>
      <c r="B147" s="107"/>
      <c r="C147" s="5"/>
      <c r="D147" s="107"/>
      <c r="E147" s="107"/>
      <c r="F147" s="107"/>
      <c r="G147" s="107"/>
      <c r="H147" s="107"/>
      <c r="I147" s="107"/>
      <c r="J147" s="107"/>
      <c r="K147" s="107"/>
      <c r="L147" s="107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5">
      <c r="A148" s="5"/>
      <c r="B148" s="107"/>
      <c r="C148" s="5"/>
      <c r="D148" s="107"/>
      <c r="E148" s="107"/>
      <c r="F148" s="107"/>
      <c r="G148" s="107"/>
      <c r="H148" s="107"/>
      <c r="I148" s="107"/>
      <c r="J148" s="107"/>
      <c r="K148" s="107"/>
      <c r="L148" s="107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5">
      <c r="A149" s="5"/>
      <c r="B149" s="107"/>
      <c r="C149" s="5"/>
      <c r="D149" s="107"/>
      <c r="E149" s="107"/>
      <c r="F149" s="107"/>
      <c r="G149" s="107"/>
      <c r="H149" s="107"/>
      <c r="I149" s="107"/>
      <c r="J149" s="107"/>
      <c r="K149" s="107"/>
      <c r="L149" s="107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5">
      <c r="A150" s="5"/>
      <c r="B150" s="107"/>
      <c r="C150" s="5"/>
      <c r="D150" s="107"/>
      <c r="E150" s="107"/>
      <c r="F150" s="107"/>
      <c r="G150" s="107"/>
      <c r="H150" s="107"/>
      <c r="I150" s="107"/>
      <c r="J150" s="107"/>
      <c r="K150" s="107"/>
      <c r="L150" s="107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5">
      <c r="A151" s="5"/>
      <c r="B151" s="107"/>
      <c r="C151" s="5"/>
      <c r="D151" s="107"/>
      <c r="E151" s="107"/>
      <c r="F151" s="107"/>
      <c r="G151" s="107"/>
      <c r="H151" s="107"/>
      <c r="I151" s="107"/>
      <c r="J151" s="107"/>
      <c r="K151" s="107"/>
      <c r="L151" s="107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5">
      <c r="A152" s="5"/>
      <c r="B152" s="107"/>
      <c r="C152" s="5"/>
      <c r="D152" s="107"/>
      <c r="E152" s="107"/>
      <c r="F152" s="107"/>
      <c r="G152" s="107"/>
      <c r="H152" s="107"/>
      <c r="I152" s="107"/>
      <c r="J152" s="107"/>
      <c r="K152" s="107"/>
      <c r="L152" s="107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5">
      <c r="A153" s="5"/>
      <c r="B153" s="107"/>
      <c r="C153" s="5"/>
      <c r="D153" s="107"/>
      <c r="E153" s="107"/>
      <c r="F153" s="107"/>
      <c r="G153" s="107"/>
      <c r="H153" s="107"/>
      <c r="I153" s="107"/>
      <c r="J153" s="107"/>
      <c r="K153" s="107"/>
      <c r="L153" s="107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5">
      <c r="A154" s="5"/>
      <c r="B154" s="107"/>
      <c r="C154" s="5"/>
      <c r="D154" s="107"/>
      <c r="E154" s="107"/>
      <c r="F154" s="107"/>
      <c r="G154" s="107"/>
      <c r="H154" s="107"/>
      <c r="I154" s="107"/>
      <c r="J154" s="107"/>
      <c r="K154" s="107"/>
      <c r="L154" s="107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5">
      <c r="A155" s="5"/>
      <c r="B155" s="107"/>
      <c r="C155" s="5"/>
      <c r="D155" s="107"/>
      <c r="E155" s="107"/>
      <c r="F155" s="107"/>
      <c r="G155" s="107"/>
      <c r="H155" s="107"/>
      <c r="I155" s="107"/>
      <c r="J155" s="107"/>
      <c r="K155" s="107"/>
      <c r="L155" s="107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5">
      <c r="A156" s="5"/>
      <c r="B156" s="107"/>
      <c r="C156" s="5"/>
      <c r="D156" s="107"/>
      <c r="E156" s="107"/>
      <c r="F156" s="107"/>
      <c r="G156" s="107"/>
      <c r="H156" s="107"/>
      <c r="I156" s="107"/>
      <c r="J156" s="107"/>
      <c r="K156" s="107"/>
      <c r="L156" s="107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5">
      <c r="A157" s="5"/>
      <c r="B157" s="107"/>
      <c r="C157" s="5"/>
      <c r="D157" s="107"/>
      <c r="E157" s="107"/>
      <c r="F157" s="107"/>
      <c r="G157" s="107"/>
      <c r="H157" s="107"/>
      <c r="I157" s="107"/>
      <c r="J157" s="107"/>
      <c r="K157" s="107"/>
      <c r="L157" s="107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5">
      <c r="A158" s="5"/>
      <c r="B158" s="107"/>
      <c r="C158" s="5"/>
      <c r="D158" s="107"/>
      <c r="E158" s="107"/>
      <c r="F158" s="107"/>
      <c r="G158" s="107"/>
      <c r="H158" s="107"/>
      <c r="I158" s="107"/>
      <c r="J158" s="107"/>
      <c r="K158" s="107"/>
      <c r="L158" s="107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5">
      <c r="A159" s="5"/>
      <c r="B159" s="107"/>
      <c r="C159" s="5"/>
      <c r="D159" s="107"/>
      <c r="E159" s="107"/>
      <c r="F159" s="107"/>
      <c r="G159" s="107"/>
      <c r="H159" s="107"/>
      <c r="I159" s="107"/>
      <c r="J159" s="107"/>
      <c r="K159" s="107"/>
      <c r="L159" s="107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5">
      <c r="A160" s="5"/>
      <c r="B160" s="107"/>
      <c r="C160" s="5"/>
      <c r="D160" s="107"/>
      <c r="E160" s="107"/>
      <c r="F160" s="107"/>
      <c r="G160" s="107"/>
      <c r="H160" s="107"/>
      <c r="I160" s="107"/>
      <c r="J160" s="107"/>
      <c r="K160" s="107"/>
      <c r="L160" s="107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5">
      <c r="A161" s="5"/>
      <c r="B161" s="107"/>
      <c r="C161" s="5"/>
      <c r="D161" s="107"/>
      <c r="E161" s="107"/>
      <c r="F161" s="107"/>
      <c r="G161" s="107"/>
      <c r="H161" s="107"/>
      <c r="I161" s="107"/>
      <c r="J161" s="107"/>
      <c r="K161" s="107"/>
      <c r="L161" s="107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5">
      <c r="A162" s="5"/>
      <c r="B162" s="107"/>
      <c r="C162" s="5"/>
      <c r="D162" s="107"/>
      <c r="E162" s="107"/>
      <c r="F162" s="107"/>
      <c r="G162" s="107"/>
      <c r="H162" s="107"/>
      <c r="I162" s="107"/>
      <c r="J162" s="107"/>
      <c r="K162" s="107"/>
      <c r="L162" s="107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5">
      <c r="A163" s="5"/>
      <c r="B163" s="107"/>
      <c r="C163" s="5"/>
      <c r="D163" s="107"/>
      <c r="E163" s="107"/>
      <c r="F163" s="107"/>
      <c r="G163" s="107"/>
      <c r="H163" s="107"/>
      <c r="I163" s="107"/>
      <c r="J163" s="107"/>
      <c r="K163" s="107"/>
      <c r="L163" s="107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5">
      <c r="A164" s="5"/>
      <c r="B164" s="107"/>
      <c r="C164" s="5"/>
      <c r="D164" s="107"/>
      <c r="E164" s="107"/>
      <c r="F164" s="107"/>
      <c r="G164" s="107"/>
      <c r="H164" s="107"/>
      <c r="I164" s="107"/>
      <c r="J164" s="107"/>
      <c r="K164" s="107"/>
      <c r="L164" s="107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5">
      <c r="A165" s="5"/>
      <c r="B165" s="107"/>
      <c r="C165" s="5"/>
      <c r="D165" s="107"/>
      <c r="E165" s="107"/>
      <c r="F165" s="107"/>
      <c r="G165" s="107"/>
      <c r="H165" s="107"/>
      <c r="I165" s="107"/>
      <c r="J165" s="107"/>
      <c r="K165" s="107"/>
      <c r="L165" s="107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5">
      <c r="A166" s="5"/>
      <c r="B166" s="107"/>
      <c r="C166" s="5"/>
      <c r="D166" s="107"/>
      <c r="E166" s="107"/>
      <c r="F166" s="107"/>
      <c r="G166" s="107"/>
      <c r="H166" s="107"/>
      <c r="I166" s="107"/>
      <c r="J166" s="107"/>
      <c r="K166" s="107"/>
      <c r="L166" s="107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5">
      <c r="A167" s="5"/>
      <c r="B167" s="107"/>
      <c r="C167" s="5"/>
      <c r="D167" s="107"/>
      <c r="E167" s="107"/>
      <c r="F167" s="107"/>
      <c r="G167" s="107"/>
      <c r="H167" s="107"/>
      <c r="I167" s="107"/>
      <c r="J167" s="107"/>
      <c r="K167" s="107"/>
      <c r="L167" s="107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5">
      <c r="A168" s="5"/>
      <c r="B168" s="107"/>
      <c r="C168" s="5"/>
      <c r="D168" s="107"/>
      <c r="E168" s="107"/>
      <c r="F168" s="107"/>
      <c r="G168" s="107"/>
      <c r="H168" s="107"/>
      <c r="I168" s="107"/>
      <c r="J168" s="107"/>
      <c r="K168" s="107"/>
      <c r="L168" s="107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5">
      <c r="A169" s="5"/>
      <c r="B169" s="107"/>
      <c r="C169" s="5"/>
      <c r="D169" s="107"/>
      <c r="E169" s="107"/>
      <c r="F169" s="107"/>
      <c r="G169" s="107"/>
      <c r="H169" s="107"/>
      <c r="I169" s="107"/>
      <c r="J169" s="107"/>
      <c r="K169" s="107"/>
      <c r="L169" s="107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5">
      <c r="A170" s="5"/>
      <c r="B170" s="107"/>
      <c r="C170" s="5"/>
      <c r="D170" s="107"/>
      <c r="E170" s="107"/>
      <c r="F170" s="107"/>
      <c r="G170" s="107"/>
      <c r="H170" s="107"/>
      <c r="I170" s="107"/>
      <c r="J170" s="107"/>
      <c r="K170" s="107"/>
      <c r="L170" s="107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5">
      <c r="A171" s="5"/>
      <c r="B171" s="107"/>
      <c r="C171" s="5"/>
      <c r="D171" s="107"/>
      <c r="E171" s="107"/>
      <c r="F171" s="107"/>
      <c r="G171" s="107"/>
      <c r="H171" s="107"/>
      <c r="I171" s="107"/>
      <c r="J171" s="107"/>
      <c r="K171" s="107"/>
      <c r="L171" s="107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5">
      <c r="A172" s="5"/>
      <c r="B172" s="107"/>
      <c r="C172" s="5"/>
      <c r="D172" s="107"/>
      <c r="E172" s="107"/>
      <c r="F172" s="107"/>
      <c r="G172" s="107"/>
      <c r="H172" s="107"/>
      <c r="I172" s="107"/>
      <c r="J172" s="107"/>
      <c r="K172" s="107"/>
      <c r="L172" s="107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5">
      <c r="A173" s="5"/>
      <c r="B173" s="107"/>
      <c r="C173" s="5"/>
      <c r="D173" s="107"/>
      <c r="E173" s="107"/>
      <c r="F173" s="107"/>
      <c r="G173" s="107"/>
      <c r="H173" s="107"/>
      <c r="I173" s="107"/>
      <c r="J173" s="107"/>
      <c r="K173" s="107"/>
      <c r="L173" s="107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5">
      <c r="A174" s="5"/>
      <c r="B174" s="107"/>
      <c r="C174" s="5"/>
      <c r="D174" s="107"/>
      <c r="E174" s="107"/>
      <c r="F174" s="107"/>
      <c r="G174" s="107"/>
      <c r="H174" s="107"/>
      <c r="I174" s="107"/>
      <c r="J174" s="107"/>
      <c r="K174" s="107"/>
      <c r="L174" s="107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5">
      <c r="A175" s="5"/>
      <c r="B175" s="107"/>
      <c r="C175" s="5"/>
      <c r="D175" s="107"/>
      <c r="E175" s="107"/>
      <c r="F175" s="107"/>
      <c r="G175" s="107"/>
      <c r="H175" s="107"/>
      <c r="I175" s="107"/>
      <c r="J175" s="107"/>
      <c r="K175" s="107"/>
      <c r="L175" s="107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5">
      <c r="A176" s="5"/>
      <c r="B176" s="107"/>
      <c r="C176" s="5"/>
      <c r="D176" s="107"/>
      <c r="E176" s="107"/>
      <c r="F176" s="107"/>
      <c r="G176" s="107"/>
      <c r="H176" s="107"/>
      <c r="I176" s="107"/>
      <c r="J176" s="107"/>
      <c r="K176" s="107"/>
      <c r="L176" s="107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5">
      <c r="A177" s="5"/>
      <c r="B177" s="107"/>
      <c r="C177" s="5"/>
      <c r="D177" s="107"/>
      <c r="E177" s="107"/>
      <c r="F177" s="107"/>
      <c r="G177" s="107"/>
      <c r="H177" s="107"/>
      <c r="I177" s="107"/>
      <c r="J177" s="107"/>
      <c r="K177" s="107"/>
      <c r="L177" s="107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5">
      <c r="A178" s="5"/>
      <c r="B178" s="107"/>
      <c r="C178" s="5"/>
      <c r="D178" s="107"/>
      <c r="E178" s="107"/>
      <c r="F178" s="107"/>
      <c r="G178" s="107"/>
      <c r="H178" s="107"/>
      <c r="I178" s="107"/>
      <c r="J178" s="107"/>
      <c r="K178" s="107"/>
      <c r="L178" s="107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5">
      <c r="A179" s="5"/>
      <c r="B179" s="107"/>
      <c r="C179" s="5"/>
      <c r="D179" s="107"/>
      <c r="E179" s="107"/>
      <c r="F179" s="107"/>
      <c r="G179" s="107"/>
      <c r="H179" s="107"/>
      <c r="I179" s="107"/>
      <c r="J179" s="107"/>
      <c r="K179" s="107"/>
      <c r="L179" s="107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5">
      <c r="A180" s="5"/>
      <c r="B180" s="107"/>
      <c r="C180" s="5"/>
      <c r="D180" s="107"/>
      <c r="E180" s="107"/>
      <c r="F180" s="107"/>
      <c r="G180" s="107"/>
      <c r="H180" s="107"/>
      <c r="I180" s="107"/>
      <c r="J180" s="107"/>
      <c r="K180" s="107"/>
      <c r="L180" s="107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5">
      <c r="A181" s="5"/>
      <c r="B181" s="107"/>
      <c r="C181" s="5"/>
      <c r="D181" s="107"/>
      <c r="E181" s="107"/>
      <c r="F181" s="107"/>
      <c r="G181" s="107"/>
      <c r="H181" s="107"/>
      <c r="I181" s="107"/>
      <c r="J181" s="107"/>
      <c r="K181" s="107"/>
      <c r="L181" s="107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5">
      <c r="A182" s="5"/>
      <c r="B182" s="107"/>
      <c r="C182" s="5"/>
      <c r="D182" s="107"/>
      <c r="E182" s="107"/>
      <c r="F182" s="107"/>
      <c r="G182" s="107"/>
      <c r="H182" s="107"/>
      <c r="I182" s="107"/>
      <c r="J182" s="107"/>
      <c r="K182" s="107"/>
      <c r="L182" s="107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5">
      <c r="A183" s="5"/>
      <c r="B183" s="107"/>
      <c r="C183" s="5"/>
      <c r="D183" s="107"/>
      <c r="E183" s="107"/>
      <c r="F183" s="107"/>
      <c r="G183" s="107"/>
      <c r="H183" s="107"/>
      <c r="I183" s="107"/>
      <c r="J183" s="107"/>
      <c r="K183" s="107"/>
      <c r="L183" s="107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5">
      <c r="A184" s="5"/>
      <c r="B184" s="107"/>
      <c r="C184" s="5"/>
      <c r="D184" s="107"/>
      <c r="E184" s="107"/>
      <c r="F184" s="107"/>
      <c r="G184" s="107"/>
      <c r="H184" s="107"/>
      <c r="I184" s="107"/>
      <c r="J184" s="107"/>
      <c r="K184" s="107"/>
      <c r="L184" s="107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5">
      <c r="A185" s="5"/>
      <c r="B185" s="107"/>
      <c r="C185" s="5"/>
      <c r="D185" s="107"/>
      <c r="E185" s="107"/>
      <c r="F185" s="107"/>
      <c r="G185" s="107"/>
      <c r="H185" s="107"/>
      <c r="I185" s="107"/>
      <c r="J185" s="107"/>
      <c r="K185" s="107"/>
      <c r="L185" s="107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5">
      <c r="A186" s="5"/>
      <c r="B186" s="107"/>
      <c r="C186" s="5"/>
      <c r="D186" s="107"/>
      <c r="E186" s="107"/>
      <c r="F186" s="107"/>
      <c r="G186" s="107"/>
      <c r="H186" s="107"/>
      <c r="I186" s="107"/>
      <c r="J186" s="107"/>
      <c r="K186" s="107"/>
      <c r="L186" s="107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5">
      <c r="A187" s="5"/>
      <c r="B187" s="107"/>
      <c r="C187" s="5"/>
      <c r="D187" s="107"/>
      <c r="E187" s="107"/>
      <c r="F187" s="107"/>
      <c r="G187" s="107"/>
      <c r="H187" s="107"/>
      <c r="I187" s="107"/>
      <c r="J187" s="107"/>
      <c r="K187" s="107"/>
      <c r="L187" s="107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5">
      <c r="A188" s="5"/>
      <c r="B188" s="107"/>
      <c r="C188" s="5"/>
      <c r="D188" s="107"/>
      <c r="E188" s="107"/>
      <c r="F188" s="107"/>
      <c r="G188" s="107"/>
      <c r="H188" s="107"/>
      <c r="I188" s="107"/>
      <c r="J188" s="107"/>
      <c r="K188" s="107"/>
      <c r="L188" s="107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5">
      <c r="A189" s="5"/>
      <c r="B189" s="107"/>
      <c r="C189" s="5"/>
      <c r="D189" s="107"/>
      <c r="E189" s="107"/>
      <c r="F189" s="107"/>
      <c r="G189" s="107"/>
      <c r="H189" s="107"/>
      <c r="I189" s="107"/>
      <c r="J189" s="107"/>
      <c r="K189" s="107"/>
      <c r="L189" s="107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5">
      <c r="A190" s="5"/>
      <c r="B190" s="107"/>
      <c r="C190" s="5"/>
      <c r="D190" s="107"/>
      <c r="E190" s="107"/>
      <c r="F190" s="107"/>
      <c r="G190" s="107"/>
      <c r="H190" s="107"/>
      <c r="I190" s="107"/>
      <c r="J190" s="107"/>
      <c r="K190" s="107"/>
      <c r="L190" s="107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5">
      <c r="A191" s="5"/>
      <c r="B191" s="107"/>
      <c r="C191" s="5"/>
      <c r="D191" s="107"/>
      <c r="E191" s="107"/>
      <c r="F191" s="107"/>
      <c r="G191" s="107"/>
      <c r="H191" s="107"/>
      <c r="I191" s="107"/>
      <c r="J191" s="107"/>
      <c r="K191" s="107"/>
      <c r="L191" s="107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5">
      <c r="A192" s="5"/>
      <c r="B192" s="107"/>
      <c r="C192" s="5"/>
      <c r="D192" s="107"/>
      <c r="E192" s="107"/>
      <c r="F192" s="107"/>
      <c r="G192" s="107"/>
      <c r="H192" s="107"/>
      <c r="I192" s="107"/>
      <c r="J192" s="107"/>
      <c r="K192" s="107"/>
      <c r="L192" s="107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5">
      <c r="A193" s="5"/>
      <c r="B193" s="107"/>
      <c r="C193" s="5"/>
      <c r="D193" s="107"/>
      <c r="E193" s="107"/>
      <c r="F193" s="107"/>
      <c r="G193" s="107"/>
      <c r="H193" s="107"/>
      <c r="I193" s="107"/>
      <c r="J193" s="107"/>
      <c r="K193" s="107"/>
      <c r="L193" s="107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5">
      <c r="A194" s="5"/>
      <c r="B194" s="107"/>
      <c r="C194" s="5"/>
      <c r="D194" s="107"/>
      <c r="E194" s="107"/>
      <c r="F194" s="107"/>
      <c r="G194" s="107"/>
      <c r="H194" s="107"/>
      <c r="I194" s="107"/>
      <c r="J194" s="107"/>
      <c r="K194" s="107"/>
      <c r="L194" s="107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5">
      <c r="A195" s="5"/>
      <c r="B195" s="107"/>
      <c r="C195" s="5"/>
      <c r="D195" s="107"/>
      <c r="E195" s="107"/>
      <c r="F195" s="107"/>
      <c r="G195" s="107"/>
      <c r="H195" s="107"/>
      <c r="I195" s="107"/>
      <c r="J195" s="107"/>
      <c r="K195" s="107"/>
      <c r="L195" s="107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5">
      <c r="A196" s="5"/>
      <c r="B196" s="107"/>
      <c r="C196" s="5"/>
      <c r="D196" s="107"/>
      <c r="E196" s="107"/>
      <c r="F196" s="107"/>
      <c r="G196" s="107"/>
      <c r="H196" s="107"/>
      <c r="I196" s="107"/>
      <c r="J196" s="107"/>
      <c r="K196" s="107"/>
      <c r="L196" s="107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5">
      <c r="A197" s="5"/>
      <c r="B197" s="107"/>
      <c r="C197" s="5"/>
      <c r="D197" s="107"/>
      <c r="E197" s="107"/>
      <c r="F197" s="107"/>
      <c r="G197" s="107"/>
      <c r="H197" s="107"/>
      <c r="I197" s="107"/>
      <c r="J197" s="107"/>
      <c r="K197" s="107"/>
      <c r="L197" s="107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5">
      <c r="A198" s="5"/>
      <c r="B198" s="107"/>
      <c r="C198" s="5"/>
      <c r="D198" s="107"/>
      <c r="E198" s="107"/>
      <c r="F198" s="107"/>
      <c r="G198" s="107"/>
      <c r="H198" s="107"/>
      <c r="I198" s="107"/>
      <c r="J198" s="107"/>
      <c r="K198" s="107"/>
      <c r="L198" s="107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5">
      <c r="A199" s="5"/>
      <c r="B199" s="107"/>
      <c r="C199" s="5"/>
      <c r="D199" s="107"/>
      <c r="E199" s="107"/>
      <c r="F199" s="107"/>
      <c r="G199" s="107"/>
      <c r="H199" s="107"/>
      <c r="I199" s="107"/>
      <c r="J199" s="107"/>
      <c r="K199" s="107"/>
      <c r="L199" s="107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5">
      <c r="A200" s="5"/>
      <c r="B200" s="107"/>
      <c r="C200" s="5"/>
      <c r="D200" s="107"/>
      <c r="E200" s="107"/>
      <c r="F200" s="107"/>
      <c r="G200" s="107"/>
      <c r="H200" s="107"/>
      <c r="I200" s="107"/>
      <c r="J200" s="107"/>
      <c r="K200" s="107"/>
      <c r="L200" s="107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5">
      <c r="A201" s="5"/>
      <c r="B201" s="107"/>
      <c r="C201" s="5"/>
      <c r="D201" s="107"/>
      <c r="E201" s="107"/>
      <c r="F201" s="107"/>
      <c r="G201" s="107"/>
      <c r="H201" s="107"/>
      <c r="I201" s="107"/>
      <c r="J201" s="107"/>
      <c r="K201" s="107"/>
      <c r="L201" s="107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5">
      <c r="A202" s="5"/>
      <c r="B202" s="107"/>
      <c r="C202" s="5"/>
      <c r="D202" s="107"/>
      <c r="E202" s="107"/>
      <c r="F202" s="107"/>
      <c r="G202" s="107"/>
      <c r="H202" s="107"/>
      <c r="I202" s="107"/>
      <c r="J202" s="107"/>
      <c r="K202" s="107"/>
      <c r="L202" s="107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5">
      <c r="A203" s="5"/>
      <c r="B203" s="107"/>
      <c r="C203" s="5"/>
      <c r="D203" s="107"/>
      <c r="E203" s="107"/>
      <c r="F203" s="107"/>
      <c r="G203" s="107"/>
      <c r="H203" s="107"/>
      <c r="I203" s="107"/>
      <c r="J203" s="107"/>
      <c r="K203" s="107"/>
      <c r="L203" s="107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5">
      <c r="A204" s="5"/>
      <c r="B204" s="107"/>
      <c r="C204" s="5"/>
      <c r="D204" s="107"/>
      <c r="E204" s="107"/>
      <c r="F204" s="107"/>
      <c r="G204" s="107"/>
      <c r="H204" s="107"/>
      <c r="I204" s="107"/>
      <c r="J204" s="107"/>
      <c r="K204" s="107"/>
      <c r="L204" s="107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5">
      <c r="A205" s="5"/>
      <c r="B205" s="107"/>
      <c r="C205" s="5"/>
      <c r="D205" s="107"/>
      <c r="E205" s="107"/>
      <c r="F205" s="107"/>
      <c r="G205" s="107"/>
      <c r="H205" s="107"/>
      <c r="I205" s="107"/>
      <c r="J205" s="107"/>
      <c r="K205" s="107"/>
      <c r="L205" s="107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5">
      <c r="A206" s="5"/>
      <c r="B206" s="107"/>
      <c r="C206" s="5"/>
      <c r="D206" s="107"/>
      <c r="E206" s="107"/>
      <c r="F206" s="107"/>
      <c r="G206" s="107"/>
      <c r="H206" s="107"/>
      <c r="I206" s="107"/>
      <c r="J206" s="107"/>
      <c r="K206" s="107"/>
      <c r="L206" s="107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5">
      <c r="A207" s="5"/>
      <c r="B207" s="107"/>
      <c r="C207" s="5"/>
      <c r="D207" s="107"/>
      <c r="E207" s="107"/>
      <c r="F207" s="107"/>
      <c r="G207" s="107"/>
      <c r="H207" s="107"/>
      <c r="I207" s="107"/>
      <c r="J207" s="107"/>
      <c r="K207" s="107"/>
      <c r="L207" s="107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5">
      <c r="A208" s="5"/>
      <c r="B208" s="107"/>
      <c r="C208" s="5"/>
      <c r="D208" s="107"/>
      <c r="E208" s="107"/>
      <c r="F208" s="107"/>
      <c r="G208" s="107"/>
      <c r="H208" s="107"/>
      <c r="I208" s="107"/>
      <c r="J208" s="107"/>
      <c r="K208" s="107"/>
      <c r="L208" s="107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5">
      <c r="A209" s="5"/>
      <c r="B209" s="107"/>
      <c r="C209" s="5"/>
      <c r="D209" s="107"/>
      <c r="E209" s="107"/>
      <c r="F209" s="107"/>
      <c r="G209" s="107"/>
      <c r="H209" s="107"/>
      <c r="I209" s="107"/>
      <c r="J209" s="107"/>
      <c r="K209" s="107"/>
      <c r="L209" s="107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5">
      <c r="A210" s="5"/>
      <c r="B210" s="107"/>
      <c r="C210" s="5"/>
      <c r="D210" s="107"/>
      <c r="E210" s="107"/>
      <c r="F210" s="107"/>
      <c r="G210" s="107"/>
      <c r="H210" s="107"/>
      <c r="I210" s="107"/>
      <c r="J210" s="107"/>
      <c r="K210" s="107"/>
      <c r="L210" s="107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5">
      <c r="A211" s="5"/>
      <c r="B211" s="107"/>
      <c r="C211" s="5"/>
      <c r="D211" s="107"/>
      <c r="E211" s="107"/>
      <c r="F211" s="107"/>
      <c r="G211" s="107"/>
      <c r="H211" s="107"/>
      <c r="I211" s="107"/>
      <c r="J211" s="107"/>
      <c r="K211" s="107"/>
      <c r="L211" s="107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5">
      <c r="A212" s="5"/>
      <c r="B212" s="107"/>
      <c r="C212" s="5"/>
      <c r="D212" s="107"/>
      <c r="E212" s="107"/>
      <c r="F212" s="107"/>
      <c r="G212" s="107"/>
      <c r="H212" s="107"/>
      <c r="I212" s="107"/>
      <c r="J212" s="107"/>
      <c r="K212" s="107"/>
      <c r="L212" s="107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5">
      <c r="A213" s="5"/>
      <c r="B213" s="107"/>
      <c r="C213" s="5"/>
      <c r="D213" s="107"/>
      <c r="E213" s="107"/>
      <c r="F213" s="107"/>
      <c r="G213" s="107"/>
      <c r="H213" s="107"/>
      <c r="I213" s="107"/>
      <c r="J213" s="107"/>
      <c r="K213" s="107"/>
      <c r="L213" s="107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5">
      <c r="A214" s="5"/>
      <c r="B214" s="107"/>
      <c r="C214" s="5"/>
      <c r="D214" s="107"/>
      <c r="E214" s="107"/>
      <c r="F214" s="107"/>
      <c r="G214" s="107"/>
      <c r="H214" s="107"/>
      <c r="I214" s="107"/>
      <c r="J214" s="107"/>
      <c r="K214" s="107"/>
      <c r="L214" s="107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5">
      <c r="A215" s="5"/>
      <c r="B215" s="107"/>
      <c r="C215" s="5"/>
      <c r="D215" s="107"/>
      <c r="E215" s="107"/>
      <c r="F215" s="107"/>
      <c r="G215" s="107"/>
      <c r="H215" s="107"/>
      <c r="I215" s="107"/>
      <c r="J215" s="107"/>
      <c r="K215" s="107"/>
      <c r="L215" s="107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5">
      <c r="A216" s="5"/>
      <c r="B216" s="107"/>
      <c r="C216" s="5"/>
      <c r="D216" s="107"/>
      <c r="E216" s="107"/>
      <c r="F216" s="107"/>
      <c r="G216" s="107"/>
      <c r="H216" s="107"/>
      <c r="I216" s="107"/>
      <c r="J216" s="107"/>
      <c r="K216" s="107"/>
      <c r="L216" s="107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5">
      <c r="A217" s="5"/>
      <c r="B217" s="107"/>
      <c r="C217" s="5"/>
      <c r="D217" s="107"/>
      <c r="E217" s="107"/>
      <c r="F217" s="107"/>
      <c r="G217" s="107"/>
      <c r="H217" s="107"/>
      <c r="I217" s="107"/>
      <c r="J217" s="107"/>
      <c r="K217" s="107"/>
      <c r="L217" s="107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5">
      <c r="A218" s="5"/>
      <c r="B218" s="107"/>
      <c r="C218" s="5"/>
      <c r="D218" s="107"/>
      <c r="E218" s="107"/>
      <c r="F218" s="107"/>
      <c r="G218" s="107"/>
      <c r="H218" s="107"/>
      <c r="I218" s="107"/>
      <c r="J218" s="107"/>
      <c r="K218" s="107"/>
      <c r="L218" s="107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5">
      <c r="A219" s="5"/>
      <c r="B219" s="5"/>
      <c r="C219" s="5"/>
      <c r="D219" s="107"/>
      <c r="E219" s="107"/>
      <c r="F219" s="107"/>
      <c r="G219" s="107"/>
      <c r="H219" s="107"/>
      <c r="I219" s="107"/>
      <c r="J219" s="107"/>
      <c r="K219" s="107"/>
      <c r="L219" s="107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5"/>
    <row r="269" spans="1:26" ht="15.75" customHeight="1" x14ac:dyDescent="0.25"/>
    <row r="270" spans="1:26" ht="15.75" customHeight="1" x14ac:dyDescent="0.25"/>
    <row r="271" spans="1:26" ht="15.75" customHeight="1" x14ac:dyDescent="0.25"/>
    <row r="272" spans="1:26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2">
    <mergeCell ref="D1:L1"/>
    <mergeCell ref="M1:R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000"/>
  <sheetViews>
    <sheetView workbookViewId="0"/>
  </sheetViews>
  <sheetFormatPr defaultColWidth="11.125" defaultRowHeight="15" customHeight="1" x14ac:dyDescent="0.25"/>
  <cols>
    <col min="1" max="1" width="8.875" customWidth="1"/>
    <col min="2" max="2" width="44" customWidth="1"/>
    <col min="3" max="26" width="8.875" customWidth="1"/>
  </cols>
  <sheetData>
    <row r="1" spans="1:14" ht="15.75" customHeight="1" x14ac:dyDescent="0.25">
      <c r="A1" s="27" t="s">
        <v>271</v>
      </c>
    </row>
    <row r="2" spans="1:14" ht="15.75" customHeight="1" x14ac:dyDescent="0.25">
      <c r="A2" s="27" t="s">
        <v>272</v>
      </c>
      <c r="B2" s="27" t="s">
        <v>273</v>
      </c>
      <c r="C2" s="27" t="s">
        <v>10</v>
      </c>
      <c r="D2" s="27" t="s">
        <v>11</v>
      </c>
      <c r="E2" s="27" t="s">
        <v>12</v>
      </c>
      <c r="F2" s="27" t="s">
        <v>1</v>
      </c>
      <c r="G2" s="27" t="s">
        <v>2</v>
      </c>
      <c r="H2" s="27" t="s">
        <v>3</v>
      </c>
      <c r="I2" s="27" t="s">
        <v>4</v>
      </c>
      <c r="J2" s="27" t="s">
        <v>5</v>
      </c>
      <c r="K2" s="27" t="s">
        <v>6</v>
      </c>
      <c r="L2" s="27" t="s">
        <v>7</v>
      </c>
      <c r="M2" s="27" t="s">
        <v>8</v>
      </c>
      <c r="N2" s="27" t="s">
        <v>9</v>
      </c>
    </row>
    <row r="3" spans="1:14" ht="15.75" customHeight="1" x14ac:dyDescent="0.25"/>
    <row r="4" spans="1:14" ht="15.75" customHeight="1" x14ac:dyDescent="0.25"/>
    <row r="5" spans="1:14" ht="15.75" customHeight="1" x14ac:dyDescent="0.25"/>
    <row r="6" spans="1:14" ht="15.75" customHeight="1" x14ac:dyDescent="0.25"/>
    <row r="7" spans="1:14" ht="15.75" customHeight="1" x14ac:dyDescent="0.25"/>
    <row r="8" spans="1:14" ht="15.75" customHeight="1" x14ac:dyDescent="0.25"/>
    <row r="9" spans="1:14" ht="15.75" customHeight="1" x14ac:dyDescent="0.25"/>
    <row r="10" spans="1:14" ht="15.75" customHeight="1" x14ac:dyDescent="0.25"/>
    <row r="11" spans="1:14" ht="15.75" customHeight="1" x14ac:dyDescent="0.25"/>
    <row r="12" spans="1:14" ht="15.75" customHeight="1" x14ac:dyDescent="0.25"/>
    <row r="13" spans="1:14" ht="15.75" customHeight="1" x14ac:dyDescent="0.25"/>
    <row r="14" spans="1:14" ht="15.75" customHeight="1" x14ac:dyDescent="0.25"/>
    <row r="15" spans="1:14" ht="15.75" customHeight="1" x14ac:dyDescent="0.25"/>
    <row r="16" spans="1:14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000"/>
  <sheetViews>
    <sheetView workbookViewId="0"/>
  </sheetViews>
  <sheetFormatPr defaultColWidth="11.125" defaultRowHeight="15" customHeight="1" x14ac:dyDescent="0.25"/>
  <cols>
    <col min="1" max="1" width="8.875" customWidth="1"/>
    <col min="2" max="2" width="44" customWidth="1"/>
    <col min="3" max="14" width="8.875" customWidth="1"/>
    <col min="15" max="15" width="32" customWidth="1"/>
    <col min="16" max="26" width="8.875" customWidth="1"/>
  </cols>
  <sheetData>
    <row r="1" spans="1:15" ht="15.75" customHeight="1" x14ac:dyDescent="0.25">
      <c r="A1" s="27" t="s">
        <v>274</v>
      </c>
    </row>
    <row r="2" spans="1:15" ht="15.75" customHeight="1" x14ac:dyDescent="0.25">
      <c r="A2" s="27" t="s">
        <v>272</v>
      </c>
      <c r="B2" s="27" t="s">
        <v>275</v>
      </c>
      <c r="C2" s="27" t="s">
        <v>10</v>
      </c>
      <c r="D2" s="27" t="s">
        <v>11</v>
      </c>
      <c r="E2" s="27" t="s">
        <v>12</v>
      </c>
      <c r="F2" s="27" t="s">
        <v>1</v>
      </c>
      <c r="G2" s="27" t="s">
        <v>2</v>
      </c>
      <c r="H2" s="27" t="s">
        <v>3</v>
      </c>
      <c r="I2" s="27" t="s">
        <v>4</v>
      </c>
      <c r="J2" s="27" t="s">
        <v>5</v>
      </c>
      <c r="K2" s="27" t="s">
        <v>6</v>
      </c>
      <c r="L2" s="27" t="s">
        <v>7</v>
      </c>
      <c r="M2" s="27" t="s">
        <v>8</v>
      </c>
      <c r="N2" s="27" t="s">
        <v>9</v>
      </c>
      <c r="O2" s="27" t="s">
        <v>276</v>
      </c>
    </row>
    <row r="3" spans="1:15" ht="15.75" customHeight="1" x14ac:dyDescent="0.25">
      <c r="A3" s="125">
        <v>27</v>
      </c>
      <c r="B3" s="125" t="s">
        <v>277</v>
      </c>
      <c r="I3" s="126">
        <v>394.98</v>
      </c>
      <c r="O3" s="125" t="s">
        <v>278</v>
      </c>
    </row>
    <row r="4" spans="1:15" ht="15.75" customHeight="1" x14ac:dyDescent="0.25">
      <c r="A4" s="125">
        <v>1758</v>
      </c>
      <c r="B4" s="125" t="s">
        <v>279</v>
      </c>
      <c r="H4" s="126">
        <v>14.23</v>
      </c>
      <c r="O4" s="125" t="s">
        <v>278</v>
      </c>
    </row>
    <row r="5" spans="1:15" ht="15.75" customHeight="1" x14ac:dyDescent="0.25">
      <c r="A5" s="125">
        <v>1765</v>
      </c>
      <c r="B5" s="125" t="s">
        <v>280</v>
      </c>
      <c r="H5" s="126">
        <v>54.39</v>
      </c>
      <c r="O5" s="125" t="s">
        <v>278</v>
      </c>
    </row>
    <row r="6" spans="1:15" ht="15.75" customHeight="1" x14ac:dyDescent="0.25">
      <c r="A6" s="125">
        <v>1745</v>
      </c>
      <c r="B6" s="125" t="s">
        <v>281</v>
      </c>
      <c r="H6" s="126">
        <v>19.61</v>
      </c>
      <c r="O6" s="125" t="s">
        <v>278</v>
      </c>
    </row>
    <row r="7" spans="1:15" ht="15.75" customHeight="1" x14ac:dyDescent="0.25">
      <c r="A7" s="125">
        <v>1755</v>
      </c>
      <c r="B7" s="125" t="s">
        <v>282</v>
      </c>
      <c r="H7" s="126">
        <v>19.899999999999999</v>
      </c>
      <c r="O7" s="125" t="s">
        <v>278</v>
      </c>
    </row>
    <row r="8" spans="1:15" ht="15.75" customHeight="1" x14ac:dyDescent="0.25"/>
    <row r="9" spans="1:15" ht="15.75" customHeight="1" x14ac:dyDescent="0.25"/>
    <row r="10" spans="1:15" ht="15.75" customHeight="1" x14ac:dyDescent="0.25"/>
    <row r="11" spans="1:15" ht="15.75" customHeight="1" x14ac:dyDescent="0.25"/>
    <row r="12" spans="1:15" ht="15.75" customHeight="1" x14ac:dyDescent="0.25"/>
    <row r="13" spans="1:15" ht="15.75" customHeight="1" x14ac:dyDescent="0.25"/>
    <row r="14" spans="1:15" ht="15.75" customHeight="1" x14ac:dyDescent="0.25"/>
    <row r="15" spans="1:15" ht="15.75" customHeight="1" x14ac:dyDescent="0.25"/>
    <row r="16" spans="1:15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000"/>
  <sheetViews>
    <sheetView workbookViewId="0">
      <selection activeCell="A3" sqref="A3:I8"/>
    </sheetView>
  </sheetViews>
  <sheetFormatPr defaultColWidth="11.125" defaultRowHeight="15" customHeight="1" x14ac:dyDescent="0.25"/>
  <cols>
    <col min="1" max="1" width="8.875" customWidth="1"/>
    <col min="2" max="2" width="44" customWidth="1"/>
    <col min="3" max="3" width="8.875" customWidth="1"/>
    <col min="4" max="8" width="13" hidden="1" customWidth="1"/>
    <col min="9" max="26" width="8.875" customWidth="1"/>
  </cols>
  <sheetData>
    <row r="1" spans="1:14" ht="15.75" customHeight="1" x14ac:dyDescent="0.25">
      <c r="A1" s="27" t="s">
        <v>271</v>
      </c>
    </row>
    <row r="2" spans="1:14" ht="15.75" customHeight="1" x14ac:dyDescent="0.25">
      <c r="A2" s="27" t="s">
        <v>272</v>
      </c>
      <c r="B2" s="27" t="s">
        <v>273</v>
      </c>
      <c r="C2" s="27" t="s">
        <v>10</v>
      </c>
      <c r="D2" s="27" t="s">
        <v>11</v>
      </c>
      <c r="E2" s="27" t="s">
        <v>12</v>
      </c>
      <c r="F2" s="27" t="s">
        <v>1</v>
      </c>
      <c r="G2" s="27" t="s">
        <v>2</v>
      </c>
      <c r="H2" s="27" t="s">
        <v>3</v>
      </c>
      <c r="I2" s="27" t="s">
        <v>4</v>
      </c>
      <c r="J2" s="27" t="s">
        <v>5</v>
      </c>
      <c r="K2" s="27" t="s">
        <v>6</v>
      </c>
      <c r="L2" s="27" t="s">
        <v>7</v>
      </c>
      <c r="M2" s="27" t="s">
        <v>8</v>
      </c>
      <c r="N2" s="27" t="s">
        <v>9</v>
      </c>
    </row>
    <row r="3" spans="1:14" ht="15.75" customHeight="1" x14ac:dyDescent="0.25">
      <c r="A3" s="125">
        <v>648</v>
      </c>
      <c r="B3" s="125" t="s">
        <v>283</v>
      </c>
      <c r="I3" s="126">
        <v>976</v>
      </c>
    </row>
    <row r="4" spans="1:14" ht="15.75" customHeight="1" x14ac:dyDescent="0.25">
      <c r="A4" s="125">
        <v>949</v>
      </c>
      <c r="B4" s="125" t="s">
        <v>284</v>
      </c>
      <c r="I4" s="126">
        <v>1490</v>
      </c>
    </row>
    <row r="5" spans="1:14" ht="15.75" customHeight="1" x14ac:dyDescent="0.25">
      <c r="A5" s="125">
        <v>1721</v>
      </c>
      <c r="B5" s="125" t="s">
        <v>285</v>
      </c>
      <c r="I5" s="126">
        <v>507.52</v>
      </c>
    </row>
    <row r="6" spans="1:14" ht="15.75" customHeight="1" x14ac:dyDescent="0.25"/>
    <row r="7" spans="1:14" ht="15.75" customHeight="1" x14ac:dyDescent="0.25"/>
    <row r="8" spans="1:14" ht="15.75" customHeight="1" x14ac:dyDescent="0.25"/>
    <row r="9" spans="1:14" ht="15.75" customHeight="1" x14ac:dyDescent="0.25"/>
    <row r="10" spans="1:14" ht="15.75" customHeight="1" x14ac:dyDescent="0.25"/>
    <row r="11" spans="1:14" ht="15.75" customHeight="1" x14ac:dyDescent="0.25"/>
    <row r="12" spans="1:14" ht="15.75" customHeight="1" x14ac:dyDescent="0.25"/>
    <row r="13" spans="1:14" ht="15.75" customHeight="1" x14ac:dyDescent="0.25"/>
    <row r="14" spans="1:14" ht="15.75" customHeight="1" x14ac:dyDescent="0.25"/>
    <row r="15" spans="1:14" ht="15.75" customHeight="1" x14ac:dyDescent="0.25"/>
    <row r="16" spans="1:14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01"/>
  <sheetViews>
    <sheetView workbookViewId="0"/>
  </sheetViews>
  <sheetFormatPr defaultColWidth="8.875" defaultRowHeight="15.75" x14ac:dyDescent="0.25"/>
  <sheetData>
    <row r="1" spans="1:5" x14ac:dyDescent="0.25">
      <c r="A1" t="s">
        <v>286</v>
      </c>
    </row>
    <row r="2" spans="1:5" x14ac:dyDescent="0.25">
      <c r="A2" t="s">
        <v>287</v>
      </c>
      <c r="B2" t="s">
        <v>288</v>
      </c>
      <c r="C2" t="s">
        <v>289</v>
      </c>
      <c r="D2" t="s">
        <v>290</v>
      </c>
      <c r="E2" t="s">
        <v>291</v>
      </c>
    </row>
    <row r="3" spans="1:5" x14ac:dyDescent="0.25">
      <c r="A3" t="s">
        <v>292</v>
      </c>
      <c r="B3" t="s">
        <v>293</v>
      </c>
      <c r="C3" t="s">
        <v>294</v>
      </c>
      <c r="D3" t="s">
        <v>295</v>
      </c>
      <c r="E3">
        <v>4362.4799999999996</v>
      </c>
    </row>
    <row r="4" spans="1:5" x14ac:dyDescent="0.25">
      <c r="A4" t="s">
        <v>226</v>
      </c>
      <c r="B4" t="s">
        <v>293</v>
      </c>
      <c r="C4" t="s">
        <v>296</v>
      </c>
      <c r="D4" t="s">
        <v>295</v>
      </c>
      <c r="E4">
        <v>2562</v>
      </c>
    </row>
    <row r="5" spans="1:5" x14ac:dyDescent="0.25">
      <c r="A5" t="s">
        <v>297</v>
      </c>
      <c r="B5" t="s">
        <v>293</v>
      </c>
      <c r="C5" t="s">
        <v>298</v>
      </c>
      <c r="D5" t="s">
        <v>295</v>
      </c>
      <c r="E5">
        <v>2292.04</v>
      </c>
    </row>
    <row r="6" spans="1:5" x14ac:dyDescent="0.25">
      <c r="A6" t="s">
        <v>292</v>
      </c>
      <c r="B6" t="s">
        <v>293</v>
      </c>
      <c r="C6" t="s">
        <v>299</v>
      </c>
      <c r="D6" t="s">
        <v>295</v>
      </c>
      <c r="E6">
        <v>1945.46</v>
      </c>
    </row>
    <row r="7" spans="1:5" x14ac:dyDescent="0.25">
      <c r="A7" t="s">
        <v>300</v>
      </c>
      <c r="B7" t="s">
        <v>293</v>
      </c>
      <c r="C7" t="s">
        <v>301</v>
      </c>
      <c r="D7" t="s">
        <v>295</v>
      </c>
      <c r="E7">
        <v>1895.84</v>
      </c>
    </row>
    <row r="8" spans="1:5" x14ac:dyDescent="0.25">
      <c r="A8" t="s">
        <v>302</v>
      </c>
      <c r="B8" t="s">
        <v>293</v>
      </c>
      <c r="C8" t="s">
        <v>303</v>
      </c>
      <c r="D8" t="s">
        <v>295</v>
      </c>
      <c r="E8">
        <v>1504.8</v>
      </c>
    </row>
    <row r="9" spans="1:5" x14ac:dyDescent="0.25">
      <c r="A9" t="s">
        <v>304</v>
      </c>
      <c r="B9" t="s">
        <v>293</v>
      </c>
      <c r="C9" t="s">
        <v>305</v>
      </c>
      <c r="D9" t="s">
        <v>295</v>
      </c>
      <c r="E9">
        <v>1458.6</v>
      </c>
    </row>
    <row r="10" spans="1:5" x14ac:dyDescent="0.25">
      <c r="A10" t="s">
        <v>306</v>
      </c>
      <c r="B10" t="s">
        <v>293</v>
      </c>
      <c r="C10" t="s">
        <v>307</v>
      </c>
      <c r="D10" t="s">
        <v>295</v>
      </c>
      <c r="E10">
        <v>1433.29</v>
      </c>
    </row>
    <row r="11" spans="1:5" x14ac:dyDescent="0.25">
      <c r="A11" t="s">
        <v>308</v>
      </c>
      <c r="B11" t="s">
        <v>293</v>
      </c>
      <c r="C11" t="s">
        <v>309</v>
      </c>
      <c r="D11" t="s">
        <v>295</v>
      </c>
      <c r="E11">
        <v>836.16</v>
      </c>
    </row>
    <row r="12" spans="1:5" x14ac:dyDescent="0.25">
      <c r="A12" t="s">
        <v>310</v>
      </c>
      <c r="B12" t="s">
        <v>293</v>
      </c>
      <c r="C12" t="s">
        <v>311</v>
      </c>
      <c r="D12" t="s">
        <v>295</v>
      </c>
      <c r="E12">
        <v>692.23</v>
      </c>
    </row>
    <row r="13" spans="1:5" x14ac:dyDescent="0.25">
      <c r="A13" t="s">
        <v>306</v>
      </c>
      <c r="B13" t="s">
        <v>293</v>
      </c>
      <c r="C13" t="s">
        <v>312</v>
      </c>
      <c r="D13" t="s">
        <v>295</v>
      </c>
      <c r="E13">
        <v>676.91</v>
      </c>
    </row>
    <row r="14" spans="1:5" x14ac:dyDescent="0.25">
      <c r="A14" t="s">
        <v>310</v>
      </c>
      <c r="B14" t="s">
        <v>293</v>
      </c>
      <c r="C14" t="s">
        <v>313</v>
      </c>
      <c r="D14" t="s">
        <v>295</v>
      </c>
      <c r="E14">
        <v>554.74</v>
      </c>
    </row>
    <row r="15" spans="1:5" x14ac:dyDescent="0.25">
      <c r="A15" t="s">
        <v>314</v>
      </c>
      <c r="B15" t="s">
        <v>293</v>
      </c>
      <c r="C15" t="s">
        <v>315</v>
      </c>
      <c r="D15" t="s">
        <v>295</v>
      </c>
      <c r="E15">
        <v>550</v>
      </c>
    </row>
    <row r="16" spans="1:5" x14ac:dyDescent="0.25">
      <c r="A16" t="s">
        <v>316</v>
      </c>
      <c r="B16" t="s">
        <v>293</v>
      </c>
      <c r="C16" t="s">
        <v>317</v>
      </c>
      <c r="D16" t="s">
        <v>295</v>
      </c>
      <c r="E16">
        <v>537.64</v>
      </c>
    </row>
    <row r="17" spans="1:5" x14ac:dyDescent="0.25">
      <c r="A17" t="s">
        <v>318</v>
      </c>
      <c r="B17" t="s">
        <v>293</v>
      </c>
      <c r="C17" t="s">
        <v>319</v>
      </c>
      <c r="D17" t="s">
        <v>295</v>
      </c>
      <c r="E17">
        <v>513.62</v>
      </c>
    </row>
    <row r="18" spans="1:5" x14ac:dyDescent="0.25">
      <c r="A18" t="s">
        <v>310</v>
      </c>
      <c r="B18" t="s">
        <v>293</v>
      </c>
      <c r="C18" t="s">
        <v>320</v>
      </c>
      <c r="D18" t="s">
        <v>295</v>
      </c>
      <c r="E18">
        <v>438.52</v>
      </c>
    </row>
    <row r="19" spans="1:5" x14ac:dyDescent="0.25">
      <c r="A19" t="s">
        <v>321</v>
      </c>
      <c r="B19" t="s">
        <v>293</v>
      </c>
      <c r="C19" t="s">
        <v>322</v>
      </c>
      <c r="D19" t="s">
        <v>295</v>
      </c>
      <c r="E19">
        <v>397.01</v>
      </c>
    </row>
    <row r="20" spans="1:5" x14ac:dyDescent="0.25">
      <c r="A20" t="s">
        <v>323</v>
      </c>
      <c r="B20" t="s">
        <v>293</v>
      </c>
      <c r="C20" t="s">
        <v>324</v>
      </c>
      <c r="D20" t="s">
        <v>295</v>
      </c>
      <c r="E20">
        <v>340</v>
      </c>
    </row>
    <row r="21" spans="1:5" x14ac:dyDescent="0.25">
      <c r="A21" t="s">
        <v>325</v>
      </c>
      <c r="B21" t="s">
        <v>293</v>
      </c>
      <c r="C21" t="s">
        <v>326</v>
      </c>
      <c r="D21" t="s">
        <v>295</v>
      </c>
      <c r="E21">
        <v>242.94</v>
      </c>
    </row>
    <row r="22" spans="1:5" x14ac:dyDescent="0.25">
      <c r="A22" t="s">
        <v>325</v>
      </c>
      <c r="B22" t="s">
        <v>293</v>
      </c>
      <c r="C22" t="s">
        <v>327</v>
      </c>
      <c r="D22" t="s">
        <v>295</v>
      </c>
      <c r="E22">
        <v>208.04</v>
      </c>
    </row>
    <row r="23" spans="1:5" x14ac:dyDescent="0.25">
      <c r="A23" t="s">
        <v>325</v>
      </c>
      <c r="B23" t="s">
        <v>293</v>
      </c>
      <c r="C23" t="s">
        <v>328</v>
      </c>
      <c r="D23" t="s">
        <v>295</v>
      </c>
      <c r="E23">
        <v>200.56</v>
      </c>
    </row>
    <row r="24" spans="1:5" x14ac:dyDescent="0.25">
      <c r="A24" t="s">
        <v>325</v>
      </c>
      <c r="B24" t="s">
        <v>293</v>
      </c>
      <c r="C24" t="s">
        <v>329</v>
      </c>
      <c r="D24" t="s">
        <v>295</v>
      </c>
      <c r="E24">
        <v>197.96</v>
      </c>
    </row>
    <row r="25" spans="1:5" x14ac:dyDescent="0.25">
      <c r="A25" t="s">
        <v>325</v>
      </c>
      <c r="B25" t="s">
        <v>293</v>
      </c>
      <c r="C25" t="s">
        <v>330</v>
      </c>
      <c r="D25" t="s">
        <v>295</v>
      </c>
      <c r="E25">
        <v>180.23</v>
      </c>
    </row>
    <row r="26" spans="1:5" x14ac:dyDescent="0.25">
      <c r="A26" t="s">
        <v>325</v>
      </c>
      <c r="B26" t="s">
        <v>293</v>
      </c>
      <c r="C26" t="s">
        <v>331</v>
      </c>
      <c r="D26" t="s">
        <v>295</v>
      </c>
      <c r="E26">
        <v>157.66</v>
      </c>
    </row>
    <row r="27" spans="1:5" x14ac:dyDescent="0.25">
      <c r="A27" t="s">
        <v>325</v>
      </c>
      <c r="B27" t="s">
        <v>293</v>
      </c>
      <c r="C27" t="s">
        <v>332</v>
      </c>
      <c r="D27" t="s">
        <v>295</v>
      </c>
      <c r="E27">
        <v>157.04</v>
      </c>
    </row>
    <row r="28" spans="1:5" x14ac:dyDescent="0.25">
      <c r="A28" t="s">
        <v>325</v>
      </c>
      <c r="B28" t="s">
        <v>293</v>
      </c>
      <c r="C28" t="s">
        <v>333</v>
      </c>
      <c r="D28" t="s">
        <v>295</v>
      </c>
      <c r="E28">
        <v>129.31</v>
      </c>
    </row>
    <row r="29" spans="1:5" x14ac:dyDescent="0.25">
      <c r="A29" t="s">
        <v>325</v>
      </c>
      <c r="B29" t="s">
        <v>293</v>
      </c>
      <c r="C29" t="s">
        <v>334</v>
      </c>
      <c r="D29" t="s">
        <v>295</v>
      </c>
      <c r="E29">
        <v>123.45</v>
      </c>
    </row>
    <row r="30" spans="1:5" x14ac:dyDescent="0.25">
      <c r="A30" t="s">
        <v>325</v>
      </c>
      <c r="B30" t="s">
        <v>293</v>
      </c>
      <c r="C30" t="s">
        <v>335</v>
      </c>
      <c r="D30" t="s">
        <v>295</v>
      </c>
      <c r="E30">
        <v>96.05</v>
      </c>
    </row>
    <row r="31" spans="1:5" x14ac:dyDescent="0.25">
      <c r="A31" t="s">
        <v>325</v>
      </c>
      <c r="B31" t="s">
        <v>293</v>
      </c>
      <c r="C31" t="s">
        <v>336</v>
      </c>
      <c r="D31" t="s">
        <v>295</v>
      </c>
      <c r="E31">
        <v>95.47</v>
      </c>
    </row>
    <row r="32" spans="1:5" x14ac:dyDescent="0.25">
      <c r="A32" t="s">
        <v>323</v>
      </c>
      <c r="B32" t="s">
        <v>293</v>
      </c>
      <c r="C32" t="s">
        <v>337</v>
      </c>
      <c r="D32" t="s">
        <v>295</v>
      </c>
      <c r="E32">
        <v>90</v>
      </c>
    </row>
    <row r="33" spans="1:5" x14ac:dyDescent="0.25">
      <c r="A33" t="s">
        <v>338</v>
      </c>
      <c r="B33" t="s">
        <v>293</v>
      </c>
      <c r="C33" t="s">
        <v>339</v>
      </c>
      <c r="D33" t="s">
        <v>295</v>
      </c>
      <c r="E33">
        <v>33</v>
      </c>
    </row>
    <row r="34" spans="1:5" x14ac:dyDescent="0.25">
      <c r="A34" t="s">
        <v>306</v>
      </c>
      <c r="B34" t="s">
        <v>293</v>
      </c>
      <c r="C34" t="s">
        <v>340</v>
      </c>
      <c r="D34" t="s">
        <v>295</v>
      </c>
      <c r="E34">
        <v>32.89</v>
      </c>
    </row>
    <row r="35" spans="1:5" x14ac:dyDescent="0.25">
      <c r="A35" t="s">
        <v>341</v>
      </c>
      <c r="B35" t="s">
        <v>293</v>
      </c>
      <c r="C35" t="s">
        <v>342</v>
      </c>
      <c r="D35" t="s">
        <v>295</v>
      </c>
      <c r="E35">
        <v>14.04</v>
      </c>
    </row>
    <row r="36" spans="1:5" x14ac:dyDescent="0.25">
      <c r="A36" t="s">
        <v>343</v>
      </c>
      <c r="B36" t="s">
        <v>293</v>
      </c>
      <c r="C36" t="s">
        <v>344</v>
      </c>
      <c r="D36" t="s">
        <v>295</v>
      </c>
      <c r="E36">
        <v>13.97</v>
      </c>
    </row>
    <row r="37" spans="1:5" x14ac:dyDescent="0.25">
      <c r="A37" t="s">
        <v>325</v>
      </c>
      <c r="B37" t="s">
        <v>293</v>
      </c>
      <c r="C37" t="s">
        <v>345</v>
      </c>
      <c r="D37" t="s">
        <v>295</v>
      </c>
      <c r="E37">
        <v>6.99</v>
      </c>
    </row>
    <row r="38" spans="1:5" x14ac:dyDescent="0.25">
      <c r="A38" t="s">
        <v>346</v>
      </c>
      <c r="B38" t="s">
        <v>347</v>
      </c>
      <c r="C38" t="s">
        <v>348</v>
      </c>
      <c r="D38" t="s">
        <v>295</v>
      </c>
      <c r="E38">
        <v>488</v>
      </c>
    </row>
    <row r="39" spans="1:5" x14ac:dyDescent="0.25">
      <c r="A39" t="s">
        <v>349</v>
      </c>
      <c r="B39" t="s">
        <v>350</v>
      </c>
      <c r="C39" t="s">
        <v>351</v>
      </c>
      <c r="D39" t="s">
        <v>295</v>
      </c>
      <c r="E39">
        <v>14540.85</v>
      </c>
    </row>
    <row r="40" spans="1:5" x14ac:dyDescent="0.25">
      <c r="A40" t="s">
        <v>352</v>
      </c>
      <c r="B40" t="s">
        <v>350</v>
      </c>
      <c r="C40" t="s">
        <v>353</v>
      </c>
      <c r="D40" t="s">
        <v>295</v>
      </c>
      <c r="E40">
        <v>6522.34</v>
      </c>
    </row>
    <row r="41" spans="1:5" x14ac:dyDescent="0.25">
      <c r="A41" t="s">
        <v>354</v>
      </c>
      <c r="B41" t="s">
        <v>350</v>
      </c>
      <c r="C41" t="s">
        <v>355</v>
      </c>
      <c r="D41" t="s">
        <v>295</v>
      </c>
      <c r="E41">
        <v>3173.94</v>
      </c>
    </row>
    <row r="42" spans="1:5" x14ac:dyDescent="0.25">
      <c r="A42" t="s">
        <v>356</v>
      </c>
      <c r="B42" t="s">
        <v>350</v>
      </c>
      <c r="C42" t="s">
        <v>357</v>
      </c>
      <c r="D42" t="s">
        <v>295</v>
      </c>
      <c r="E42">
        <v>2260</v>
      </c>
    </row>
    <row r="43" spans="1:5" x14ac:dyDescent="0.25">
      <c r="A43" t="s">
        <v>349</v>
      </c>
      <c r="B43" t="s">
        <v>350</v>
      </c>
      <c r="C43" t="s">
        <v>358</v>
      </c>
      <c r="D43" t="s">
        <v>295</v>
      </c>
      <c r="E43">
        <v>1986.62</v>
      </c>
    </row>
    <row r="44" spans="1:5" x14ac:dyDescent="0.25">
      <c r="A44" t="s">
        <v>359</v>
      </c>
      <c r="B44" t="s">
        <v>350</v>
      </c>
      <c r="C44" t="s">
        <v>360</v>
      </c>
      <c r="D44" t="s">
        <v>295</v>
      </c>
      <c r="E44">
        <v>1882.53</v>
      </c>
    </row>
    <row r="45" spans="1:5" x14ac:dyDescent="0.25">
      <c r="A45" t="s">
        <v>361</v>
      </c>
      <c r="B45" t="s">
        <v>350</v>
      </c>
      <c r="C45" t="s">
        <v>362</v>
      </c>
      <c r="D45" t="s">
        <v>295</v>
      </c>
      <c r="E45">
        <v>1692.4</v>
      </c>
    </row>
    <row r="46" spans="1:5" x14ac:dyDescent="0.25">
      <c r="A46" t="s">
        <v>361</v>
      </c>
      <c r="B46" t="s">
        <v>350</v>
      </c>
      <c r="C46" t="s">
        <v>363</v>
      </c>
      <c r="D46" t="s">
        <v>295</v>
      </c>
      <c r="E46">
        <v>1389.11</v>
      </c>
    </row>
    <row r="47" spans="1:5" x14ac:dyDescent="0.25">
      <c r="A47" t="s">
        <v>361</v>
      </c>
      <c r="B47" t="s">
        <v>350</v>
      </c>
      <c r="C47" t="s">
        <v>364</v>
      </c>
      <c r="D47" t="s">
        <v>295</v>
      </c>
      <c r="E47">
        <v>1388.21</v>
      </c>
    </row>
    <row r="48" spans="1:5" x14ac:dyDescent="0.25">
      <c r="A48" t="s">
        <v>244</v>
      </c>
      <c r="B48" t="s">
        <v>350</v>
      </c>
      <c r="C48" t="s">
        <v>365</v>
      </c>
      <c r="D48" t="s">
        <v>295</v>
      </c>
      <c r="E48">
        <v>1380.55</v>
      </c>
    </row>
    <row r="49" spans="1:5" x14ac:dyDescent="0.25">
      <c r="A49" t="s">
        <v>366</v>
      </c>
      <c r="B49" t="s">
        <v>350</v>
      </c>
      <c r="C49" t="s">
        <v>367</v>
      </c>
      <c r="D49" t="s">
        <v>295</v>
      </c>
      <c r="E49">
        <v>1356.98</v>
      </c>
    </row>
    <row r="50" spans="1:5" x14ac:dyDescent="0.25">
      <c r="A50" t="s">
        <v>361</v>
      </c>
      <c r="B50" t="s">
        <v>350</v>
      </c>
      <c r="C50" t="s">
        <v>368</v>
      </c>
      <c r="D50" t="s">
        <v>295</v>
      </c>
      <c r="E50">
        <v>1212.1400000000001</v>
      </c>
    </row>
    <row r="51" spans="1:5" x14ac:dyDescent="0.25">
      <c r="A51" t="s">
        <v>359</v>
      </c>
      <c r="B51" t="s">
        <v>350</v>
      </c>
      <c r="C51" t="s">
        <v>369</v>
      </c>
      <c r="D51" t="s">
        <v>295</v>
      </c>
      <c r="E51">
        <v>1160.44</v>
      </c>
    </row>
    <row r="52" spans="1:5" x14ac:dyDescent="0.25">
      <c r="A52" t="s">
        <v>359</v>
      </c>
      <c r="B52" t="s">
        <v>350</v>
      </c>
      <c r="C52" t="s">
        <v>370</v>
      </c>
      <c r="D52" t="s">
        <v>295</v>
      </c>
      <c r="E52">
        <v>1139.45</v>
      </c>
    </row>
    <row r="53" spans="1:5" x14ac:dyDescent="0.25">
      <c r="A53" t="s">
        <v>349</v>
      </c>
      <c r="B53" t="s">
        <v>350</v>
      </c>
      <c r="C53" t="s">
        <v>371</v>
      </c>
      <c r="D53" t="s">
        <v>295</v>
      </c>
      <c r="E53">
        <v>1086.56</v>
      </c>
    </row>
    <row r="54" spans="1:5" x14ac:dyDescent="0.25">
      <c r="A54" t="s">
        <v>359</v>
      </c>
      <c r="B54" t="s">
        <v>350</v>
      </c>
      <c r="C54" t="s">
        <v>372</v>
      </c>
      <c r="D54" t="s">
        <v>295</v>
      </c>
      <c r="E54">
        <v>1061.72</v>
      </c>
    </row>
    <row r="55" spans="1:5" x14ac:dyDescent="0.25">
      <c r="A55" t="s">
        <v>359</v>
      </c>
      <c r="B55" t="s">
        <v>350</v>
      </c>
      <c r="C55" t="s">
        <v>373</v>
      </c>
      <c r="D55" t="s">
        <v>295</v>
      </c>
      <c r="E55">
        <v>956.59</v>
      </c>
    </row>
    <row r="56" spans="1:5" x14ac:dyDescent="0.25">
      <c r="A56" t="s">
        <v>361</v>
      </c>
      <c r="B56" t="s">
        <v>350</v>
      </c>
      <c r="C56" t="s">
        <v>374</v>
      </c>
      <c r="D56" t="s">
        <v>295</v>
      </c>
      <c r="E56">
        <v>931.55</v>
      </c>
    </row>
    <row r="57" spans="1:5" x14ac:dyDescent="0.25">
      <c r="A57" t="s">
        <v>366</v>
      </c>
      <c r="B57" t="s">
        <v>350</v>
      </c>
      <c r="C57" t="s">
        <v>375</v>
      </c>
      <c r="D57" t="s">
        <v>295</v>
      </c>
      <c r="E57">
        <v>907.35</v>
      </c>
    </row>
    <row r="58" spans="1:5" x14ac:dyDescent="0.25">
      <c r="A58" t="s">
        <v>376</v>
      </c>
      <c r="B58" t="s">
        <v>350</v>
      </c>
      <c r="C58" t="s">
        <v>377</v>
      </c>
      <c r="D58" t="s">
        <v>295</v>
      </c>
      <c r="E58">
        <v>855.54</v>
      </c>
    </row>
    <row r="59" spans="1:5" x14ac:dyDescent="0.25">
      <c r="A59" t="s">
        <v>359</v>
      </c>
      <c r="B59" t="s">
        <v>350</v>
      </c>
      <c r="C59" t="s">
        <v>378</v>
      </c>
      <c r="D59" t="s">
        <v>295</v>
      </c>
      <c r="E59">
        <v>835.82</v>
      </c>
    </row>
    <row r="60" spans="1:5" x14ac:dyDescent="0.25">
      <c r="A60" t="s">
        <v>376</v>
      </c>
      <c r="B60" t="s">
        <v>350</v>
      </c>
      <c r="C60" t="s">
        <v>379</v>
      </c>
      <c r="D60" t="s">
        <v>295</v>
      </c>
      <c r="E60">
        <v>824.64</v>
      </c>
    </row>
    <row r="61" spans="1:5" x14ac:dyDescent="0.25">
      <c r="A61" t="s">
        <v>380</v>
      </c>
      <c r="B61" t="s">
        <v>350</v>
      </c>
      <c r="C61" t="s">
        <v>381</v>
      </c>
      <c r="D61" t="s">
        <v>295</v>
      </c>
      <c r="E61">
        <v>733.49</v>
      </c>
    </row>
    <row r="62" spans="1:5" x14ac:dyDescent="0.25">
      <c r="A62" t="s">
        <v>376</v>
      </c>
      <c r="B62" t="s">
        <v>350</v>
      </c>
      <c r="C62" t="s">
        <v>382</v>
      </c>
      <c r="D62" t="s">
        <v>295</v>
      </c>
      <c r="E62">
        <v>732.08</v>
      </c>
    </row>
    <row r="63" spans="1:5" x14ac:dyDescent="0.25">
      <c r="A63" t="s">
        <v>359</v>
      </c>
      <c r="B63" t="s">
        <v>350</v>
      </c>
      <c r="C63" t="s">
        <v>383</v>
      </c>
      <c r="D63" t="s">
        <v>295</v>
      </c>
      <c r="E63">
        <v>703.81</v>
      </c>
    </row>
    <row r="64" spans="1:5" x14ac:dyDescent="0.25">
      <c r="A64" t="s">
        <v>376</v>
      </c>
      <c r="B64" t="s">
        <v>350</v>
      </c>
      <c r="C64" t="s">
        <v>384</v>
      </c>
      <c r="D64" t="s">
        <v>295</v>
      </c>
      <c r="E64">
        <v>633.82000000000005</v>
      </c>
    </row>
    <row r="65" spans="1:5" x14ac:dyDescent="0.25">
      <c r="A65" t="s">
        <v>385</v>
      </c>
      <c r="B65" t="s">
        <v>350</v>
      </c>
      <c r="C65" t="s">
        <v>386</v>
      </c>
      <c r="D65" t="s">
        <v>295</v>
      </c>
      <c r="E65">
        <v>629.52</v>
      </c>
    </row>
    <row r="66" spans="1:5" x14ac:dyDescent="0.25">
      <c r="A66" t="s">
        <v>359</v>
      </c>
      <c r="B66" t="s">
        <v>350</v>
      </c>
      <c r="C66" t="s">
        <v>387</v>
      </c>
      <c r="D66" t="s">
        <v>295</v>
      </c>
      <c r="E66">
        <v>620.20000000000005</v>
      </c>
    </row>
    <row r="67" spans="1:5" x14ac:dyDescent="0.25">
      <c r="A67" t="s">
        <v>388</v>
      </c>
      <c r="B67" t="s">
        <v>350</v>
      </c>
      <c r="C67" t="s">
        <v>389</v>
      </c>
      <c r="D67" t="s">
        <v>295</v>
      </c>
      <c r="E67">
        <v>585.61</v>
      </c>
    </row>
    <row r="68" spans="1:5" x14ac:dyDescent="0.25">
      <c r="A68" t="s">
        <v>179</v>
      </c>
      <c r="B68" t="s">
        <v>350</v>
      </c>
      <c r="C68" t="s">
        <v>390</v>
      </c>
      <c r="D68" t="s">
        <v>295</v>
      </c>
      <c r="E68">
        <v>554.69000000000005</v>
      </c>
    </row>
    <row r="69" spans="1:5" x14ac:dyDescent="0.25">
      <c r="A69" t="s">
        <v>179</v>
      </c>
      <c r="B69" t="s">
        <v>350</v>
      </c>
      <c r="C69" t="s">
        <v>391</v>
      </c>
      <c r="D69" t="s">
        <v>295</v>
      </c>
      <c r="E69">
        <v>544.27</v>
      </c>
    </row>
    <row r="70" spans="1:5" x14ac:dyDescent="0.25">
      <c r="A70" t="s">
        <v>376</v>
      </c>
      <c r="B70" t="s">
        <v>350</v>
      </c>
      <c r="C70" t="s">
        <v>392</v>
      </c>
      <c r="D70" t="s">
        <v>295</v>
      </c>
      <c r="E70">
        <v>523.89</v>
      </c>
    </row>
    <row r="71" spans="1:5" x14ac:dyDescent="0.25">
      <c r="A71" t="s">
        <v>179</v>
      </c>
      <c r="B71" t="s">
        <v>350</v>
      </c>
      <c r="C71" t="s">
        <v>393</v>
      </c>
      <c r="D71" t="s">
        <v>295</v>
      </c>
      <c r="E71">
        <v>515.35</v>
      </c>
    </row>
    <row r="72" spans="1:5" x14ac:dyDescent="0.25">
      <c r="A72" t="s">
        <v>376</v>
      </c>
      <c r="B72" t="s">
        <v>350</v>
      </c>
      <c r="C72" t="s">
        <v>394</v>
      </c>
      <c r="D72" t="s">
        <v>295</v>
      </c>
      <c r="E72">
        <v>513.15</v>
      </c>
    </row>
    <row r="73" spans="1:5" x14ac:dyDescent="0.25">
      <c r="A73" t="s">
        <v>385</v>
      </c>
      <c r="B73" t="s">
        <v>350</v>
      </c>
      <c r="C73" t="s">
        <v>395</v>
      </c>
      <c r="D73" t="s">
        <v>295</v>
      </c>
      <c r="E73">
        <v>512.4</v>
      </c>
    </row>
    <row r="74" spans="1:5" x14ac:dyDescent="0.25">
      <c r="A74" t="s">
        <v>359</v>
      </c>
      <c r="B74" t="s">
        <v>350</v>
      </c>
      <c r="C74" t="s">
        <v>396</v>
      </c>
      <c r="D74" t="s">
        <v>295</v>
      </c>
      <c r="E74">
        <v>493.28</v>
      </c>
    </row>
    <row r="75" spans="1:5" x14ac:dyDescent="0.25">
      <c r="A75" t="s">
        <v>179</v>
      </c>
      <c r="B75" t="s">
        <v>350</v>
      </c>
      <c r="C75" t="s">
        <v>397</v>
      </c>
      <c r="D75" t="s">
        <v>295</v>
      </c>
      <c r="E75">
        <v>486.47</v>
      </c>
    </row>
    <row r="76" spans="1:5" x14ac:dyDescent="0.25">
      <c r="A76" t="s">
        <v>376</v>
      </c>
      <c r="B76" t="s">
        <v>350</v>
      </c>
      <c r="C76" t="s">
        <v>398</v>
      </c>
      <c r="D76" t="s">
        <v>295</v>
      </c>
      <c r="E76">
        <v>470.53</v>
      </c>
    </row>
    <row r="77" spans="1:5" x14ac:dyDescent="0.25">
      <c r="A77" t="s">
        <v>376</v>
      </c>
      <c r="B77" t="s">
        <v>350</v>
      </c>
      <c r="C77" t="s">
        <v>399</v>
      </c>
      <c r="D77" t="s">
        <v>295</v>
      </c>
      <c r="E77">
        <v>449.61</v>
      </c>
    </row>
    <row r="78" spans="1:5" x14ac:dyDescent="0.25">
      <c r="A78" t="s">
        <v>109</v>
      </c>
      <c r="B78" t="s">
        <v>350</v>
      </c>
      <c r="C78" t="s">
        <v>400</v>
      </c>
      <c r="D78" t="s">
        <v>295</v>
      </c>
      <c r="E78">
        <v>432.31</v>
      </c>
    </row>
    <row r="79" spans="1:5" x14ac:dyDescent="0.25">
      <c r="A79" t="s">
        <v>259</v>
      </c>
      <c r="B79" t="s">
        <v>350</v>
      </c>
      <c r="C79" t="s">
        <v>401</v>
      </c>
      <c r="D79" t="s">
        <v>295</v>
      </c>
      <c r="E79">
        <v>423.04</v>
      </c>
    </row>
    <row r="80" spans="1:5" x14ac:dyDescent="0.25">
      <c r="A80" t="s">
        <v>366</v>
      </c>
      <c r="B80" t="s">
        <v>350</v>
      </c>
      <c r="C80" t="s">
        <v>402</v>
      </c>
      <c r="D80" t="s">
        <v>295</v>
      </c>
      <c r="E80">
        <v>399.52</v>
      </c>
    </row>
    <row r="81" spans="1:5" x14ac:dyDescent="0.25">
      <c r="A81" t="s">
        <v>376</v>
      </c>
      <c r="B81" t="s">
        <v>350</v>
      </c>
      <c r="C81" t="s">
        <v>403</v>
      </c>
      <c r="D81" t="s">
        <v>295</v>
      </c>
      <c r="E81">
        <v>367.46</v>
      </c>
    </row>
    <row r="82" spans="1:5" x14ac:dyDescent="0.25">
      <c r="A82" t="s">
        <v>179</v>
      </c>
      <c r="B82" t="s">
        <v>350</v>
      </c>
      <c r="C82" t="s">
        <v>404</v>
      </c>
      <c r="D82" t="s">
        <v>295</v>
      </c>
      <c r="E82">
        <v>344.6</v>
      </c>
    </row>
    <row r="83" spans="1:5" x14ac:dyDescent="0.25">
      <c r="A83" t="s">
        <v>179</v>
      </c>
      <c r="B83" t="s">
        <v>350</v>
      </c>
      <c r="C83" t="s">
        <v>405</v>
      </c>
      <c r="D83" t="s">
        <v>295</v>
      </c>
      <c r="E83">
        <v>342.05</v>
      </c>
    </row>
    <row r="84" spans="1:5" x14ac:dyDescent="0.25">
      <c r="A84" t="s">
        <v>179</v>
      </c>
      <c r="B84" t="s">
        <v>350</v>
      </c>
      <c r="C84" t="s">
        <v>406</v>
      </c>
      <c r="D84" t="s">
        <v>295</v>
      </c>
      <c r="E84">
        <v>336.41</v>
      </c>
    </row>
    <row r="85" spans="1:5" x14ac:dyDescent="0.25">
      <c r="A85" t="s">
        <v>179</v>
      </c>
      <c r="B85" t="s">
        <v>350</v>
      </c>
      <c r="C85" t="s">
        <v>407</v>
      </c>
      <c r="D85" t="s">
        <v>295</v>
      </c>
      <c r="E85">
        <v>323.25</v>
      </c>
    </row>
    <row r="86" spans="1:5" x14ac:dyDescent="0.25">
      <c r="A86" t="s">
        <v>179</v>
      </c>
      <c r="B86" t="s">
        <v>350</v>
      </c>
      <c r="C86" t="s">
        <v>408</v>
      </c>
      <c r="D86" t="s">
        <v>295</v>
      </c>
      <c r="E86">
        <v>243.12</v>
      </c>
    </row>
    <row r="87" spans="1:5" x14ac:dyDescent="0.25">
      <c r="A87" t="s">
        <v>376</v>
      </c>
      <c r="B87" t="s">
        <v>350</v>
      </c>
      <c r="C87" t="s">
        <v>409</v>
      </c>
      <c r="D87" t="s">
        <v>295</v>
      </c>
      <c r="E87">
        <v>227.1</v>
      </c>
    </row>
    <row r="88" spans="1:5" x14ac:dyDescent="0.25">
      <c r="A88" t="s">
        <v>259</v>
      </c>
      <c r="B88" t="s">
        <v>350</v>
      </c>
      <c r="C88" t="s">
        <v>410</v>
      </c>
      <c r="D88" t="s">
        <v>295</v>
      </c>
      <c r="E88">
        <v>213.84</v>
      </c>
    </row>
    <row r="89" spans="1:5" x14ac:dyDescent="0.25">
      <c r="A89" t="s">
        <v>376</v>
      </c>
      <c r="B89" t="s">
        <v>350</v>
      </c>
      <c r="C89" t="s">
        <v>411</v>
      </c>
      <c r="D89" t="s">
        <v>295</v>
      </c>
      <c r="E89">
        <v>179.58</v>
      </c>
    </row>
    <row r="90" spans="1:5" x14ac:dyDescent="0.25">
      <c r="A90" t="s">
        <v>359</v>
      </c>
      <c r="B90" t="s">
        <v>350</v>
      </c>
      <c r="C90" t="s">
        <v>412</v>
      </c>
      <c r="D90" t="s">
        <v>295</v>
      </c>
      <c r="E90">
        <v>170.82</v>
      </c>
    </row>
    <row r="91" spans="1:5" x14ac:dyDescent="0.25">
      <c r="A91" t="s">
        <v>366</v>
      </c>
      <c r="B91" t="s">
        <v>350</v>
      </c>
      <c r="C91" t="s">
        <v>413</v>
      </c>
      <c r="D91" t="s">
        <v>295</v>
      </c>
      <c r="E91">
        <v>170.5</v>
      </c>
    </row>
    <row r="92" spans="1:5" x14ac:dyDescent="0.25">
      <c r="A92" t="s">
        <v>414</v>
      </c>
      <c r="B92" t="s">
        <v>350</v>
      </c>
      <c r="C92" t="s">
        <v>415</v>
      </c>
      <c r="D92" t="s">
        <v>295</v>
      </c>
      <c r="E92">
        <v>167.75</v>
      </c>
    </row>
    <row r="93" spans="1:5" x14ac:dyDescent="0.25">
      <c r="A93" t="s">
        <v>178</v>
      </c>
      <c r="B93" t="s">
        <v>350</v>
      </c>
      <c r="C93" t="s">
        <v>416</v>
      </c>
      <c r="D93" t="s">
        <v>295</v>
      </c>
      <c r="E93">
        <v>165</v>
      </c>
    </row>
    <row r="94" spans="1:5" x14ac:dyDescent="0.25">
      <c r="A94" t="s">
        <v>259</v>
      </c>
      <c r="B94" t="s">
        <v>350</v>
      </c>
      <c r="C94" t="s">
        <v>417</v>
      </c>
      <c r="D94" t="s">
        <v>295</v>
      </c>
      <c r="E94">
        <v>160.38</v>
      </c>
    </row>
    <row r="95" spans="1:5" x14ac:dyDescent="0.25">
      <c r="A95" t="s">
        <v>352</v>
      </c>
      <c r="B95" t="s">
        <v>350</v>
      </c>
      <c r="C95" t="s">
        <v>418</v>
      </c>
      <c r="D95" t="s">
        <v>295</v>
      </c>
      <c r="E95">
        <v>131.81</v>
      </c>
    </row>
    <row r="96" spans="1:5" x14ac:dyDescent="0.25">
      <c r="A96" t="s">
        <v>376</v>
      </c>
      <c r="B96" t="s">
        <v>350</v>
      </c>
      <c r="C96" t="s">
        <v>419</v>
      </c>
      <c r="D96" t="s">
        <v>295</v>
      </c>
      <c r="E96">
        <v>128.15</v>
      </c>
    </row>
    <row r="97" spans="1:5" x14ac:dyDescent="0.25">
      <c r="A97" t="s">
        <v>179</v>
      </c>
      <c r="B97" t="s">
        <v>350</v>
      </c>
      <c r="C97" t="s">
        <v>420</v>
      </c>
      <c r="D97" t="s">
        <v>295</v>
      </c>
      <c r="E97">
        <v>124.74</v>
      </c>
    </row>
    <row r="98" spans="1:5" x14ac:dyDescent="0.25">
      <c r="A98" t="s">
        <v>352</v>
      </c>
      <c r="B98" t="s">
        <v>350</v>
      </c>
      <c r="C98" t="s">
        <v>421</v>
      </c>
      <c r="D98" t="s">
        <v>295</v>
      </c>
      <c r="E98">
        <v>121.08</v>
      </c>
    </row>
    <row r="99" spans="1:5" x14ac:dyDescent="0.25">
      <c r="A99" t="s">
        <v>388</v>
      </c>
      <c r="B99" t="s">
        <v>350</v>
      </c>
      <c r="C99" t="s">
        <v>422</v>
      </c>
      <c r="D99" t="s">
        <v>295</v>
      </c>
      <c r="E99">
        <v>103.71</v>
      </c>
    </row>
    <row r="100" spans="1:5" x14ac:dyDescent="0.25">
      <c r="A100" t="s">
        <v>259</v>
      </c>
      <c r="B100" t="s">
        <v>350</v>
      </c>
      <c r="C100" t="s">
        <v>423</v>
      </c>
      <c r="D100" t="s">
        <v>295</v>
      </c>
      <c r="E100">
        <v>102.85</v>
      </c>
    </row>
    <row r="101" spans="1:5" x14ac:dyDescent="0.25">
      <c r="A101" t="s">
        <v>376</v>
      </c>
      <c r="B101" t="s">
        <v>350</v>
      </c>
      <c r="C101" t="s">
        <v>424</v>
      </c>
      <c r="D101" t="s">
        <v>295</v>
      </c>
      <c r="E101">
        <v>102.73</v>
      </c>
    </row>
    <row r="102" spans="1:5" x14ac:dyDescent="0.25">
      <c r="A102" t="s">
        <v>259</v>
      </c>
      <c r="B102" t="s">
        <v>350</v>
      </c>
      <c r="C102" t="s">
        <v>425</v>
      </c>
      <c r="D102" t="s">
        <v>295</v>
      </c>
      <c r="E102">
        <v>99.74</v>
      </c>
    </row>
    <row r="103" spans="1:5" x14ac:dyDescent="0.25">
      <c r="A103" t="s">
        <v>359</v>
      </c>
      <c r="B103" t="s">
        <v>350</v>
      </c>
      <c r="C103" t="s">
        <v>426</v>
      </c>
      <c r="D103" t="s">
        <v>295</v>
      </c>
      <c r="E103">
        <v>85.9</v>
      </c>
    </row>
    <row r="104" spans="1:5" x14ac:dyDescent="0.25">
      <c r="A104" t="s">
        <v>414</v>
      </c>
      <c r="B104" t="s">
        <v>350</v>
      </c>
      <c r="C104" t="s">
        <v>427</v>
      </c>
      <c r="D104" t="s">
        <v>295</v>
      </c>
      <c r="E104">
        <v>82.08</v>
      </c>
    </row>
    <row r="105" spans="1:5" x14ac:dyDescent="0.25">
      <c r="A105" t="s">
        <v>359</v>
      </c>
      <c r="B105" t="s">
        <v>350</v>
      </c>
      <c r="C105" t="s">
        <v>428</v>
      </c>
      <c r="D105" t="s">
        <v>295</v>
      </c>
      <c r="E105">
        <v>81.180000000000007</v>
      </c>
    </row>
    <row r="106" spans="1:5" x14ac:dyDescent="0.25">
      <c r="A106" t="s">
        <v>429</v>
      </c>
      <c r="B106" t="s">
        <v>350</v>
      </c>
      <c r="C106" t="s">
        <v>430</v>
      </c>
      <c r="D106" t="s">
        <v>295</v>
      </c>
      <c r="E106">
        <v>73.510000000000005</v>
      </c>
    </row>
    <row r="107" spans="1:5" x14ac:dyDescent="0.25">
      <c r="A107" t="s">
        <v>414</v>
      </c>
      <c r="B107" t="s">
        <v>350</v>
      </c>
      <c r="C107" t="s">
        <v>431</v>
      </c>
      <c r="D107" t="s">
        <v>295</v>
      </c>
      <c r="E107">
        <v>62.83</v>
      </c>
    </row>
    <row r="108" spans="1:5" x14ac:dyDescent="0.25">
      <c r="A108" t="s">
        <v>414</v>
      </c>
      <c r="B108" t="s">
        <v>350</v>
      </c>
      <c r="C108" t="s">
        <v>432</v>
      </c>
      <c r="D108" t="s">
        <v>295</v>
      </c>
      <c r="E108">
        <v>57.2</v>
      </c>
    </row>
    <row r="109" spans="1:5" x14ac:dyDescent="0.25">
      <c r="A109" t="s">
        <v>361</v>
      </c>
      <c r="B109" t="s">
        <v>350</v>
      </c>
      <c r="C109" t="s">
        <v>433</v>
      </c>
      <c r="D109" t="s">
        <v>295</v>
      </c>
      <c r="E109">
        <v>54.89</v>
      </c>
    </row>
    <row r="110" spans="1:5" x14ac:dyDescent="0.25">
      <c r="A110" t="s">
        <v>376</v>
      </c>
      <c r="B110" t="s">
        <v>350</v>
      </c>
      <c r="C110" t="s">
        <v>434</v>
      </c>
      <c r="D110" t="s">
        <v>295</v>
      </c>
      <c r="E110">
        <v>53.44</v>
      </c>
    </row>
    <row r="111" spans="1:5" x14ac:dyDescent="0.25">
      <c r="A111" t="s">
        <v>352</v>
      </c>
      <c r="B111" t="s">
        <v>350</v>
      </c>
      <c r="C111" t="s">
        <v>435</v>
      </c>
      <c r="D111" t="s">
        <v>295</v>
      </c>
      <c r="E111">
        <v>50.4</v>
      </c>
    </row>
    <row r="112" spans="1:5" x14ac:dyDescent="0.25">
      <c r="A112" t="s">
        <v>359</v>
      </c>
      <c r="B112" t="s">
        <v>350</v>
      </c>
      <c r="C112" t="s">
        <v>436</v>
      </c>
      <c r="D112" t="s">
        <v>295</v>
      </c>
      <c r="E112">
        <v>46.26</v>
      </c>
    </row>
    <row r="113" spans="1:5" x14ac:dyDescent="0.25">
      <c r="A113" t="s">
        <v>429</v>
      </c>
      <c r="B113" t="s">
        <v>350</v>
      </c>
      <c r="C113" t="s">
        <v>437</v>
      </c>
      <c r="D113" t="s">
        <v>295</v>
      </c>
      <c r="E113">
        <v>45.4</v>
      </c>
    </row>
    <row r="114" spans="1:5" x14ac:dyDescent="0.25">
      <c r="A114" t="s">
        <v>414</v>
      </c>
      <c r="B114" t="s">
        <v>350</v>
      </c>
      <c r="C114" t="s">
        <v>438</v>
      </c>
      <c r="D114" t="s">
        <v>295</v>
      </c>
      <c r="E114">
        <v>38.5</v>
      </c>
    </row>
    <row r="115" spans="1:5" x14ac:dyDescent="0.25">
      <c r="A115" t="s">
        <v>163</v>
      </c>
      <c r="B115" t="s">
        <v>350</v>
      </c>
      <c r="C115" t="s">
        <v>439</v>
      </c>
      <c r="D115" t="s">
        <v>295</v>
      </c>
      <c r="E115">
        <v>29</v>
      </c>
    </row>
    <row r="116" spans="1:5" x14ac:dyDescent="0.25">
      <c r="A116" t="s">
        <v>361</v>
      </c>
      <c r="B116" t="s">
        <v>350</v>
      </c>
      <c r="C116" t="s">
        <v>440</v>
      </c>
      <c r="D116" t="s">
        <v>295</v>
      </c>
      <c r="E116">
        <v>-118.8</v>
      </c>
    </row>
    <row r="117" spans="1:5" x14ac:dyDescent="0.25">
      <c r="A117" t="s">
        <v>259</v>
      </c>
      <c r="B117" t="s">
        <v>350</v>
      </c>
      <c r="C117" t="s">
        <v>441</v>
      </c>
      <c r="D117" t="s">
        <v>295</v>
      </c>
      <c r="E117">
        <v>-160.38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295</v>
      </c>
      <c r="E118">
        <v>423.39</v>
      </c>
    </row>
    <row r="119" spans="1:5" x14ac:dyDescent="0.25">
      <c r="A119" t="s">
        <v>445</v>
      </c>
      <c r="B119" t="s">
        <v>443</v>
      </c>
      <c r="C119" t="s">
        <v>446</v>
      </c>
      <c r="D119" t="s">
        <v>295</v>
      </c>
      <c r="E119">
        <v>378.2</v>
      </c>
    </row>
    <row r="120" spans="1:5" x14ac:dyDescent="0.25">
      <c r="A120" t="s">
        <v>447</v>
      </c>
      <c r="B120" t="s">
        <v>443</v>
      </c>
      <c r="C120" t="s">
        <v>448</v>
      </c>
      <c r="D120" t="s">
        <v>295</v>
      </c>
      <c r="E120">
        <v>279.5</v>
      </c>
    </row>
    <row r="121" spans="1:5" x14ac:dyDescent="0.25">
      <c r="A121" t="s">
        <v>449</v>
      </c>
      <c r="B121" t="s">
        <v>443</v>
      </c>
      <c r="C121" t="s">
        <v>450</v>
      </c>
      <c r="D121" t="s">
        <v>295</v>
      </c>
      <c r="E121">
        <v>95.12</v>
      </c>
    </row>
    <row r="122" spans="1:5" x14ac:dyDescent="0.25">
      <c r="A122" t="s">
        <v>451</v>
      </c>
      <c r="B122" t="s">
        <v>443</v>
      </c>
      <c r="C122" t="s">
        <v>452</v>
      </c>
      <c r="D122" t="s">
        <v>295</v>
      </c>
      <c r="E122">
        <v>73.2</v>
      </c>
    </row>
    <row r="123" spans="1:5" x14ac:dyDescent="0.25">
      <c r="A123" t="s">
        <v>453</v>
      </c>
      <c r="B123" t="s">
        <v>454</v>
      </c>
      <c r="C123" t="s">
        <v>455</v>
      </c>
      <c r="D123" t="s">
        <v>295</v>
      </c>
      <c r="E123">
        <v>6144.33</v>
      </c>
    </row>
    <row r="124" spans="1:5" x14ac:dyDescent="0.25">
      <c r="A124" t="s">
        <v>453</v>
      </c>
      <c r="B124" t="s">
        <v>454</v>
      </c>
      <c r="C124" t="s">
        <v>456</v>
      </c>
      <c r="D124" t="s">
        <v>295</v>
      </c>
      <c r="E124">
        <v>1426.27</v>
      </c>
    </row>
    <row r="125" spans="1:5" x14ac:dyDescent="0.25">
      <c r="A125" t="s">
        <v>457</v>
      </c>
      <c r="B125" t="s">
        <v>454</v>
      </c>
      <c r="C125" t="s">
        <v>458</v>
      </c>
      <c r="D125" t="s">
        <v>295</v>
      </c>
      <c r="E125">
        <v>346.47</v>
      </c>
    </row>
    <row r="126" spans="1:5" x14ac:dyDescent="0.25">
      <c r="A126" t="s">
        <v>457</v>
      </c>
      <c r="B126" t="s">
        <v>454</v>
      </c>
      <c r="C126" t="s">
        <v>459</v>
      </c>
      <c r="D126" t="s">
        <v>295</v>
      </c>
      <c r="E126">
        <v>43.42</v>
      </c>
    </row>
    <row r="127" spans="1:5" x14ac:dyDescent="0.25">
      <c r="A127" t="s">
        <v>457</v>
      </c>
      <c r="B127" t="s">
        <v>454</v>
      </c>
      <c r="C127" t="s">
        <v>460</v>
      </c>
      <c r="D127" t="s">
        <v>295</v>
      </c>
      <c r="E127">
        <v>42.32</v>
      </c>
    </row>
    <row r="128" spans="1:5" x14ac:dyDescent="0.25">
      <c r="A128" t="s">
        <v>457</v>
      </c>
      <c r="B128" t="s">
        <v>454</v>
      </c>
      <c r="C128" t="s">
        <v>461</v>
      </c>
      <c r="D128" t="s">
        <v>295</v>
      </c>
      <c r="E128">
        <v>40.36</v>
      </c>
    </row>
    <row r="129" spans="1:5" x14ac:dyDescent="0.25">
      <c r="A129" t="s">
        <v>457</v>
      </c>
      <c r="B129" t="s">
        <v>454</v>
      </c>
      <c r="C129" t="s">
        <v>462</v>
      </c>
      <c r="D129" t="s">
        <v>295</v>
      </c>
      <c r="E129">
        <v>32.71</v>
      </c>
    </row>
    <row r="130" spans="1:5" x14ac:dyDescent="0.25">
      <c r="A130" t="s">
        <v>457</v>
      </c>
      <c r="B130" t="s">
        <v>454</v>
      </c>
      <c r="C130" t="s">
        <v>463</v>
      </c>
      <c r="D130" t="s">
        <v>295</v>
      </c>
      <c r="E130">
        <v>28.46</v>
      </c>
    </row>
    <row r="131" spans="1:5" x14ac:dyDescent="0.25">
      <c r="A131" t="s">
        <v>457</v>
      </c>
      <c r="B131" t="s">
        <v>454</v>
      </c>
      <c r="C131" t="s">
        <v>464</v>
      </c>
      <c r="D131" t="s">
        <v>295</v>
      </c>
      <c r="E131">
        <v>27.39</v>
      </c>
    </row>
    <row r="132" spans="1:5" x14ac:dyDescent="0.25">
      <c r="A132" t="s">
        <v>457</v>
      </c>
      <c r="B132" t="s">
        <v>454</v>
      </c>
      <c r="C132" t="s">
        <v>465</v>
      </c>
      <c r="D132" t="s">
        <v>295</v>
      </c>
      <c r="E132">
        <v>26.32</v>
      </c>
    </row>
    <row r="133" spans="1:5" x14ac:dyDescent="0.25">
      <c r="A133" t="s">
        <v>457</v>
      </c>
      <c r="B133" t="s">
        <v>454</v>
      </c>
      <c r="C133" t="s">
        <v>466</v>
      </c>
      <c r="D133" t="s">
        <v>295</v>
      </c>
      <c r="E133">
        <v>25.27</v>
      </c>
    </row>
    <row r="134" spans="1:5" x14ac:dyDescent="0.25">
      <c r="A134" t="s">
        <v>457</v>
      </c>
      <c r="B134" t="s">
        <v>454</v>
      </c>
      <c r="C134" t="s">
        <v>467</v>
      </c>
      <c r="D134" t="s">
        <v>295</v>
      </c>
      <c r="E134">
        <v>23.21</v>
      </c>
    </row>
    <row r="135" spans="1:5" x14ac:dyDescent="0.25">
      <c r="A135" t="s">
        <v>468</v>
      </c>
      <c r="B135" t="s">
        <v>469</v>
      </c>
      <c r="C135" t="s">
        <v>470</v>
      </c>
      <c r="D135" t="s">
        <v>295</v>
      </c>
      <c r="E135">
        <v>5368</v>
      </c>
    </row>
    <row r="136" spans="1:5" x14ac:dyDescent="0.25">
      <c r="A136" t="s">
        <v>471</v>
      </c>
      <c r="B136" t="s">
        <v>469</v>
      </c>
      <c r="C136" t="s">
        <v>472</v>
      </c>
      <c r="D136" t="s">
        <v>295</v>
      </c>
      <c r="E136">
        <v>600</v>
      </c>
    </row>
    <row r="137" spans="1:5" x14ac:dyDescent="0.25">
      <c r="A137" t="s">
        <v>254</v>
      </c>
      <c r="B137" t="s">
        <v>469</v>
      </c>
      <c r="C137" t="s">
        <v>473</v>
      </c>
      <c r="D137" t="s">
        <v>295</v>
      </c>
      <c r="E137">
        <v>80.08</v>
      </c>
    </row>
    <row r="138" spans="1:5" x14ac:dyDescent="0.25">
      <c r="A138" t="s">
        <v>474</v>
      </c>
      <c r="B138" t="s">
        <v>469</v>
      </c>
      <c r="C138" t="s">
        <v>475</v>
      </c>
      <c r="D138" t="s">
        <v>295</v>
      </c>
      <c r="E138">
        <v>39.42</v>
      </c>
    </row>
    <row r="139" spans="1:5" x14ac:dyDescent="0.25">
      <c r="A139" t="s">
        <v>476</v>
      </c>
      <c r="B139" t="s">
        <v>469</v>
      </c>
      <c r="C139" t="s">
        <v>477</v>
      </c>
      <c r="D139" t="s">
        <v>295</v>
      </c>
      <c r="E139">
        <v>18.899999999999999</v>
      </c>
    </row>
    <row r="140" spans="1:5" x14ac:dyDescent="0.25">
      <c r="A140" t="s">
        <v>478</v>
      </c>
      <c r="B140" t="s">
        <v>293</v>
      </c>
      <c r="C140" t="s">
        <v>479</v>
      </c>
      <c r="D140" t="s">
        <v>480</v>
      </c>
      <c r="E140">
        <v>3111</v>
      </c>
    </row>
    <row r="141" spans="1:5" x14ac:dyDescent="0.25">
      <c r="A141" t="s">
        <v>292</v>
      </c>
      <c r="B141" t="s">
        <v>293</v>
      </c>
      <c r="C141" t="s">
        <v>481</v>
      </c>
      <c r="D141" t="s">
        <v>480</v>
      </c>
      <c r="E141">
        <v>2859.02</v>
      </c>
    </row>
    <row r="142" spans="1:5" x14ac:dyDescent="0.25">
      <c r="A142" t="s">
        <v>292</v>
      </c>
      <c r="B142" t="s">
        <v>293</v>
      </c>
      <c r="C142" t="s">
        <v>482</v>
      </c>
      <c r="D142" t="s">
        <v>480</v>
      </c>
      <c r="E142">
        <v>1844.64</v>
      </c>
    </row>
    <row r="143" spans="1:5" x14ac:dyDescent="0.25">
      <c r="A143" t="s">
        <v>292</v>
      </c>
      <c r="B143" t="s">
        <v>293</v>
      </c>
      <c r="C143" t="s">
        <v>483</v>
      </c>
      <c r="D143" t="s">
        <v>480</v>
      </c>
      <c r="E143">
        <v>1592.42</v>
      </c>
    </row>
    <row r="144" spans="1:5" x14ac:dyDescent="0.25">
      <c r="A144" t="s">
        <v>310</v>
      </c>
      <c r="B144" t="s">
        <v>293</v>
      </c>
      <c r="C144" t="s">
        <v>484</v>
      </c>
      <c r="D144" t="s">
        <v>480</v>
      </c>
      <c r="E144">
        <v>524.16</v>
      </c>
    </row>
    <row r="145" spans="1:5" x14ac:dyDescent="0.25">
      <c r="A145" t="s">
        <v>310</v>
      </c>
      <c r="B145" t="s">
        <v>293</v>
      </c>
      <c r="C145" t="s">
        <v>485</v>
      </c>
      <c r="D145" t="s">
        <v>480</v>
      </c>
      <c r="E145">
        <v>453.8</v>
      </c>
    </row>
    <row r="146" spans="1:5" x14ac:dyDescent="0.25">
      <c r="A146" t="s">
        <v>310</v>
      </c>
      <c r="B146" t="s">
        <v>293</v>
      </c>
      <c r="C146" t="s">
        <v>486</v>
      </c>
      <c r="D146" t="s">
        <v>480</v>
      </c>
      <c r="E146">
        <v>449.83</v>
      </c>
    </row>
    <row r="147" spans="1:5" x14ac:dyDescent="0.25">
      <c r="A147" t="s">
        <v>487</v>
      </c>
      <c r="B147" t="s">
        <v>293</v>
      </c>
      <c r="C147" t="s">
        <v>488</v>
      </c>
      <c r="D147" t="s">
        <v>480</v>
      </c>
      <c r="E147">
        <v>213.88</v>
      </c>
    </row>
    <row r="148" spans="1:5" x14ac:dyDescent="0.25">
      <c r="A148" t="s">
        <v>310</v>
      </c>
      <c r="B148" t="s">
        <v>293</v>
      </c>
      <c r="C148" t="s">
        <v>489</v>
      </c>
      <c r="D148" t="s">
        <v>480</v>
      </c>
      <c r="E148">
        <v>142.41999999999999</v>
      </c>
    </row>
    <row r="149" spans="1:5" x14ac:dyDescent="0.25">
      <c r="A149" t="s">
        <v>490</v>
      </c>
      <c r="B149" t="s">
        <v>293</v>
      </c>
      <c r="C149" t="s">
        <v>491</v>
      </c>
      <c r="D149" t="s">
        <v>480</v>
      </c>
      <c r="E149">
        <v>69.290000000000006</v>
      </c>
    </row>
    <row r="150" spans="1:5" x14ac:dyDescent="0.25">
      <c r="A150" t="s">
        <v>490</v>
      </c>
      <c r="B150" t="s">
        <v>293</v>
      </c>
      <c r="C150" t="s">
        <v>492</v>
      </c>
      <c r="D150" t="s">
        <v>480</v>
      </c>
      <c r="E150">
        <v>69.290000000000006</v>
      </c>
    </row>
    <row r="151" spans="1:5" x14ac:dyDescent="0.25">
      <c r="A151" t="s">
        <v>493</v>
      </c>
      <c r="B151" t="s">
        <v>293</v>
      </c>
      <c r="C151" t="s">
        <v>494</v>
      </c>
      <c r="D151" t="s">
        <v>480</v>
      </c>
      <c r="E151">
        <v>51.48</v>
      </c>
    </row>
    <row r="152" spans="1:5" x14ac:dyDescent="0.25">
      <c r="A152" t="s">
        <v>495</v>
      </c>
      <c r="B152" t="s">
        <v>293</v>
      </c>
      <c r="C152" t="s">
        <v>496</v>
      </c>
      <c r="D152" t="s">
        <v>480</v>
      </c>
      <c r="E152">
        <v>40.9</v>
      </c>
    </row>
    <row r="153" spans="1:5" x14ac:dyDescent="0.25">
      <c r="A153" t="s">
        <v>497</v>
      </c>
      <c r="B153" t="s">
        <v>293</v>
      </c>
      <c r="C153" t="s">
        <v>498</v>
      </c>
      <c r="D153" t="s">
        <v>480</v>
      </c>
      <c r="E153">
        <v>-221.91</v>
      </c>
    </row>
    <row r="154" spans="1:5" x14ac:dyDescent="0.25">
      <c r="A154" t="s">
        <v>205</v>
      </c>
      <c r="B154" t="s">
        <v>499</v>
      </c>
      <c r="C154" t="s">
        <v>500</v>
      </c>
      <c r="D154" t="s">
        <v>480</v>
      </c>
      <c r="E154">
        <v>45.38</v>
      </c>
    </row>
    <row r="155" spans="1:5" x14ac:dyDescent="0.25">
      <c r="A155" t="s">
        <v>205</v>
      </c>
      <c r="B155" t="s">
        <v>499</v>
      </c>
      <c r="C155" t="s">
        <v>501</v>
      </c>
      <c r="D155" t="s">
        <v>480</v>
      </c>
      <c r="E155">
        <v>19.64</v>
      </c>
    </row>
    <row r="156" spans="1:5" x14ac:dyDescent="0.25">
      <c r="A156" t="s">
        <v>205</v>
      </c>
      <c r="B156" t="s">
        <v>499</v>
      </c>
      <c r="C156" t="s">
        <v>502</v>
      </c>
      <c r="D156" t="s">
        <v>480</v>
      </c>
      <c r="E156">
        <v>5.49</v>
      </c>
    </row>
    <row r="157" spans="1:5" x14ac:dyDescent="0.25">
      <c r="A157" t="s">
        <v>173</v>
      </c>
      <c r="B157" t="s">
        <v>350</v>
      </c>
      <c r="C157" t="s">
        <v>503</v>
      </c>
      <c r="D157" t="s">
        <v>480</v>
      </c>
      <c r="E157">
        <v>5228.4399999999996</v>
      </c>
    </row>
    <row r="158" spans="1:5" x14ac:dyDescent="0.25">
      <c r="A158" t="s">
        <v>361</v>
      </c>
      <c r="B158" t="s">
        <v>350</v>
      </c>
      <c r="C158" t="s">
        <v>504</v>
      </c>
      <c r="D158" t="s">
        <v>480</v>
      </c>
      <c r="E158">
        <v>1628.86</v>
      </c>
    </row>
    <row r="159" spans="1:5" x14ac:dyDescent="0.25">
      <c r="A159" t="s">
        <v>244</v>
      </c>
      <c r="B159" t="s">
        <v>350</v>
      </c>
      <c r="C159" t="s">
        <v>505</v>
      </c>
      <c r="D159" t="s">
        <v>480</v>
      </c>
      <c r="E159">
        <v>1443.87</v>
      </c>
    </row>
    <row r="160" spans="1:5" x14ac:dyDescent="0.25">
      <c r="A160" t="s">
        <v>361</v>
      </c>
      <c r="B160" t="s">
        <v>350</v>
      </c>
      <c r="C160" t="s">
        <v>506</v>
      </c>
      <c r="D160" t="s">
        <v>480</v>
      </c>
      <c r="E160">
        <v>1234.78</v>
      </c>
    </row>
    <row r="161" spans="1:5" x14ac:dyDescent="0.25">
      <c r="A161" t="s">
        <v>361</v>
      </c>
      <c r="B161" t="s">
        <v>350</v>
      </c>
      <c r="C161" t="s">
        <v>507</v>
      </c>
      <c r="D161" t="s">
        <v>480</v>
      </c>
      <c r="E161">
        <v>984.75</v>
      </c>
    </row>
    <row r="162" spans="1:5" x14ac:dyDescent="0.25">
      <c r="A162" t="s">
        <v>173</v>
      </c>
      <c r="B162" t="s">
        <v>350</v>
      </c>
      <c r="C162" t="s">
        <v>508</v>
      </c>
      <c r="D162" t="s">
        <v>480</v>
      </c>
      <c r="E162">
        <v>573.4</v>
      </c>
    </row>
    <row r="163" spans="1:5" x14ac:dyDescent="0.25">
      <c r="A163" t="s">
        <v>173</v>
      </c>
      <c r="B163" t="s">
        <v>350</v>
      </c>
      <c r="C163" t="s">
        <v>509</v>
      </c>
      <c r="D163" t="s">
        <v>480</v>
      </c>
      <c r="E163">
        <v>527.53</v>
      </c>
    </row>
    <row r="164" spans="1:5" x14ac:dyDescent="0.25">
      <c r="A164" t="s">
        <v>361</v>
      </c>
      <c r="B164" t="s">
        <v>350</v>
      </c>
      <c r="C164" t="s">
        <v>510</v>
      </c>
      <c r="D164" t="s">
        <v>480</v>
      </c>
      <c r="E164">
        <v>497.23</v>
      </c>
    </row>
    <row r="165" spans="1:5" x14ac:dyDescent="0.25">
      <c r="A165" t="s">
        <v>173</v>
      </c>
      <c r="B165" t="s">
        <v>350</v>
      </c>
      <c r="C165" t="s">
        <v>511</v>
      </c>
      <c r="D165" t="s">
        <v>480</v>
      </c>
      <c r="E165">
        <v>381.25</v>
      </c>
    </row>
    <row r="166" spans="1:5" x14ac:dyDescent="0.25">
      <c r="A166" t="s">
        <v>163</v>
      </c>
      <c r="B166" t="s">
        <v>350</v>
      </c>
      <c r="C166" t="s">
        <v>512</v>
      </c>
      <c r="D166" t="s">
        <v>480</v>
      </c>
      <c r="E166">
        <v>324.24</v>
      </c>
    </row>
    <row r="167" spans="1:5" x14ac:dyDescent="0.25">
      <c r="A167" t="s">
        <v>361</v>
      </c>
      <c r="B167" t="s">
        <v>350</v>
      </c>
      <c r="C167" t="s">
        <v>513</v>
      </c>
      <c r="D167" t="s">
        <v>480</v>
      </c>
      <c r="E167">
        <v>324.17</v>
      </c>
    </row>
    <row r="168" spans="1:5" x14ac:dyDescent="0.25">
      <c r="A168" t="s">
        <v>244</v>
      </c>
      <c r="B168" t="s">
        <v>350</v>
      </c>
      <c r="C168" t="s">
        <v>514</v>
      </c>
      <c r="D168" t="s">
        <v>480</v>
      </c>
      <c r="E168">
        <v>253.27</v>
      </c>
    </row>
    <row r="169" spans="1:5" x14ac:dyDescent="0.25">
      <c r="A169" t="s">
        <v>162</v>
      </c>
      <c r="B169" t="s">
        <v>350</v>
      </c>
      <c r="C169" t="s">
        <v>515</v>
      </c>
      <c r="D169" t="s">
        <v>480</v>
      </c>
      <c r="E169">
        <v>214.5</v>
      </c>
    </row>
    <row r="170" spans="1:5" x14ac:dyDescent="0.25">
      <c r="A170" t="s">
        <v>171</v>
      </c>
      <c r="B170" t="s">
        <v>350</v>
      </c>
      <c r="C170" t="s">
        <v>516</v>
      </c>
      <c r="D170" t="s">
        <v>480</v>
      </c>
      <c r="E170">
        <v>165.5</v>
      </c>
    </row>
    <row r="171" spans="1:5" x14ac:dyDescent="0.25">
      <c r="A171" t="s">
        <v>163</v>
      </c>
      <c r="B171" t="s">
        <v>350</v>
      </c>
      <c r="C171" t="s">
        <v>517</v>
      </c>
      <c r="D171" t="s">
        <v>480</v>
      </c>
      <c r="E171">
        <v>162</v>
      </c>
    </row>
    <row r="172" spans="1:5" x14ac:dyDescent="0.25">
      <c r="A172" t="s">
        <v>167</v>
      </c>
      <c r="B172" t="s">
        <v>350</v>
      </c>
      <c r="C172" t="s">
        <v>518</v>
      </c>
      <c r="D172" t="s">
        <v>480</v>
      </c>
      <c r="E172">
        <v>148</v>
      </c>
    </row>
    <row r="173" spans="1:5" x14ac:dyDescent="0.25">
      <c r="A173" t="s">
        <v>519</v>
      </c>
      <c r="B173" t="s">
        <v>350</v>
      </c>
      <c r="C173" t="s">
        <v>520</v>
      </c>
      <c r="D173" t="s">
        <v>480</v>
      </c>
      <c r="E173">
        <v>122</v>
      </c>
    </row>
    <row r="174" spans="1:5" x14ac:dyDescent="0.25">
      <c r="A174" t="s">
        <v>521</v>
      </c>
      <c r="B174" t="s">
        <v>350</v>
      </c>
      <c r="C174" t="s">
        <v>522</v>
      </c>
      <c r="D174" t="s">
        <v>480</v>
      </c>
      <c r="E174">
        <v>114.1</v>
      </c>
    </row>
    <row r="175" spans="1:5" x14ac:dyDescent="0.25">
      <c r="A175" t="s">
        <v>165</v>
      </c>
      <c r="B175" t="s">
        <v>350</v>
      </c>
      <c r="C175" t="s">
        <v>523</v>
      </c>
      <c r="D175" t="s">
        <v>480</v>
      </c>
      <c r="E175">
        <v>99</v>
      </c>
    </row>
    <row r="176" spans="1:5" x14ac:dyDescent="0.25">
      <c r="A176" t="s">
        <v>524</v>
      </c>
      <c r="B176" t="s">
        <v>350</v>
      </c>
      <c r="C176" t="s">
        <v>525</v>
      </c>
      <c r="D176" t="s">
        <v>480</v>
      </c>
      <c r="E176">
        <v>80</v>
      </c>
    </row>
    <row r="177" spans="1:5" x14ac:dyDescent="0.25">
      <c r="A177" t="s">
        <v>174</v>
      </c>
      <c r="B177" t="s">
        <v>350</v>
      </c>
      <c r="C177" t="s">
        <v>526</v>
      </c>
      <c r="D177" t="s">
        <v>480</v>
      </c>
      <c r="E177">
        <v>72</v>
      </c>
    </row>
    <row r="178" spans="1:5" x14ac:dyDescent="0.25">
      <c r="A178" t="s">
        <v>170</v>
      </c>
      <c r="B178" t="s">
        <v>350</v>
      </c>
      <c r="C178" t="s">
        <v>527</v>
      </c>
      <c r="D178" t="s">
        <v>480</v>
      </c>
      <c r="E178">
        <v>71.64</v>
      </c>
    </row>
    <row r="179" spans="1:5" x14ac:dyDescent="0.25">
      <c r="A179" t="s">
        <v>169</v>
      </c>
      <c r="B179" t="s">
        <v>350</v>
      </c>
      <c r="C179" t="s">
        <v>528</v>
      </c>
      <c r="D179" t="s">
        <v>480</v>
      </c>
      <c r="E179">
        <v>60.06</v>
      </c>
    </row>
    <row r="180" spans="1:5" x14ac:dyDescent="0.25">
      <c r="A180" t="s">
        <v>166</v>
      </c>
      <c r="B180" t="s">
        <v>350</v>
      </c>
      <c r="C180" t="s">
        <v>529</v>
      </c>
      <c r="D180" t="s">
        <v>480</v>
      </c>
      <c r="E180">
        <v>45.99</v>
      </c>
    </row>
    <row r="181" spans="1:5" x14ac:dyDescent="0.25">
      <c r="A181" t="s">
        <v>530</v>
      </c>
      <c r="B181" t="s">
        <v>350</v>
      </c>
      <c r="C181" t="s">
        <v>531</v>
      </c>
      <c r="D181" t="s">
        <v>480</v>
      </c>
      <c r="E181">
        <v>44.94</v>
      </c>
    </row>
    <row r="182" spans="1:5" x14ac:dyDescent="0.25">
      <c r="A182" t="s">
        <v>163</v>
      </c>
      <c r="B182" t="s">
        <v>350</v>
      </c>
      <c r="C182" t="s">
        <v>532</v>
      </c>
      <c r="D182" t="s">
        <v>480</v>
      </c>
      <c r="E182">
        <v>40.99</v>
      </c>
    </row>
    <row r="183" spans="1:5" x14ac:dyDescent="0.25">
      <c r="A183" t="s">
        <v>163</v>
      </c>
      <c r="B183" t="s">
        <v>350</v>
      </c>
      <c r="C183" t="s">
        <v>533</v>
      </c>
      <c r="D183" t="s">
        <v>480</v>
      </c>
      <c r="E183">
        <v>40.14</v>
      </c>
    </row>
    <row r="184" spans="1:5" x14ac:dyDescent="0.25">
      <c r="A184" t="s">
        <v>163</v>
      </c>
      <c r="B184" t="s">
        <v>350</v>
      </c>
      <c r="C184" t="s">
        <v>534</v>
      </c>
      <c r="D184" t="s">
        <v>480</v>
      </c>
      <c r="E184">
        <v>34.96</v>
      </c>
    </row>
    <row r="185" spans="1:5" x14ac:dyDescent="0.25">
      <c r="A185" t="s">
        <v>163</v>
      </c>
      <c r="B185" t="s">
        <v>350</v>
      </c>
      <c r="C185" t="s">
        <v>535</v>
      </c>
      <c r="D185" t="s">
        <v>480</v>
      </c>
      <c r="E185">
        <v>27.3</v>
      </c>
    </row>
    <row r="186" spans="1:5" x14ac:dyDescent="0.25">
      <c r="A186" t="s">
        <v>175</v>
      </c>
      <c r="B186" t="s">
        <v>350</v>
      </c>
      <c r="C186" t="s">
        <v>536</v>
      </c>
      <c r="D186" t="s">
        <v>480</v>
      </c>
      <c r="E186">
        <v>23.09</v>
      </c>
    </row>
    <row r="187" spans="1:5" x14ac:dyDescent="0.25">
      <c r="A187" t="s">
        <v>163</v>
      </c>
      <c r="B187" t="s">
        <v>350</v>
      </c>
      <c r="C187" t="s">
        <v>537</v>
      </c>
      <c r="D187" t="s">
        <v>480</v>
      </c>
      <c r="E187">
        <v>17.98</v>
      </c>
    </row>
    <row r="188" spans="1:5" x14ac:dyDescent="0.25">
      <c r="A188" t="s">
        <v>163</v>
      </c>
      <c r="B188" t="s">
        <v>350</v>
      </c>
      <c r="C188" t="s">
        <v>538</v>
      </c>
      <c r="D188" t="s">
        <v>480</v>
      </c>
      <c r="E188">
        <v>12.1</v>
      </c>
    </row>
    <row r="189" spans="1:5" x14ac:dyDescent="0.25">
      <c r="A189" t="s">
        <v>539</v>
      </c>
      <c r="B189" t="s">
        <v>350</v>
      </c>
      <c r="C189" t="s">
        <v>540</v>
      </c>
      <c r="D189" t="s">
        <v>480</v>
      </c>
      <c r="E189">
        <v>0.01</v>
      </c>
    </row>
    <row r="190" spans="1:5" x14ac:dyDescent="0.25">
      <c r="A190" t="s">
        <v>539</v>
      </c>
      <c r="B190" t="s">
        <v>350</v>
      </c>
      <c r="C190" t="s">
        <v>541</v>
      </c>
      <c r="D190" t="s">
        <v>480</v>
      </c>
      <c r="E190">
        <v>-60.01</v>
      </c>
    </row>
    <row r="191" spans="1:5" x14ac:dyDescent="0.25">
      <c r="A191" t="s">
        <v>173</v>
      </c>
      <c r="B191" t="s">
        <v>350</v>
      </c>
      <c r="C191" t="s">
        <v>542</v>
      </c>
      <c r="D191" t="s">
        <v>480</v>
      </c>
      <c r="E191">
        <v>-7522.72</v>
      </c>
    </row>
    <row r="192" spans="1:5" x14ac:dyDescent="0.25">
      <c r="A192" t="s">
        <v>543</v>
      </c>
      <c r="B192" t="s">
        <v>443</v>
      </c>
      <c r="C192" t="s">
        <v>544</v>
      </c>
      <c r="D192" t="s">
        <v>480</v>
      </c>
      <c r="E192">
        <v>573.4</v>
      </c>
    </row>
    <row r="193" spans="1:5" x14ac:dyDescent="0.25">
      <c r="A193" t="s">
        <v>543</v>
      </c>
      <c r="B193" t="s">
        <v>443</v>
      </c>
      <c r="C193" t="s">
        <v>545</v>
      </c>
      <c r="D193" t="s">
        <v>480</v>
      </c>
      <c r="E193">
        <v>347.7</v>
      </c>
    </row>
    <row r="194" spans="1:5" x14ac:dyDescent="0.25">
      <c r="A194" t="s">
        <v>546</v>
      </c>
      <c r="B194" t="s">
        <v>443</v>
      </c>
      <c r="C194" t="s">
        <v>547</v>
      </c>
      <c r="D194" t="s">
        <v>480</v>
      </c>
      <c r="E194">
        <v>14.52</v>
      </c>
    </row>
    <row r="195" spans="1:5" x14ac:dyDescent="0.25">
      <c r="A195" t="s">
        <v>236</v>
      </c>
      <c r="B195" t="s">
        <v>443</v>
      </c>
      <c r="C195" t="s">
        <v>548</v>
      </c>
      <c r="D195" t="s">
        <v>480</v>
      </c>
      <c r="E195">
        <v>13.46</v>
      </c>
    </row>
    <row r="196" spans="1:5" x14ac:dyDescent="0.25">
      <c r="A196" t="s">
        <v>236</v>
      </c>
      <c r="B196" t="s">
        <v>443</v>
      </c>
      <c r="C196" t="s">
        <v>549</v>
      </c>
      <c r="D196" t="s">
        <v>480</v>
      </c>
      <c r="E196">
        <v>5.78</v>
      </c>
    </row>
    <row r="197" spans="1:5" x14ac:dyDescent="0.25">
      <c r="A197" t="s">
        <v>236</v>
      </c>
      <c r="B197" t="s">
        <v>443</v>
      </c>
      <c r="C197" t="s">
        <v>550</v>
      </c>
      <c r="D197" t="s">
        <v>480</v>
      </c>
      <c r="E197">
        <v>3.62</v>
      </c>
    </row>
    <row r="198" spans="1:5" x14ac:dyDescent="0.25">
      <c r="A198" t="s">
        <v>236</v>
      </c>
      <c r="B198" t="s">
        <v>443</v>
      </c>
      <c r="C198" t="s">
        <v>551</v>
      </c>
      <c r="D198" t="s">
        <v>480</v>
      </c>
      <c r="E198">
        <v>1.18</v>
      </c>
    </row>
    <row r="199" spans="1:5" x14ac:dyDescent="0.25">
      <c r="A199" t="s">
        <v>248</v>
      </c>
      <c r="B199" t="s">
        <v>469</v>
      </c>
      <c r="C199" t="s">
        <v>552</v>
      </c>
      <c r="D199" t="s">
        <v>480</v>
      </c>
      <c r="E199">
        <v>1997.01</v>
      </c>
    </row>
    <row r="200" spans="1:5" x14ac:dyDescent="0.25">
      <c r="A200" t="s">
        <v>265</v>
      </c>
      <c r="B200" t="s">
        <v>469</v>
      </c>
      <c r="C200" t="s">
        <v>553</v>
      </c>
      <c r="D200" t="s">
        <v>480</v>
      </c>
      <c r="E200">
        <v>1039</v>
      </c>
    </row>
    <row r="201" spans="1:5" x14ac:dyDescent="0.25">
      <c r="A201" t="s">
        <v>283</v>
      </c>
      <c r="B201" t="s">
        <v>469</v>
      </c>
      <c r="C201" t="s">
        <v>554</v>
      </c>
      <c r="D201" t="s">
        <v>480</v>
      </c>
      <c r="E201">
        <v>976</v>
      </c>
    </row>
    <row r="202" spans="1:5" x14ac:dyDescent="0.25">
      <c r="A202" t="s">
        <v>555</v>
      </c>
      <c r="B202" t="s">
        <v>469</v>
      </c>
      <c r="C202" t="s">
        <v>556</v>
      </c>
      <c r="D202" t="s">
        <v>480</v>
      </c>
      <c r="E202">
        <v>822</v>
      </c>
    </row>
    <row r="203" spans="1:5" x14ac:dyDescent="0.25">
      <c r="A203" t="s">
        <v>557</v>
      </c>
      <c r="B203" t="s">
        <v>469</v>
      </c>
      <c r="C203" t="s">
        <v>558</v>
      </c>
      <c r="D203" t="s">
        <v>480</v>
      </c>
      <c r="E203">
        <v>782.2</v>
      </c>
    </row>
    <row r="204" spans="1:5" x14ac:dyDescent="0.25">
      <c r="A204" t="s">
        <v>559</v>
      </c>
      <c r="B204" t="s">
        <v>469</v>
      </c>
      <c r="C204" t="s">
        <v>560</v>
      </c>
      <c r="D204" t="s">
        <v>480</v>
      </c>
      <c r="E204">
        <v>599.5</v>
      </c>
    </row>
    <row r="205" spans="1:5" x14ac:dyDescent="0.25">
      <c r="A205" t="s">
        <v>561</v>
      </c>
      <c r="B205" t="s">
        <v>469</v>
      </c>
      <c r="C205" t="s">
        <v>562</v>
      </c>
      <c r="D205" t="s">
        <v>480</v>
      </c>
      <c r="E205">
        <v>362.89</v>
      </c>
    </row>
    <row r="206" spans="1:5" x14ac:dyDescent="0.25">
      <c r="A206" t="s">
        <v>563</v>
      </c>
      <c r="B206" t="s">
        <v>469</v>
      </c>
      <c r="C206" t="s">
        <v>564</v>
      </c>
      <c r="D206" t="s">
        <v>480</v>
      </c>
      <c r="E206">
        <v>299.99</v>
      </c>
    </row>
    <row r="207" spans="1:5" x14ac:dyDescent="0.25">
      <c r="A207" t="s">
        <v>565</v>
      </c>
      <c r="B207" t="s">
        <v>469</v>
      </c>
      <c r="C207" t="s">
        <v>566</v>
      </c>
      <c r="D207" t="s">
        <v>480</v>
      </c>
      <c r="E207">
        <v>296.56</v>
      </c>
    </row>
    <row r="208" spans="1:5" x14ac:dyDescent="0.25">
      <c r="A208" t="s">
        <v>249</v>
      </c>
      <c r="B208" t="s">
        <v>469</v>
      </c>
      <c r="C208" t="s">
        <v>567</v>
      </c>
      <c r="D208" t="s">
        <v>480</v>
      </c>
      <c r="E208">
        <v>198.01</v>
      </c>
    </row>
    <row r="209" spans="1:5" x14ac:dyDescent="0.25">
      <c r="A209" t="s">
        <v>568</v>
      </c>
      <c r="B209" t="s">
        <v>469</v>
      </c>
      <c r="C209" t="s">
        <v>569</v>
      </c>
      <c r="D209" t="s">
        <v>480</v>
      </c>
      <c r="E209">
        <v>133.29</v>
      </c>
    </row>
    <row r="210" spans="1:5" x14ac:dyDescent="0.25">
      <c r="A210" t="s">
        <v>254</v>
      </c>
      <c r="B210" t="s">
        <v>469</v>
      </c>
      <c r="C210" t="s">
        <v>570</v>
      </c>
      <c r="D210" t="s">
        <v>480</v>
      </c>
      <c r="E210">
        <v>86.3</v>
      </c>
    </row>
    <row r="211" spans="1:5" x14ac:dyDescent="0.25">
      <c r="A211" t="s">
        <v>256</v>
      </c>
      <c r="B211" t="s">
        <v>469</v>
      </c>
      <c r="C211" t="s">
        <v>571</v>
      </c>
      <c r="D211" t="s">
        <v>480</v>
      </c>
      <c r="E211">
        <v>81.88</v>
      </c>
    </row>
    <row r="212" spans="1:5" x14ac:dyDescent="0.25">
      <c r="A212" t="s">
        <v>254</v>
      </c>
      <c r="B212" t="s">
        <v>469</v>
      </c>
      <c r="C212" t="s">
        <v>572</v>
      </c>
      <c r="D212" t="s">
        <v>480</v>
      </c>
      <c r="E212">
        <v>61.06</v>
      </c>
    </row>
    <row r="213" spans="1:5" x14ac:dyDescent="0.25">
      <c r="A213" t="s">
        <v>254</v>
      </c>
      <c r="B213" t="s">
        <v>469</v>
      </c>
      <c r="C213" t="s">
        <v>573</v>
      </c>
      <c r="D213" t="s">
        <v>480</v>
      </c>
      <c r="E213">
        <v>59.11</v>
      </c>
    </row>
    <row r="214" spans="1:5" x14ac:dyDescent="0.25">
      <c r="A214" t="s">
        <v>574</v>
      </c>
      <c r="B214" t="s">
        <v>469</v>
      </c>
      <c r="C214" t="s">
        <v>575</v>
      </c>
      <c r="D214" t="s">
        <v>480</v>
      </c>
      <c r="E214">
        <v>58</v>
      </c>
    </row>
    <row r="215" spans="1:5" x14ac:dyDescent="0.25">
      <c r="A215" t="s">
        <v>576</v>
      </c>
      <c r="B215" t="s">
        <v>469</v>
      </c>
      <c r="C215" t="s">
        <v>577</v>
      </c>
      <c r="D215" t="s">
        <v>480</v>
      </c>
      <c r="E215">
        <v>22.5</v>
      </c>
    </row>
    <row r="216" spans="1:5" x14ac:dyDescent="0.25">
      <c r="A216" t="s">
        <v>250</v>
      </c>
      <c r="B216" t="s">
        <v>469</v>
      </c>
      <c r="C216" t="s">
        <v>578</v>
      </c>
      <c r="D216" t="s">
        <v>480</v>
      </c>
      <c r="E216">
        <v>15.84</v>
      </c>
    </row>
    <row r="217" spans="1:5" x14ac:dyDescent="0.25">
      <c r="A217" t="s">
        <v>579</v>
      </c>
      <c r="B217" t="s">
        <v>293</v>
      </c>
      <c r="C217" t="s">
        <v>580</v>
      </c>
      <c r="D217" t="s">
        <v>581</v>
      </c>
      <c r="E217">
        <v>1439.6</v>
      </c>
    </row>
    <row r="218" spans="1:5" x14ac:dyDescent="0.25">
      <c r="A218" t="s">
        <v>292</v>
      </c>
      <c r="B218" t="s">
        <v>293</v>
      </c>
      <c r="C218" t="s">
        <v>582</v>
      </c>
      <c r="D218" t="s">
        <v>581</v>
      </c>
      <c r="E218">
        <v>759</v>
      </c>
    </row>
    <row r="219" spans="1:5" x14ac:dyDescent="0.25">
      <c r="A219" t="s">
        <v>318</v>
      </c>
      <c r="B219" t="s">
        <v>293</v>
      </c>
      <c r="C219" t="s">
        <v>583</v>
      </c>
      <c r="D219" t="s">
        <v>581</v>
      </c>
      <c r="E219">
        <v>714.92</v>
      </c>
    </row>
    <row r="220" spans="1:5" x14ac:dyDescent="0.25">
      <c r="A220" t="s">
        <v>310</v>
      </c>
      <c r="B220" t="s">
        <v>293</v>
      </c>
      <c r="C220" t="s">
        <v>584</v>
      </c>
      <c r="D220" t="s">
        <v>581</v>
      </c>
      <c r="E220">
        <v>615.91999999999996</v>
      </c>
    </row>
    <row r="221" spans="1:5" x14ac:dyDescent="0.25">
      <c r="A221" t="s">
        <v>310</v>
      </c>
      <c r="B221" t="s">
        <v>293</v>
      </c>
      <c r="C221" t="s">
        <v>585</v>
      </c>
      <c r="D221" t="s">
        <v>581</v>
      </c>
      <c r="E221">
        <v>587.57000000000005</v>
      </c>
    </row>
    <row r="222" spans="1:5" x14ac:dyDescent="0.25">
      <c r="A222" t="s">
        <v>310</v>
      </c>
      <c r="B222" t="s">
        <v>293</v>
      </c>
      <c r="C222" t="s">
        <v>586</v>
      </c>
      <c r="D222" t="s">
        <v>581</v>
      </c>
      <c r="E222">
        <v>539.36</v>
      </c>
    </row>
    <row r="223" spans="1:5" x14ac:dyDescent="0.25">
      <c r="A223" t="s">
        <v>310</v>
      </c>
      <c r="B223" t="s">
        <v>293</v>
      </c>
      <c r="C223" t="s">
        <v>587</v>
      </c>
      <c r="D223" t="s">
        <v>581</v>
      </c>
      <c r="E223">
        <v>274.93</v>
      </c>
    </row>
    <row r="224" spans="1:5" x14ac:dyDescent="0.25">
      <c r="A224" t="s">
        <v>310</v>
      </c>
      <c r="B224" t="s">
        <v>293</v>
      </c>
      <c r="C224" t="s">
        <v>588</v>
      </c>
      <c r="D224" t="s">
        <v>581</v>
      </c>
      <c r="E224">
        <v>176.9</v>
      </c>
    </row>
    <row r="225" spans="1:5" x14ac:dyDescent="0.25">
      <c r="A225" t="s">
        <v>325</v>
      </c>
      <c r="B225" t="s">
        <v>293</v>
      </c>
      <c r="C225" t="s">
        <v>589</v>
      </c>
      <c r="D225" t="s">
        <v>581</v>
      </c>
      <c r="E225">
        <v>146.80000000000001</v>
      </c>
    </row>
    <row r="226" spans="1:5" x14ac:dyDescent="0.25">
      <c r="A226" t="s">
        <v>349</v>
      </c>
      <c r="B226" t="s">
        <v>350</v>
      </c>
      <c r="C226" t="s">
        <v>590</v>
      </c>
      <c r="D226" t="s">
        <v>581</v>
      </c>
      <c r="E226">
        <v>15259.96</v>
      </c>
    </row>
    <row r="227" spans="1:5" x14ac:dyDescent="0.25">
      <c r="A227" t="s">
        <v>352</v>
      </c>
      <c r="B227" t="s">
        <v>350</v>
      </c>
      <c r="C227" t="s">
        <v>591</v>
      </c>
      <c r="D227" t="s">
        <v>581</v>
      </c>
      <c r="E227">
        <v>9528.6299999999992</v>
      </c>
    </row>
    <row r="228" spans="1:5" x14ac:dyDescent="0.25">
      <c r="A228" t="s">
        <v>354</v>
      </c>
      <c r="B228" t="s">
        <v>350</v>
      </c>
      <c r="C228" t="s">
        <v>592</v>
      </c>
      <c r="D228" t="s">
        <v>581</v>
      </c>
      <c r="E228">
        <v>3681.86</v>
      </c>
    </row>
    <row r="229" spans="1:5" x14ac:dyDescent="0.25">
      <c r="A229" t="s">
        <v>356</v>
      </c>
      <c r="B229" t="s">
        <v>350</v>
      </c>
      <c r="C229" t="s">
        <v>593</v>
      </c>
      <c r="D229" t="s">
        <v>581</v>
      </c>
      <c r="E229">
        <v>2976.01</v>
      </c>
    </row>
    <row r="230" spans="1:5" x14ac:dyDescent="0.25">
      <c r="A230" t="s">
        <v>349</v>
      </c>
      <c r="B230" t="s">
        <v>350</v>
      </c>
      <c r="C230" t="s">
        <v>594</v>
      </c>
      <c r="D230" t="s">
        <v>581</v>
      </c>
      <c r="E230">
        <v>1879.81</v>
      </c>
    </row>
    <row r="231" spans="1:5" x14ac:dyDescent="0.25">
      <c r="A231" t="s">
        <v>361</v>
      </c>
      <c r="B231" t="s">
        <v>350</v>
      </c>
      <c r="C231" t="s">
        <v>595</v>
      </c>
      <c r="D231" t="s">
        <v>581</v>
      </c>
      <c r="E231">
        <v>1812.23</v>
      </c>
    </row>
    <row r="232" spans="1:5" x14ac:dyDescent="0.25">
      <c r="A232" t="s">
        <v>361</v>
      </c>
      <c r="B232" t="s">
        <v>350</v>
      </c>
      <c r="C232" t="s">
        <v>596</v>
      </c>
      <c r="D232" t="s">
        <v>581</v>
      </c>
      <c r="E232">
        <v>1732.72</v>
      </c>
    </row>
    <row r="233" spans="1:5" x14ac:dyDescent="0.25">
      <c r="A233" t="s">
        <v>361</v>
      </c>
      <c r="B233" t="s">
        <v>350</v>
      </c>
      <c r="C233" t="s">
        <v>597</v>
      </c>
      <c r="D233" t="s">
        <v>581</v>
      </c>
      <c r="E233">
        <v>1558.02</v>
      </c>
    </row>
    <row r="234" spans="1:5" x14ac:dyDescent="0.25">
      <c r="A234" t="s">
        <v>349</v>
      </c>
      <c r="B234" t="s">
        <v>350</v>
      </c>
      <c r="C234" t="s">
        <v>598</v>
      </c>
      <c r="D234" t="s">
        <v>581</v>
      </c>
      <c r="E234">
        <v>1255.8599999999999</v>
      </c>
    </row>
    <row r="235" spans="1:5" x14ac:dyDescent="0.25">
      <c r="A235" t="s">
        <v>359</v>
      </c>
      <c r="B235" t="s">
        <v>350</v>
      </c>
      <c r="C235" t="s">
        <v>599</v>
      </c>
      <c r="D235" t="s">
        <v>581</v>
      </c>
      <c r="E235">
        <v>1130.8800000000001</v>
      </c>
    </row>
    <row r="236" spans="1:5" x14ac:dyDescent="0.25">
      <c r="A236" t="s">
        <v>361</v>
      </c>
      <c r="B236" t="s">
        <v>350</v>
      </c>
      <c r="C236" t="s">
        <v>600</v>
      </c>
      <c r="D236" t="s">
        <v>581</v>
      </c>
      <c r="E236">
        <v>1120.02</v>
      </c>
    </row>
    <row r="237" spans="1:5" x14ac:dyDescent="0.25">
      <c r="A237" t="s">
        <v>359</v>
      </c>
      <c r="B237" t="s">
        <v>350</v>
      </c>
      <c r="C237" t="s">
        <v>601</v>
      </c>
      <c r="D237" t="s">
        <v>581</v>
      </c>
      <c r="E237">
        <v>1018.86</v>
      </c>
    </row>
    <row r="238" spans="1:5" x14ac:dyDescent="0.25">
      <c r="A238" t="s">
        <v>359</v>
      </c>
      <c r="B238" t="s">
        <v>350</v>
      </c>
      <c r="C238" t="s">
        <v>602</v>
      </c>
      <c r="D238" t="s">
        <v>581</v>
      </c>
      <c r="E238">
        <v>993.61</v>
      </c>
    </row>
    <row r="239" spans="1:5" x14ac:dyDescent="0.25">
      <c r="A239" t="s">
        <v>376</v>
      </c>
      <c r="B239" t="s">
        <v>350</v>
      </c>
      <c r="C239" t="s">
        <v>603</v>
      </c>
      <c r="D239" t="s">
        <v>581</v>
      </c>
      <c r="E239">
        <v>958.32</v>
      </c>
    </row>
    <row r="240" spans="1:5" x14ac:dyDescent="0.25">
      <c r="A240" t="s">
        <v>359</v>
      </c>
      <c r="B240" t="s">
        <v>350</v>
      </c>
      <c r="C240" t="s">
        <v>604</v>
      </c>
      <c r="D240" t="s">
        <v>581</v>
      </c>
      <c r="E240">
        <v>939.84</v>
      </c>
    </row>
    <row r="241" spans="1:5" x14ac:dyDescent="0.25">
      <c r="A241" t="s">
        <v>359</v>
      </c>
      <c r="B241" t="s">
        <v>350</v>
      </c>
      <c r="C241" t="s">
        <v>605</v>
      </c>
      <c r="D241" t="s">
        <v>581</v>
      </c>
      <c r="E241">
        <v>938.08</v>
      </c>
    </row>
    <row r="242" spans="1:5" x14ac:dyDescent="0.25">
      <c r="A242" t="s">
        <v>376</v>
      </c>
      <c r="B242" t="s">
        <v>350</v>
      </c>
      <c r="C242" t="s">
        <v>606</v>
      </c>
      <c r="D242" t="s">
        <v>581</v>
      </c>
      <c r="E242">
        <v>888.07</v>
      </c>
    </row>
    <row r="243" spans="1:5" x14ac:dyDescent="0.25">
      <c r="A243" t="s">
        <v>359</v>
      </c>
      <c r="B243" t="s">
        <v>350</v>
      </c>
      <c r="C243" t="s">
        <v>607</v>
      </c>
      <c r="D243" t="s">
        <v>581</v>
      </c>
      <c r="E243">
        <v>852.34</v>
      </c>
    </row>
    <row r="244" spans="1:5" x14ac:dyDescent="0.25">
      <c r="A244" t="s">
        <v>359</v>
      </c>
      <c r="B244" t="s">
        <v>350</v>
      </c>
      <c r="C244" t="s">
        <v>608</v>
      </c>
      <c r="D244" t="s">
        <v>581</v>
      </c>
      <c r="E244">
        <v>842.35</v>
      </c>
    </row>
    <row r="245" spans="1:5" x14ac:dyDescent="0.25">
      <c r="A245" t="s">
        <v>179</v>
      </c>
      <c r="B245" t="s">
        <v>350</v>
      </c>
      <c r="C245" t="s">
        <v>609</v>
      </c>
      <c r="D245" t="s">
        <v>581</v>
      </c>
      <c r="E245">
        <v>822.07</v>
      </c>
    </row>
    <row r="246" spans="1:5" x14ac:dyDescent="0.25">
      <c r="A246" t="s">
        <v>359</v>
      </c>
      <c r="B246" t="s">
        <v>350</v>
      </c>
      <c r="C246" t="s">
        <v>610</v>
      </c>
      <c r="D246" t="s">
        <v>581</v>
      </c>
      <c r="E246">
        <v>744.75</v>
      </c>
    </row>
    <row r="247" spans="1:5" x14ac:dyDescent="0.25">
      <c r="A247" t="s">
        <v>376</v>
      </c>
      <c r="B247" t="s">
        <v>350</v>
      </c>
      <c r="C247" t="s">
        <v>611</v>
      </c>
      <c r="D247" t="s">
        <v>581</v>
      </c>
      <c r="E247">
        <v>708.35</v>
      </c>
    </row>
    <row r="248" spans="1:5" x14ac:dyDescent="0.25">
      <c r="A248" t="s">
        <v>376</v>
      </c>
      <c r="B248" t="s">
        <v>350</v>
      </c>
      <c r="C248" t="s">
        <v>612</v>
      </c>
      <c r="D248" t="s">
        <v>581</v>
      </c>
      <c r="E248">
        <v>662.35</v>
      </c>
    </row>
    <row r="249" spans="1:5" x14ac:dyDescent="0.25">
      <c r="A249" t="s">
        <v>359</v>
      </c>
      <c r="B249" t="s">
        <v>350</v>
      </c>
      <c r="C249" t="s">
        <v>613</v>
      </c>
      <c r="D249" t="s">
        <v>581</v>
      </c>
      <c r="E249">
        <v>647.08000000000004</v>
      </c>
    </row>
    <row r="250" spans="1:5" x14ac:dyDescent="0.25">
      <c r="A250" t="s">
        <v>359</v>
      </c>
      <c r="B250" t="s">
        <v>350</v>
      </c>
      <c r="C250" t="s">
        <v>614</v>
      </c>
      <c r="D250" t="s">
        <v>581</v>
      </c>
      <c r="E250">
        <v>576.48</v>
      </c>
    </row>
    <row r="251" spans="1:5" x14ac:dyDescent="0.25">
      <c r="A251" t="s">
        <v>179</v>
      </c>
      <c r="B251" t="s">
        <v>350</v>
      </c>
      <c r="C251" t="s">
        <v>615</v>
      </c>
      <c r="D251" t="s">
        <v>581</v>
      </c>
      <c r="E251">
        <v>553.77</v>
      </c>
    </row>
    <row r="252" spans="1:5" x14ac:dyDescent="0.25">
      <c r="A252" t="s">
        <v>359</v>
      </c>
      <c r="B252" t="s">
        <v>350</v>
      </c>
      <c r="C252" t="s">
        <v>616</v>
      </c>
      <c r="D252" t="s">
        <v>581</v>
      </c>
      <c r="E252">
        <v>465.61</v>
      </c>
    </row>
    <row r="253" spans="1:5" x14ac:dyDescent="0.25">
      <c r="A253" t="s">
        <v>179</v>
      </c>
      <c r="B253" t="s">
        <v>350</v>
      </c>
      <c r="C253" t="s">
        <v>617</v>
      </c>
      <c r="D253" t="s">
        <v>581</v>
      </c>
      <c r="E253">
        <v>433.84</v>
      </c>
    </row>
    <row r="254" spans="1:5" x14ac:dyDescent="0.25">
      <c r="A254" t="s">
        <v>361</v>
      </c>
      <c r="B254" t="s">
        <v>350</v>
      </c>
      <c r="C254" t="s">
        <v>618</v>
      </c>
      <c r="D254" t="s">
        <v>581</v>
      </c>
      <c r="E254">
        <v>387.71</v>
      </c>
    </row>
    <row r="255" spans="1:5" x14ac:dyDescent="0.25">
      <c r="A255" t="s">
        <v>179</v>
      </c>
      <c r="B255" t="s">
        <v>350</v>
      </c>
      <c r="C255" t="s">
        <v>619</v>
      </c>
      <c r="D255" t="s">
        <v>581</v>
      </c>
      <c r="E255">
        <v>338.67</v>
      </c>
    </row>
    <row r="256" spans="1:5" x14ac:dyDescent="0.25">
      <c r="A256" t="s">
        <v>359</v>
      </c>
      <c r="B256" t="s">
        <v>350</v>
      </c>
      <c r="C256" t="s">
        <v>620</v>
      </c>
      <c r="D256" t="s">
        <v>581</v>
      </c>
      <c r="E256">
        <v>266.31</v>
      </c>
    </row>
    <row r="257" spans="1:5" x14ac:dyDescent="0.25">
      <c r="A257" t="s">
        <v>385</v>
      </c>
      <c r="B257" t="s">
        <v>350</v>
      </c>
      <c r="C257" t="s">
        <v>621</v>
      </c>
      <c r="D257" t="s">
        <v>581</v>
      </c>
      <c r="E257">
        <v>256.2</v>
      </c>
    </row>
    <row r="258" spans="1:5" x14ac:dyDescent="0.25">
      <c r="A258" t="s">
        <v>244</v>
      </c>
      <c r="B258" t="s">
        <v>350</v>
      </c>
      <c r="C258" t="s">
        <v>622</v>
      </c>
      <c r="D258" t="s">
        <v>581</v>
      </c>
      <c r="E258">
        <v>253.27</v>
      </c>
    </row>
    <row r="259" spans="1:5" x14ac:dyDescent="0.25">
      <c r="A259" t="s">
        <v>385</v>
      </c>
      <c r="B259" t="s">
        <v>350</v>
      </c>
      <c r="C259" t="s">
        <v>623</v>
      </c>
      <c r="D259" t="s">
        <v>581</v>
      </c>
      <c r="E259">
        <v>248.51</v>
      </c>
    </row>
    <row r="260" spans="1:5" x14ac:dyDescent="0.25">
      <c r="A260" t="s">
        <v>359</v>
      </c>
      <c r="B260" t="s">
        <v>350</v>
      </c>
      <c r="C260" t="s">
        <v>624</v>
      </c>
      <c r="D260" t="s">
        <v>581</v>
      </c>
      <c r="E260">
        <v>239.8</v>
      </c>
    </row>
    <row r="261" spans="1:5" x14ac:dyDescent="0.25">
      <c r="A261" t="s">
        <v>259</v>
      </c>
      <c r="B261" t="s">
        <v>350</v>
      </c>
      <c r="C261" t="s">
        <v>625</v>
      </c>
      <c r="D261" t="s">
        <v>581</v>
      </c>
      <c r="E261">
        <v>220.92</v>
      </c>
    </row>
    <row r="262" spans="1:5" x14ac:dyDescent="0.25">
      <c r="A262" t="s">
        <v>179</v>
      </c>
      <c r="B262" t="s">
        <v>350</v>
      </c>
      <c r="C262" t="s">
        <v>626</v>
      </c>
      <c r="D262" t="s">
        <v>581</v>
      </c>
      <c r="E262">
        <v>215.07</v>
      </c>
    </row>
    <row r="263" spans="1:5" x14ac:dyDescent="0.25">
      <c r="A263" t="s">
        <v>359</v>
      </c>
      <c r="B263" t="s">
        <v>350</v>
      </c>
      <c r="C263" t="s">
        <v>627</v>
      </c>
      <c r="D263" t="s">
        <v>581</v>
      </c>
      <c r="E263">
        <v>202.68</v>
      </c>
    </row>
    <row r="264" spans="1:5" x14ac:dyDescent="0.25">
      <c r="A264" t="s">
        <v>366</v>
      </c>
      <c r="B264" t="s">
        <v>350</v>
      </c>
      <c r="C264" t="s">
        <v>628</v>
      </c>
      <c r="D264" t="s">
        <v>581</v>
      </c>
      <c r="E264">
        <v>197.56</v>
      </c>
    </row>
    <row r="265" spans="1:5" x14ac:dyDescent="0.25">
      <c r="A265" t="s">
        <v>259</v>
      </c>
      <c r="B265" t="s">
        <v>350</v>
      </c>
      <c r="C265" t="s">
        <v>629</v>
      </c>
      <c r="D265" t="s">
        <v>581</v>
      </c>
      <c r="E265">
        <v>194.14</v>
      </c>
    </row>
    <row r="266" spans="1:5" x14ac:dyDescent="0.25">
      <c r="A266" t="s">
        <v>359</v>
      </c>
      <c r="B266" t="s">
        <v>350</v>
      </c>
      <c r="C266" t="s">
        <v>630</v>
      </c>
      <c r="D266" t="s">
        <v>581</v>
      </c>
      <c r="E266">
        <v>185.91</v>
      </c>
    </row>
    <row r="267" spans="1:5" x14ac:dyDescent="0.25">
      <c r="A267" t="s">
        <v>359</v>
      </c>
      <c r="B267" t="s">
        <v>350</v>
      </c>
      <c r="C267" t="s">
        <v>631</v>
      </c>
      <c r="D267" t="s">
        <v>581</v>
      </c>
      <c r="E267">
        <v>169.02</v>
      </c>
    </row>
    <row r="268" spans="1:5" x14ac:dyDescent="0.25">
      <c r="A268" t="s">
        <v>178</v>
      </c>
      <c r="B268" t="s">
        <v>350</v>
      </c>
      <c r="C268" t="s">
        <v>632</v>
      </c>
      <c r="D268" t="s">
        <v>581</v>
      </c>
      <c r="E268">
        <v>161.37</v>
      </c>
    </row>
    <row r="269" spans="1:5" x14ac:dyDescent="0.25">
      <c r="A269" t="s">
        <v>259</v>
      </c>
      <c r="B269" t="s">
        <v>350</v>
      </c>
      <c r="C269" t="s">
        <v>633</v>
      </c>
      <c r="D269" t="s">
        <v>581</v>
      </c>
      <c r="E269">
        <v>160.38</v>
      </c>
    </row>
    <row r="270" spans="1:5" x14ac:dyDescent="0.25">
      <c r="A270" t="s">
        <v>385</v>
      </c>
      <c r="B270" t="s">
        <v>350</v>
      </c>
      <c r="C270" t="s">
        <v>634</v>
      </c>
      <c r="D270" t="s">
        <v>581</v>
      </c>
      <c r="E270">
        <v>146.03</v>
      </c>
    </row>
    <row r="271" spans="1:5" x14ac:dyDescent="0.25">
      <c r="A271" t="s">
        <v>385</v>
      </c>
      <c r="B271" t="s">
        <v>350</v>
      </c>
      <c r="C271" t="s">
        <v>635</v>
      </c>
      <c r="D271" t="s">
        <v>581</v>
      </c>
      <c r="E271">
        <v>146.03</v>
      </c>
    </row>
    <row r="272" spans="1:5" x14ac:dyDescent="0.25">
      <c r="A272" t="s">
        <v>385</v>
      </c>
      <c r="B272" t="s">
        <v>350</v>
      </c>
      <c r="C272" t="s">
        <v>636</v>
      </c>
      <c r="D272" t="s">
        <v>581</v>
      </c>
      <c r="E272">
        <v>140.54</v>
      </c>
    </row>
    <row r="273" spans="1:5" x14ac:dyDescent="0.25">
      <c r="A273" t="s">
        <v>414</v>
      </c>
      <c r="B273" t="s">
        <v>350</v>
      </c>
      <c r="C273" t="s">
        <v>637</v>
      </c>
      <c r="D273" t="s">
        <v>581</v>
      </c>
      <c r="E273">
        <v>139.83000000000001</v>
      </c>
    </row>
    <row r="274" spans="1:5" x14ac:dyDescent="0.25">
      <c r="A274" t="s">
        <v>259</v>
      </c>
      <c r="B274" t="s">
        <v>350</v>
      </c>
      <c r="C274" t="s">
        <v>638</v>
      </c>
      <c r="D274" t="s">
        <v>581</v>
      </c>
      <c r="E274">
        <v>134.38999999999999</v>
      </c>
    </row>
    <row r="275" spans="1:5" x14ac:dyDescent="0.25">
      <c r="A275" t="s">
        <v>259</v>
      </c>
      <c r="B275" t="s">
        <v>350</v>
      </c>
      <c r="C275" t="s">
        <v>639</v>
      </c>
      <c r="D275" t="s">
        <v>581</v>
      </c>
      <c r="E275">
        <v>130.54</v>
      </c>
    </row>
    <row r="276" spans="1:5" x14ac:dyDescent="0.25">
      <c r="A276" t="s">
        <v>359</v>
      </c>
      <c r="B276" t="s">
        <v>350</v>
      </c>
      <c r="C276" t="s">
        <v>640</v>
      </c>
      <c r="D276" t="s">
        <v>581</v>
      </c>
      <c r="E276">
        <v>116.79</v>
      </c>
    </row>
    <row r="277" spans="1:5" x14ac:dyDescent="0.25">
      <c r="A277" t="s">
        <v>259</v>
      </c>
      <c r="B277" t="s">
        <v>350</v>
      </c>
      <c r="C277" t="s">
        <v>641</v>
      </c>
      <c r="D277" t="s">
        <v>581</v>
      </c>
      <c r="E277">
        <v>116.6</v>
      </c>
    </row>
    <row r="278" spans="1:5" x14ac:dyDescent="0.25">
      <c r="A278" t="s">
        <v>361</v>
      </c>
      <c r="B278" t="s">
        <v>350</v>
      </c>
      <c r="C278" t="s">
        <v>642</v>
      </c>
      <c r="D278" t="s">
        <v>581</v>
      </c>
      <c r="E278">
        <v>37.840000000000003</v>
      </c>
    </row>
    <row r="279" spans="1:5" x14ac:dyDescent="0.25">
      <c r="A279" t="s">
        <v>259</v>
      </c>
      <c r="B279" t="s">
        <v>350</v>
      </c>
      <c r="C279" t="s">
        <v>643</v>
      </c>
      <c r="D279" t="s">
        <v>581</v>
      </c>
      <c r="E279">
        <v>33.74</v>
      </c>
    </row>
    <row r="280" spans="1:5" x14ac:dyDescent="0.25">
      <c r="A280" t="s">
        <v>366</v>
      </c>
      <c r="B280" t="s">
        <v>350</v>
      </c>
      <c r="C280" t="s">
        <v>644</v>
      </c>
      <c r="D280" t="s">
        <v>581</v>
      </c>
      <c r="E280">
        <v>23.76</v>
      </c>
    </row>
    <row r="281" spans="1:5" x14ac:dyDescent="0.25">
      <c r="A281" t="s">
        <v>359</v>
      </c>
      <c r="B281" t="s">
        <v>350</v>
      </c>
      <c r="C281" t="s">
        <v>645</v>
      </c>
      <c r="D281" t="s">
        <v>581</v>
      </c>
      <c r="E281">
        <v>14.84</v>
      </c>
    </row>
    <row r="282" spans="1:5" x14ac:dyDescent="0.25">
      <c r="A282" t="s">
        <v>310</v>
      </c>
      <c r="B282" t="s">
        <v>293</v>
      </c>
      <c r="C282" t="s">
        <v>646</v>
      </c>
      <c r="D282" t="s">
        <v>647</v>
      </c>
      <c r="E282">
        <v>1288.6199999999999</v>
      </c>
    </row>
    <row r="283" spans="1:5" x14ac:dyDescent="0.25">
      <c r="A283" t="s">
        <v>352</v>
      </c>
      <c r="B283" t="s">
        <v>350</v>
      </c>
      <c r="C283" t="s">
        <v>648</v>
      </c>
      <c r="D283" t="s">
        <v>647</v>
      </c>
      <c r="E283">
        <v>11334.13</v>
      </c>
    </row>
    <row r="284" spans="1:5" x14ac:dyDescent="0.25">
      <c r="A284" t="s">
        <v>354</v>
      </c>
      <c r="B284" t="s">
        <v>350</v>
      </c>
      <c r="C284" t="s">
        <v>649</v>
      </c>
      <c r="D284" t="s">
        <v>647</v>
      </c>
      <c r="E284">
        <v>6160.4</v>
      </c>
    </row>
    <row r="285" spans="1:5" x14ac:dyDescent="0.25">
      <c r="A285" t="s">
        <v>361</v>
      </c>
      <c r="B285" t="s">
        <v>350</v>
      </c>
      <c r="C285" t="s">
        <v>650</v>
      </c>
      <c r="D285" t="s">
        <v>647</v>
      </c>
      <c r="E285">
        <v>2169.25</v>
      </c>
    </row>
    <row r="286" spans="1:5" x14ac:dyDescent="0.25">
      <c r="A286" t="s">
        <v>359</v>
      </c>
      <c r="B286" t="s">
        <v>350</v>
      </c>
      <c r="C286" t="s">
        <v>651</v>
      </c>
      <c r="D286" t="s">
        <v>647</v>
      </c>
      <c r="E286">
        <v>1270.06</v>
      </c>
    </row>
    <row r="287" spans="1:5" x14ac:dyDescent="0.25">
      <c r="A287" t="s">
        <v>359</v>
      </c>
      <c r="B287" t="s">
        <v>350</v>
      </c>
      <c r="C287" t="s">
        <v>652</v>
      </c>
      <c r="D287" t="s">
        <v>647</v>
      </c>
      <c r="E287">
        <v>1057.77</v>
      </c>
    </row>
    <row r="288" spans="1:5" x14ac:dyDescent="0.25">
      <c r="A288" t="s">
        <v>359</v>
      </c>
      <c r="B288" t="s">
        <v>350</v>
      </c>
      <c r="C288" t="s">
        <v>653</v>
      </c>
      <c r="D288" t="s">
        <v>647</v>
      </c>
      <c r="E288">
        <v>204.72</v>
      </c>
    </row>
    <row r="289" spans="1:5" x14ac:dyDescent="0.25">
      <c r="A289" t="s">
        <v>359</v>
      </c>
      <c r="B289" t="s">
        <v>350</v>
      </c>
      <c r="C289" t="s">
        <v>654</v>
      </c>
      <c r="D289" t="s">
        <v>647</v>
      </c>
      <c r="E289">
        <v>194.05</v>
      </c>
    </row>
    <row r="290" spans="1:5" x14ac:dyDescent="0.25">
      <c r="A290" t="s">
        <v>359</v>
      </c>
      <c r="B290" t="s">
        <v>350</v>
      </c>
      <c r="C290" t="s">
        <v>655</v>
      </c>
      <c r="D290" t="s">
        <v>647</v>
      </c>
      <c r="E290">
        <v>174.69</v>
      </c>
    </row>
    <row r="291" spans="1:5" x14ac:dyDescent="0.25">
      <c r="A291" t="s">
        <v>429</v>
      </c>
      <c r="B291" t="s">
        <v>350</v>
      </c>
      <c r="C291" t="s">
        <v>656</v>
      </c>
      <c r="D291" t="s">
        <v>647</v>
      </c>
      <c r="E291">
        <v>155.5</v>
      </c>
    </row>
    <row r="292" spans="1:5" x14ac:dyDescent="0.25">
      <c r="A292" t="s">
        <v>385</v>
      </c>
      <c r="B292" t="s">
        <v>350</v>
      </c>
      <c r="C292" t="s">
        <v>657</v>
      </c>
      <c r="D292" t="s">
        <v>647</v>
      </c>
      <c r="E292">
        <v>146.03</v>
      </c>
    </row>
    <row r="293" spans="1:5" x14ac:dyDescent="0.25">
      <c r="A293" t="s">
        <v>359</v>
      </c>
      <c r="B293" t="s">
        <v>350</v>
      </c>
      <c r="C293" t="s">
        <v>658</v>
      </c>
      <c r="D293" t="s">
        <v>647</v>
      </c>
      <c r="E293">
        <v>137.09</v>
      </c>
    </row>
    <row r="294" spans="1:5" x14ac:dyDescent="0.25">
      <c r="A294" t="s">
        <v>352</v>
      </c>
      <c r="B294" t="s">
        <v>350</v>
      </c>
      <c r="C294" t="s">
        <v>659</v>
      </c>
      <c r="D294" t="s">
        <v>647</v>
      </c>
      <c r="E294">
        <v>118.83</v>
      </c>
    </row>
    <row r="295" spans="1:5" x14ac:dyDescent="0.25">
      <c r="A295" t="s">
        <v>352</v>
      </c>
      <c r="B295" t="s">
        <v>350</v>
      </c>
      <c r="C295" t="s">
        <v>660</v>
      </c>
      <c r="D295" t="s">
        <v>647</v>
      </c>
      <c r="E295">
        <v>101.74</v>
      </c>
    </row>
    <row r="296" spans="1:5" x14ac:dyDescent="0.25">
      <c r="A296" t="s">
        <v>352</v>
      </c>
      <c r="B296" t="s">
        <v>350</v>
      </c>
      <c r="C296" t="s">
        <v>661</v>
      </c>
      <c r="D296" t="s">
        <v>647</v>
      </c>
      <c r="E296">
        <v>61.25</v>
      </c>
    </row>
    <row r="297" spans="1:5" x14ac:dyDescent="0.25">
      <c r="A297" t="s">
        <v>352</v>
      </c>
      <c r="B297" t="s">
        <v>350</v>
      </c>
      <c r="C297" t="s">
        <v>662</v>
      </c>
      <c r="D297" t="s">
        <v>647</v>
      </c>
      <c r="E297">
        <v>22.96</v>
      </c>
    </row>
    <row r="298" spans="1:5" x14ac:dyDescent="0.25">
      <c r="A298" t="s">
        <v>352</v>
      </c>
      <c r="B298" t="s">
        <v>350</v>
      </c>
      <c r="C298" t="s">
        <v>663</v>
      </c>
      <c r="D298" t="s">
        <v>647</v>
      </c>
      <c r="E298">
        <v>15.76</v>
      </c>
    </row>
    <row r="299" spans="1:5" x14ac:dyDescent="0.25">
      <c r="A299" t="s">
        <v>352</v>
      </c>
      <c r="B299" t="s">
        <v>350</v>
      </c>
      <c r="C299" t="s">
        <v>664</v>
      </c>
      <c r="D299" t="s">
        <v>665</v>
      </c>
      <c r="E299">
        <v>54.12</v>
      </c>
    </row>
    <row r="300" spans="1:5" x14ac:dyDescent="0.25">
      <c r="A300" t="s">
        <v>352</v>
      </c>
      <c r="B300" t="s">
        <v>350</v>
      </c>
      <c r="C300" t="s">
        <v>666</v>
      </c>
      <c r="D300" t="s">
        <v>665</v>
      </c>
      <c r="E300">
        <v>35.65</v>
      </c>
    </row>
    <row r="301" spans="1:5" x14ac:dyDescent="0.25">
      <c r="D301" t="s">
        <v>667</v>
      </c>
      <c r="E301">
        <v>222686.46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16</vt:i4>
      </vt:variant>
    </vt:vector>
  </HeadingPairs>
  <TitlesOfParts>
    <vt:vector size="16" baseType="lpstr">
      <vt:lpstr>Controlli</vt:lpstr>
      <vt:lpstr>Piano Finanziario</vt:lpstr>
      <vt:lpstr>Salari e Stipendi</vt:lpstr>
      <vt:lpstr>Utenze</vt:lpstr>
      <vt:lpstr>Materie Prime-Consumo </vt:lpstr>
      <vt:lpstr>Tasse e Imposte</vt:lpstr>
      <vt:lpstr>Commisisoni Portali</vt:lpstr>
      <vt:lpstr>Mutui e Finaziamenti</vt:lpstr>
      <vt:lpstr>Consulenze</vt:lpstr>
      <vt:lpstr>Godimento Beni di Terzi</vt:lpstr>
      <vt:lpstr>Canoni e servizi</vt:lpstr>
      <vt:lpstr> Varie ed Eventuali</vt:lpstr>
      <vt:lpstr>DA MAPPARE</vt:lpstr>
      <vt:lpstr>ESCLUSI</vt:lpstr>
      <vt:lpstr>DA MAPPARE1</vt:lpstr>
      <vt:lpstr>Scadenziario 14-08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Russo</dc:creator>
  <cp:lastModifiedBy>Amministrazione</cp:lastModifiedBy>
  <dcterms:created xsi:type="dcterms:W3CDTF">2024-09-13T09:28:39Z</dcterms:created>
  <dcterms:modified xsi:type="dcterms:W3CDTF">2026-08-18T07:54:10Z</dcterms:modified>
</cp:coreProperties>
</file>